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keto\OneDrive\Documents\ANALYTICS\"/>
    </mc:Choice>
  </mc:AlternateContent>
  <xr:revisionPtr revIDLastSave="0" documentId="13_ncr:1_{BD914366-B09F-43E4-9EA0-2F1E54136530}" xr6:coauthVersionLast="47" xr6:coauthVersionMax="47" xr10:uidLastSave="{00000000-0000-0000-0000-000000000000}"/>
  <bookViews>
    <workbookView xWindow="-120" yWindow="-120" windowWidth="20730" windowHeight="11040" tabRatio="500" firstSheet="2" activeTab="5" xr2:uid="{00000000-000D-0000-FFFF-FFFF00000000}"/>
  </bookViews>
  <sheets>
    <sheet name="Raw_Sales_Data" sheetId="1" r:id="rId1"/>
    <sheet name="Data Dictionary" sheetId="2" state="hidden" r:id="rId2"/>
    <sheet name="Correct" sheetId="10" r:id="rId3"/>
    <sheet name="PV Table" sheetId="13" r:id="rId4"/>
    <sheet name="KPIs &amp; Charts" sheetId="14" r:id="rId5"/>
    <sheet name="GreenLeaf Sales Dashboard" sheetId="15" r:id="rId6"/>
  </sheets>
  <definedNames>
    <definedName name="_xlnm._FilterDatabase" localSheetId="2" hidden="1">Correct!$A$1:$Q$1501</definedName>
    <definedName name="_xlnm._FilterDatabase" localSheetId="0" hidden="1">Raw_Sales_Data!$A$1:$M$1538</definedName>
    <definedName name="Slicer_Branch">#N/A</definedName>
  </definedNames>
  <calcPr calcId="191029"/>
  <pivotCaches>
    <pivotCache cacheId="16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O2" i="10" l="1" a="1"/>
  <c r="O2" i="10" s="1"/>
  <c r="P2" i="10" a="1"/>
  <c r="P2" i="10" s="1"/>
  <c r="K3" i="10"/>
  <c r="L3" i="10" s="1"/>
  <c r="K4" i="10"/>
  <c r="L4" i="10" s="1"/>
  <c r="K5" i="10"/>
  <c r="L5" i="10" s="1"/>
  <c r="K6" i="10"/>
  <c r="L6" i="10" s="1"/>
  <c r="K7" i="10"/>
  <c r="L7" i="10" s="1"/>
  <c r="K8" i="10"/>
  <c r="L8" i="10" s="1"/>
  <c r="K9" i="10"/>
  <c r="L9" i="10" s="1"/>
  <c r="K10" i="10"/>
  <c r="L10" i="10" s="1"/>
  <c r="K11" i="10"/>
  <c r="L11" i="10" s="1"/>
  <c r="K12" i="10"/>
  <c r="L12" i="10" s="1"/>
  <c r="K13" i="10"/>
  <c r="L13" i="10" s="1"/>
  <c r="K14" i="10"/>
  <c r="L14" i="10" s="1"/>
  <c r="K15" i="10"/>
  <c r="L15" i="10" s="1"/>
  <c r="K16" i="10"/>
  <c r="L16" i="10" s="1"/>
  <c r="K17" i="10"/>
  <c r="L17" i="10" s="1"/>
  <c r="K18" i="10"/>
  <c r="L18" i="10" s="1"/>
  <c r="K19" i="10"/>
  <c r="L19" i="10" s="1"/>
  <c r="K20" i="10"/>
  <c r="L20" i="10" s="1"/>
  <c r="K21" i="10"/>
  <c r="L21" i="10" s="1"/>
  <c r="K22" i="10"/>
  <c r="L22" i="10" s="1"/>
  <c r="K23" i="10"/>
  <c r="L23" i="10" s="1"/>
  <c r="K24" i="10"/>
  <c r="L24" i="10" s="1"/>
  <c r="K25" i="10"/>
  <c r="L25" i="10" s="1"/>
  <c r="K26" i="10"/>
  <c r="L26" i="10" s="1"/>
  <c r="K27" i="10"/>
  <c r="L27" i="10" s="1"/>
  <c r="K28" i="10"/>
  <c r="L28" i="10" s="1"/>
  <c r="K29" i="10"/>
  <c r="L29" i="10" s="1"/>
  <c r="K30" i="10"/>
  <c r="L30" i="10" s="1"/>
  <c r="K31" i="10"/>
  <c r="L31" i="10" s="1"/>
  <c r="K32" i="10"/>
  <c r="L32" i="10" s="1"/>
  <c r="K33" i="10"/>
  <c r="L33" i="10" s="1"/>
  <c r="K34" i="10"/>
  <c r="L34" i="10" s="1"/>
  <c r="K35" i="10"/>
  <c r="L35" i="10" s="1"/>
  <c r="K36" i="10"/>
  <c r="L36" i="10" s="1"/>
  <c r="K37" i="10"/>
  <c r="L37" i="10" s="1"/>
  <c r="K38" i="10"/>
  <c r="L38" i="10" s="1"/>
  <c r="K39" i="10"/>
  <c r="L39" i="10" s="1"/>
  <c r="K40" i="10"/>
  <c r="L40" i="10" s="1"/>
  <c r="K41" i="10"/>
  <c r="L41" i="10" s="1"/>
  <c r="K42" i="10"/>
  <c r="L42" i="10" s="1"/>
  <c r="K43" i="10"/>
  <c r="L43" i="10" s="1"/>
  <c r="K44" i="10"/>
  <c r="L44" i="10" s="1"/>
  <c r="K45" i="10"/>
  <c r="L45" i="10" s="1"/>
  <c r="K46" i="10"/>
  <c r="L46" i="10" s="1"/>
  <c r="K47" i="10"/>
  <c r="L47" i="10" s="1"/>
  <c r="K48" i="10"/>
  <c r="L48" i="10" s="1"/>
  <c r="K49" i="10"/>
  <c r="L49" i="10" s="1"/>
  <c r="K50" i="10"/>
  <c r="L50" i="10" s="1"/>
  <c r="K51" i="10"/>
  <c r="L51" i="10" s="1"/>
  <c r="K52" i="10"/>
  <c r="L52" i="10" s="1"/>
  <c r="K53" i="10"/>
  <c r="L53" i="10" s="1"/>
  <c r="K54" i="10"/>
  <c r="L54" i="10" s="1"/>
  <c r="K55" i="10"/>
  <c r="L55" i="10" s="1"/>
  <c r="K56" i="10"/>
  <c r="L56" i="10" s="1"/>
  <c r="K57" i="10"/>
  <c r="L57" i="10" s="1"/>
  <c r="K58" i="10"/>
  <c r="L58" i="10" s="1"/>
  <c r="K59" i="10"/>
  <c r="L59" i="10" s="1"/>
  <c r="K60" i="10"/>
  <c r="L60" i="10" s="1"/>
  <c r="K61" i="10"/>
  <c r="L61" i="10" s="1"/>
  <c r="K62" i="10"/>
  <c r="L62" i="10" s="1"/>
  <c r="K63" i="10"/>
  <c r="L63" i="10" s="1"/>
  <c r="K64" i="10"/>
  <c r="L64" i="10" s="1"/>
  <c r="K65" i="10"/>
  <c r="L65" i="10" s="1"/>
  <c r="K66" i="10"/>
  <c r="L66" i="10" s="1"/>
  <c r="K67" i="10"/>
  <c r="L67" i="10" s="1"/>
  <c r="K68" i="10"/>
  <c r="L68" i="10" s="1"/>
  <c r="K69" i="10"/>
  <c r="L69" i="10" s="1"/>
  <c r="K70" i="10"/>
  <c r="L70" i="10" s="1"/>
  <c r="K71" i="10"/>
  <c r="L71" i="10" s="1"/>
  <c r="K72" i="10"/>
  <c r="L72" i="10" s="1"/>
  <c r="K73" i="10"/>
  <c r="L73" i="10" s="1"/>
  <c r="K74" i="10"/>
  <c r="L74" i="10" s="1"/>
  <c r="K75" i="10"/>
  <c r="L75" i="10" s="1"/>
  <c r="K76" i="10"/>
  <c r="L76" i="10" s="1"/>
  <c r="K77" i="10"/>
  <c r="L77" i="10" s="1"/>
  <c r="K78" i="10"/>
  <c r="L78" i="10" s="1"/>
  <c r="K79" i="10"/>
  <c r="L79" i="10" s="1"/>
  <c r="K80" i="10"/>
  <c r="L80" i="10" s="1"/>
  <c r="K81" i="10"/>
  <c r="L81" i="10" s="1"/>
  <c r="K82" i="10"/>
  <c r="L82" i="10" s="1"/>
  <c r="K83" i="10"/>
  <c r="L83" i="10" s="1"/>
  <c r="K84" i="10"/>
  <c r="L84" i="10" s="1"/>
  <c r="K85" i="10"/>
  <c r="L85" i="10" s="1"/>
  <c r="K86" i="10"/>
  <c r="L86" i="10" s="1"/>
  <c r="K87" i="10"/>
  <c r="L87" i="10" s="1"/>
  <c r="K88" i="10"/>
  <c r="L88" i="10" s="1"/>
  <c r="K89" i="10"/>
  <c r="L89" i="10" s="1"/>
  <c r="K90" i="10"/>
  <c r="L90" i="10" s="1"/>
  <c r="K91" i="10"/>
  <c r="L91" i="10" s="1"/>
  <c r="K92" i="10"/>
  <c r="L92" i="10" s="1"/>
  <c r="K93" i="10"/>
  <c r="L93" i="10" s="1"/>
  <c r="K94" i="10"/>
  <c r="L94" i="10" s="1"/>
  <c r="K95" i="10"/>
  <c r="L95" i="10" s="1"/>
  <c r="K96" i="10"/>
  <c r="L96" i="10" s="1"/>
  <c r="K97" i="10"/>
  <c r="L97" i="10" s="1"/>
  <c r="K98" i="10"/>
  <c r="L98" i="10" s="1"/>
  <c r="K99" i="10"/>
  <c r="L99" i="10" s="1"/>
  <c r="K100" i="10"/>
  <c r="L100" i="10" s="1"/>
  <c r="K101" i="10"/>
  <c r="L101" i="10" s="1"/>
  <c r="K102" i="10"/>
  <c r="L102" i="10" s="1"/>
  <c r="K103" i="10"/>
  <c r="L103" i="10" s="1"/>
  <c r="K104" i="10"/>
  <c r="L104" i="10" s="1"/>
  <c r="K105" i="10"/>
  <c r="L105" i="10" s="1"/>
  <c r="K106" i="10"/>
  <c r="L106" i="10" s="1"/>
  <c r="K107" i="10"/>
  <c r="L107" i="10" s="1"/>
  <c r="K108" i="10"/>
  <c r="L108" i="10" s="1"/>
  <c r="K109" i="10"/>
  <c r="L109" i="10" s="1"/>
  <c r="K110" i="10"/>
  <c r="L110" i="10" s="1"/>
  <c r="K111" i="10"/>
  <c r="L111" i="10" s="1"/>
  <c r="K112" i="10"/>
  <c r="L112" i="10" s="1"/>
  <c r="K113" i="10"/>
  <c r="L113" i="10" s="1"/>
  <c r="K114" i="10"/>
  <c r="L114" i="10" s="1"/>
  <c r="K115" i="10"/>
  <c r="L115" i="10" s="1"/>
  <c r="K116" i="10"/>
  <c r="L116" i="10" s="1"/>
  <c r="K117" i="10"/>
  <c r="L117" i="10" s="1"/>
  <c r="K118" i="10"/>
  <c r="L118" i="10" s="1"/>
  <c r="K119" i="10"/>
  <c r="L119" i="10" s="1"/>
  <c r="K120" i="10"/>
  <c r="L120" i="10" s="1"/>
  <c r="K121" i="10"/>
  <c r="L121" i="10" s="1"/>
  <c r="K122" i="10"/>
  <c r="L122" i="10" s="1"/>
  <c r="K123" i="10"/>
  <c r="L123" i="10" s="1"/>
  <c r="K124" i="10"/>
  <c r="L124" i="10" s="1"/>
  <c r="K125" i="10"/>
  <c r="L125" i="10" s="1"/>
  <c r="K126" i="10"/>
  <c r="L126" i="10" s="1"/>
  <c r="K127" i="10"/>
  <c r="L127" i="10" s="1"/>
  <c r="K128" i="10"/>
  <c r="L128" i="10" s="1"/>
  <c r="K129" i="10"/>
  <c r="L129" i="10" s="1"/>
  <c r="K130" i="10"/>
  <c r="L130" i="10" s="1"/>
  <c r="K131" i="10"/>
  <c r="L131" i="10" s="1"/>
  <c r="K132" i="10"/>
  <c r="L132" i="10" s="1"/>
  <c r="K133" i="10"/>
  <c r="L133" i="10" s="1"/>
  <c r="K134" i="10"/>
  <c r="L134" i="10" s="1"/>
  <c r="K135" i="10"/>
  <c r="L135" i="10" s="1"/>
  <c r="K136" i="10"/>
  <c r="L136" i="10" s="1"/>
  <c r="K137" i="10"/>
  <c r="L137" i="10" s="1"/>
  <c r="K138" i="10"/>
  <c r="L138" i="10" s="1"/>
  <c r="K139" i="10"/>
  <c r="L139" i="10" s="1"/>
  <c r="K140" i="10"/>
  <c r="L140" i="10" s="1"/>
  <c r="K141" i="10"/>
  <c r="L141" i="10" s="1"/>
  <c r="K142" i="10"/>
  <c r="L142" i="10" s="1"/>
  <c r="K143" i="10"/>
  <c r="L143" i="10" s="1"/>
  <c r="K144" i="10"/>
  <c r="L144" i="10" s="1"/>
  <c r="K145" i="10"/>
  <c r="L145" i="10" s="1"/>
  <c r="K146" i="10"/>
  <c r="L146" i="10" s="1"/>
  <c r="K147" i="10"/>
  <c r="L147" i="10" s="1"/>
  <c r="K148" i="10"/>
  <c r="L148" i="10" s="1"/>
  <c r="K149" i="10"/>
  <c r="L149" i="10" s="1"/>
  <c r="K150" i="10"/>
  <c r="L150" i="10" s="1"/>
  <c r="K151" i="10"/>
  <c r="L151" i="10" s="1"/>
  <c r="K152" i="10"/>
  <c r="L152" i="10" s="1"/>
  <c r="K153" i="10"/>
  <c r="L153" i="10" s="1"/>
  <c r="K154" i="10"/>
  <c r="L154" i="10" s="1"/>
  <c r="K155" i="10"/>
  <c r="L155" i="10" s="1"/>
  <c r="K156" i="10"/>
  <c r="L156" i="10" s="1"/>
  <c r="K157" i="10"/>
  <c r="L157" i="10" s="1"/>
  <c r="K158" i="10"/>
  <c r="L158" i="10" s="1"/>
  <c r="K159" i="10"/>
  <c r="L159" i="10" s="1"/>
  <c r="K160" i="10"/>
  <c r="L160" i="10" s="1"/>
  <c r="K161" i="10"/>
  <c r="L161" i="10" s="1"/>
  <c r="K162" i="10"/>
  <c r="L162" i="10" s="1"/>
  <c r="K163" i="10"/>
  <c r="L163" i="10" s="1"/>
  <c r="K164" i="10"/>
  <c r="L164" i="10" s="1"/>
  <c r="K165" i="10"/>
  <c r="L165" i="10" s="1"/>
  <c r="K166" i="10"/>
  <c r="L166" i="10" s="1"/>
  <c r="K167" i="10"/>
  <c r="L167" i="10" s="1"/>
  <c r="K168" i="10"/>
  <c r="L168" i="10" s="1"/>
  <c r="K169" i="10"/>
  <c r="L169" i="10" s="1"/>
  <c r="K170" i="10"/>
  <c r="L170" i="10" s="1"/>
  <c r="K171" i="10"/>
  <c r="L171" i="10" s="1"/>
  <c r="K172" i="10"/>
  <c r="L172" i="10" s="1"/>
  <c r="K173" i="10"/>
  <c r="L173" i="10" s="1"/>
  <c r="K174" i="10"/>
  <c r="L174" i="10" s="1"/>
  <c r="K175" i="10"/>
  <c r="L175" i="10" s="1"/>
  <c r="K176" i="10"/>
  <c r="L176" i="10" s="1"/>
  <c r="K177" i="10"/>
  <c r="L177" i="10" s="1"/>
  <c r="K178" i="10"/>
  <c r="L178" i="10" s="1"/>
  <c r="K179" i="10"/>
  <c r="L179" i="10" s="1"/>
  <c r="K180" i="10"/>
  <c r="L180" i="10" s="1"/>
  <c r="K181" i="10"/>
  <c r="L181" i="10" s="1"/>
  <c r="K182" i="10"/>
  <c r="L182" i="10" s="1"/>
  <c r="K183" i="10"/>
  <c r="L183" i="10" s="1"/>
  <c r="K184" i="10"/>
  <c r="L184" i="10" s="1"/>
  <c r="K185" i="10"/>
  <c r="L185" i="10" s="1"/>
  <c r="K186" i="10"/>
  <c r="L186" i="10" s="1"/>
  <c r="K187" i="10"/>
  <c r="L187" i="10" s="1"/>
  <c r="K188" i="10"/>
  <c r="L188" i="10" s="1"/>
  <c r="K189" i="10"/>
  <c r="L189" i="10" s="1"/>
  <c r="K190" i="10"/>
  <c r="L190" i="10" s="1"/>
  <c r="K191" i="10"/>
  <c r="L191" i="10" s="1"/>
  <c r="K192" i="10"/>
  <c r="L192" i="10" s="1"/>
  <c r="K193" i="10"/>
  <c r="L193" i="10" s="1"/>
  <c r="K194" i="10"/>
  <c r="L194" i="10" s="1"/>
  <c r="K195" i="10"/>
  <c r="L195" i="10" s="1"/>
  <c r="K196" i="10"/>
  <c r="L196" i="10" s="1"/>
  <c r="K197" i="10"/>
  <c r="L197" i="10" s="1"/>
  <c r="K198" i="10"/>
  <c r="L198" i="10" s="1"/>
  <c r="K199" i="10"/>
  <c r="L199" i="10" s="1"/>
  <c r="K200" i="10"/>
  <c r="L200" i="10" s="1"/>
  <c r="K201" i="10"/>
  <c r="L201" i="10" s="1"/>
  <c r="K202" i="10"/>
  <c r="L202" i="10" s="1"/>
  <c r="K203" i="10"/>
  <c r="L203" i="10" s="1"/>
  <c r="K204" i="10"/>
  <c r="L204" i="10" s="1"/>
  <c r="K205" i="10"/>
  <c r="L205" i="10" s="1"/>
  <c r="K206" i="10"/>
  <c r="L206" i="10" s="1"/>
  <c r="K207" i="10"/>
  <c r="L207" i="10" s="1"/>
  <c r="K208" i="10"/>
  <c r="L208" i="10" s="1"/>
  <c r="K209" i="10"/>
  <c r="L209" i="10" s="1"/>
  <c r="K210" i="10"/>
  <c r="L210" i="10" s="1"/>
  <c r="K211" i="10"/>
  <c r="L211" i="10" s="1"/>
  <c r="K212" i="10"/>
  <c r="L212" i="10" s="1"/>
  <c r="K213" i="10"/>
  <c r="L213" i="10" s="1"/>
  <c r="K214" i="10"/>
  <c r="L214" i="10" s="1"/>
  <c r="K215" i="10"/>
  <c r="L215" i="10" s="1"/>
  <c r="K216" i="10"/>
  <c r="L216" i="10" s="1"/>
  <c r="K217" i="10"/>
  <c r="L217" i="10" s="1"/>
  <c r="K218" i="10"/>
  <c r="L218" i="10" s="1"/>
  <c r="K219" i="10"/>
  <c r="L219" i="10" s="1"/>
  <c r="K220" i="10"/>
  <c r="L220" i="10" s="1"/>
  <c r="K221" i="10"/>
  <c r="L221" i="10" s="1"/>
  <c r="K222" i="10"/>
  <c r="L222" i="10" s="1"/>
  <c r="K223" i="10"/>
  <c r="L223" i="10" s="1"/>
  <c r="K224" i="10"/>
  <c r="L224" i="10" s="1"/>
  <c r="K225" i="10"/>
  <c r="L225" i="10" s="1"/>
  <c r="K226" i="10"/>
  <c r="L226" i="10" s="1"/>
  <c r="K227" i="10"/>
  <c r="L227" i="10" s="1"/>
  <c r="K228" i="10"/>
  <c r="L228" i="10" s="1"/>
  <c r="K229" i="10"/>
  <c r="L229" i="10" s="1"/>
  <c r="K230" i="10"/>
  <c r="L230" i="10" s="1"/>
  <c r="K231" i="10"/>
  <c r="L231" i="10" s="1"/>
  <c r="K232" i="10"/>
  <c r="L232" i="10" s="1"/>
  <c r="K233" i="10"/>
  <c r="L233" i="10" s="1"/>
  <c r="K234" i="10"/>
  <c r="L234" i="10" s="1"/>
  <c r="K235" i="10"/>
  <c r="L235" i="10" s="1"/>
  <c r="K236" i="10"/>
  <c r="L236" i="10" s="1"/>
  <c r="K237" i="10"/>
  <c r="L237" i="10" s="1"/>
  <c r="K238" i="10"/>
  <c r="L238" i="10" s="1"/>
  <c r="K239" i="10"/>
  <c r="L239" i="10" s="1"/>
  <c r="K240" i="10"/>
  <c r="L240" i="10" s="1"/>
  <c r="K241" i="10"/>
  <c r="L241" i="10" s="1"/>
  <c r="K242" i="10"/>
  <c r="L242" i="10" s="1"/>
  <c r="K243" i="10"/>
  <c r="L243" i="10" s="1"/>
  <c r="K244" i="10"/>
  <c r="L244" i="10" s="1"/>
  <c r="K245" i="10"/>
  <c r="L245" i="10" s="1"/>
  <c r="K246" i="10"/>
  <c r="L246" i="10" s="1"/>
  <c r="K247" i="10"/>
  <c r="L247" i="10" s="1"/>
  <c r="K248" i="10"/>
  <c r="L248" i="10" s="1"/>
  <c r="K249" i="10"/>
  <c r="L249" i="10" s="1"/>
  <c r="K250" i="10"/>
  <c r="L250" i="10" s="1"/>
  <c r="K251" i="10"/>
  <c r="L251" i="10" s="1"/>
  <c r="K252" i="10"/>
  <c r="L252" i="10" s="1"/>
  <c r="K253" i="10"/>
  <c r="L253" i="10" s="1"/>
  <c r="K254" i="10"/>
  <c r="L254" i="10" s="1"/>
  <c r="K255" i="10"/>
  <c r="L255" i="10" s="1"/>
  <c r="K256" i="10"/>
  <c r="L256" i="10" s="1"/>
  <c r="K257" i="10"/>
  <c r="L257" i="10" s="1"/>
  <c r="K258" i="10"/>
  <c r="L258" i="10" s="1"/>
  <c r="K259" i="10"/>
  <c r="L259" i="10" s="1"/>
  <c r="K260" i="10"/>
  <c r="L260" i="10" s="1"/>
  <c r="K261" i="10"/>
  <c r="L261" i="10" s="1"/>
  <c r="K262" i="10"/>
  <c r="L262" i="10" s="1"/>
  <c r="K263" i="10"/>
  <c r="L263" i="10" s="1"/>
  <c r="K264" i="10"/>
  <c r="L264" i="10" s="1"/>
  <c r="K265" i="10"/>
  <c r="L265" i="10" s="1"/>
  <c r="K266" i="10"/>
  <c r="L266" i="10" s="1"/>
  <c r="K267" i="10"/>
  <c r="L267" i="10" s="1"/>
  <c r="K268" i="10"/>
  <c r="L268" i="10" s="1"/>
  <c r="K269" i="10"/>
  <c r="L269" i="10" s="1"/>
  <c r="K270" i="10"/>
  <c r="L270" i="10" s="1"/>
  <c r="K271" i="10"/>
  <c r="L271" i="10" s="1"/>
  <c r="K272" i="10"/>
  <c r="L272" i="10" s="1"/>
  <c r="K273" i="10"/>
  <c r="L273" i="10" s="1"/>
  <c r="K274" i="10"/>
  <c r="L274" i="10" s="1"/>
  <c r="K275" i="10"/>
  <c r="L275" i="10" s="1"/>
  <c r="K276" i="10"/>
  <c r="L276" i="10" s="1"/>
  <c r="K277" i="10"/>
  <c r="L277" i="10" s="1"/>
  <c r="K278" i="10"/>
  <c r="L278" i="10" s="1"/>
  <c r="K279" i="10"/>
  <c r="L279" i="10" s="1"/>
  <c r="K280" i="10"/>
  <c r="L280" i="10" s="1"/>
  <c r="K281" i="10"/>
  <c r="L281" i="10" s="1"/>
  <c r="K282" i="10"/>
  <c r="L282" i="10" s="1"/>
  <c r="K283" i="10"/>
  <c r="L283" i="10" s="1"/>
  <c r="K284" i="10"/>
  <c r="L284" i="10" s="1"/>
  <c r="K285" i="10"/>
  <c r="L285" i="10" s="1"/>
  <c r="K286" i="10"/>
  <c r="L286" i="10" s="1"/>
  <c r="K287" i="10"/>
  <c r="L287" i="10" s="1"/>
  <c r="K288" i="10"/>
  <c r="L288" i="10" s="1"/>
  <c r="K289" i="10"/>
  <c r="L289" i="10" s="1"/>
  <c r="K290" i="10"/>
  <c r="L290" i="10" s="1"/>
  <c r="K291" i="10"/>
  <c r="L291" i="10" s="1"/>
  <c r="K292" i="10"/>
  <c r="L292" i="10" s="1"/>
  <c r="K293" i="10"/>
  <c r="L293" i="10" s="1"/>
  <c r="K294" i="10"/>
  <c r="L294" i="10" s="1"/>
  <c r="K295" i="10"/>
  <c r="L295" i="10" s="1"/>
  <c r="K296" i="10"/>
  <c r="L296" i="10" s="1"/>
  <c r="K297" i="10"/>
  <c r="L297" i="10" s="1"/>
  <c r="K298" i="10"/>
  <c r="L298" i="10" s="1"/>
  <c r="K299" i="10"/>
  <c r="L299" i="10" s="1"/>
  <c r="K300" i="10"/>
  <c r="L300" i="10" s="1"/>
  <c r="K301" i="10"/>
  <c r="L301" i="10" s="1"/>
  <c r="K302" i="10"/>
  <c r="L302" i="10" s="1"/>
  <c r="K303" i="10"/>
  <c r="L303" i="10" s="1"/>
  <c r="K304" i="10"/>
  <c r="L304" i="10" s="1"/>
  <c r="K305" i="10"/>
  <c r="L305" i="10" s="1"/>
  <c r="K306" i="10"/>
  <c r="L306" i="10" s="1"/>
  <c r="K307" i="10"/>
  <c r="L307" i="10" s="1"/>
  <c r="K308" i="10"/>
  <c r="L308" i="10" s="1"/>
  <c r="K309" i="10"/>
  <c r="L309" i="10" s="1"/>
  <c r="K310" i="10"/>
  <c r="L310" i="10" s="1"/>
  <c r="K311" i="10"/>
  <c r="L311" i="10" s="1"/>
  <c r="K312" i="10"/>
  <c r="L312" i="10" s="1"/>
  <c r="K313" i="10"/>
  <c r="L313" i="10" s="1"/>
  <c r="K314" i="10"/>
  <c r="L314" i="10" s="1"/>
  <c r="K315" i="10"/>
  <c r="L315" i="10" s="1"/>
  <c r="K316" i="10"/>
  <c r="L316" i="10" s="1"/>
  <c r="K317" i="10"/>
  <c r="L317" i="10" s="1"/>
  <c r="K318" i="10"/>
  <c r="L318" i="10" s="1"/>
  <c r="K319" i="10"/>
  <c r="L319" i="10" s="1"/>
  <c r="K320" i="10"/>
  <c r="L320" i="10" s="1"/>
  <c r="K321" i="10"/>
  <c r="L321" i="10" s="1"/>
  <c r="K322" i="10"/>
  <c r="L322" i="10" s="1"/>
  <c r="K323" i="10"/>
  <c r="L323" i="10" s="1"/>
  <c r="K324" i="10"/>
  <c r="L324" i="10" s="1"/>
  <c r="K325" i="10"/>
  <c r="L325" i="10" s="1"/>
  <c r="K326" i="10"/>
  <c r="L326" i="10" s="1"/>
  <c r="K327" i="10"/>
  <c r="L327" i="10" s="1"/>
  <c r="K328" i="10"/>
  <c r="L328" i="10" s="1"/>
  <c r="K329" i="10"/>
  <c r="L329" i="10" s="1"/>
  <c r="K330" i="10"/>
  <c r="L330" i="10" s="1"/>
  <c r="K331" i="10"/>
  <c r="L331" i="10" s="1"/>
  <c r="K332" i="10"/>
  <c r="L332" i="10" s="1"/>
  <c r="K333" i="10"/>
  <c r="L333" i="10" s="1"/>
  <c r="K334" i="10"/>
  <c r="L334" i="10" s="1"/>
  <c r="K335" i="10"/>
  <c r="L335" i="10" s="1"/>
  <c r="K336" i="10"/>
  <c r="L336" i="10" s="1"/>
  <c r="K337" i="10"/>
  <c r="L337" i="10" s="1"/>
  <c r="K338" i="10"/>
  <c r="L338" i="10" s="1"/>
  <c r="K339" i="10"/>
  <c r="L339" i="10" s="1"/>
  <c r="K340" i="10"/>
  <c r="L340" i="10" s="1"/>
  <c r="K341" i="10"/>
  <c r="L341" i="10" s="1"/>
  <c r="K342" i="10"/>
  <c r="L342" i="10" s="1"/>
  <c r="K343" i="10"/>
  <c r="L343" i="10" s="1"/>
  <c r="K344" i="10"/>
  <c r="L344" i="10" s="1"/>
  <c r="K345" i="10"/>
  <c r="L345" i="10" s="1"/>
  <c r="K346" i="10"/>
  <c r="L346" i="10" s="1"/>
  <c r="K347" i="10"/>
  <c r="L347" i="10" s="1"/>
  <c r="K348" i="10"/>
  <c r="L348" i="10" s="1"/>
  <c r="K349" i="10"/>
  <c r="L349" i="10" s="1"/>
  <c r="K350" i="10"/>
  <c r="L350" i="10" s="1"/>
  <c r="K351" i="10"/>
  <c r="L351" i="10" s="1"/>
  <c r="K352" i="10"/>
  <c r="L352" i="10" s="1"/>
  <c r="K353" i="10"/>
  <c r="L353" i="10" s="1"/>
  <c r="K354" i="10"/>
  <c r="L354" i="10" s="1"/>
  <c r="K355" i="10"/>
  <c r="L355" i="10" s="1"/>
  <c r="K356" i="10"/>
  <c r="L356" i="10" s="1"/>
  <c r="K357" i="10"/>
  <c r="L357" i="10" s="1"/>
  <c r="K358" i="10"/>
  <c r="L358" i="10" s="1"/>
  <c r="K359" i="10"/>
  <c r="L359" i="10" s="1"/>
  <c r="K360" i="10"/>
  <c r="L360" i="10" s="1"/>
  <c r="K361" i="10"/>
  <c r="L361" i="10" s="1"/>
  <c r="K362" i="10"/>
  <c r="L362" i="10" s="1"/>
  <c r="K363" i="10"/>
  <c r="L363" i="10" s="1"/>
  <c r="K364" i="10"/>
  <c r="L364" i="10" s="1"/>
  <c r="K365" i="10"/>
  <c r="L365" i="10" s="1"/>
  <c r="K366" i="10"/>
  <c r="L366" i="10" s="1"/>
  <c r="K367" i="10"/>
  <c r="L367" i="10" s="1"/>
  <c r="K368" i="10"/>
  <c r="L368" i="10" s="1"/>
  <c r="K369" i="10"/>
  <c r="L369" i="10" s="1"/>
  <c r="K370" i="10"/>
  <c r="L370" i="10" s="1"/>
  <c r="K371" i="10"/>
  <c r="L371" i="10" s="1"/>
  <c r="K372" i="10"/>
  <c r="L372" i="10" s="1"/>
  <c r="K373" i="10"/>
  <c r="L373" i="10" s="1"/>
  <c r="K374" i="10"/>
  <c r="L374" i="10" s="1"/>
  <c r="K375" i="10"/>
  <c r="L375" i="10" s="1"/>
  <c r="K376" i="10"/>
  <c r="L376" i="10" s="1"/>
  <c r="K377" i="10"/>
  <c r="L377" i="10" s="1"/>
  <c r="K378" i="10"/>
  <c r="L378" i="10" s="1"/>
  <c r="K379" i="10"/>
  <c r="L379" i="10" s="1"/>
  <c r="K380" i="10"/>
  <c r="L380" i="10" s="1"/>
  <c r="K381" i="10"/>
  <c r="L381" i="10" s="1"/>
  <c r="K382" i="10"/>
  <c r="L382" i="10" s="1"/>
  <c r="K383" i="10"/>
  <c r="L383" i="10" s="1"/>
  <c r="K384" i="10"/>
  <c r="L384" i="10" s="1"/>
  <c r="K385" i="10"/>
  <c r="L385" i="10" s="1"/>
  <c r="K386" i="10"/>
  <c r="L386" i="10" s="1"/>
  <c r="K387" i="10"/>
  <c r="L387" i="10" s="1"/>
  <c r="K388" i="10"/>
  <c r="L388" i="10" s="1"/>
  <c r="K389" i="10"/>
  <c r="L389" i="10" s="1"/>
  <c r="K390" i="10"/>
  <c r="L390" i="10" s="1"/>
  <c r="K391" i="10"/>
  <c r="L391" i="10" s="1"/>
  <c r="K392" i="10"/>
  <c r="L392" i="10" s="1"/>
  <c r="K393" i="10"/>
  <c r="L393" i="10" s="1"/>
  <c r="K394" i="10"/>
  <c r="L394" i="10" s="1"/>
  <c r="K395" i="10"/>
  <c r="L395" i="10" s="1"/>
  <c r="K396" i="10"/>
  <c r="L396" i="10" s="1"/>
  <c r="K397" i="10"/>
  <c r="L397" i="10" s="1"/>
  <c r="K398" i="10"/>
  <c r="L398" i="10" s="1"/>
  <c r="K399" i="10"/>
  <c r="L399" i="10" s="1"/>
  <c r="K400" i="10"/>
  <c r="L400" i="10" s="1"/>
  <c r="K401" i="10"/>
  <c r="L401" i="10" s="1"/>
  <c r="K402" i="10"/>
  <c r="L402" i="10" s="1"/>
  <c r="K403" i="10"/>
  <c r="L403" i="10" s="1"/>
  <c r="K404" i="10"/>
  <c r="L404" i="10" s="1"/>
  <c r="K405" i="10"/>
  <c r="L405" i="10" s="1"/>
  <c r="K406" i="10"/>
  <c r="L406" i="10" s="1"/>
  <c r="K407" i="10"/>
  <c r="L407" i="10" s="1"/>
  <c r="K408" i="10"/>
  <c r="L408" i="10" s="1"/>
  <c r="K409" i="10"/>
  <c r="L409" i="10" s="1"/>
  <c r="K410" i="10"/>
  <c r="L410" i="10" s="1"/>
  <c r="K411" i="10"/>
  <c r="L411" i="10" s="1"/>
  <c r="K412" i="10"/>
  <c r="L412" i="10" s="1"/>
  <c r="K413" i="10"/>
  <c r="L413" i="10" s="1"/>
  <c r="K414" i="10"/>
  <c r="L414" i="10" s="1"/>
  <c r="K415" i="10"/>
  <c r="L415" i="10" s="1"/>
  <c r="K416" i="10"/>
  <c r="L416" i="10" s="1"/>
  <c r="K417" i="10"/>
  <c r="L417" i="10" s="1"/>
  <c r="K418" i="10"/>
  <c r="L418" i="10" s="1"/>
  <c r="K419" i="10"/>
  <c r="L419" i="10" s="1"/>
  <c r="K420" i="10"/>
  <c r="L420" i="10" s="1"/>
  <c r="K421" i="10"/>
  <c r="L421" i="10" s="1"/>
  <c r="K422" i="10"/>
  <c r="L422" i="10" s="1"/>
  <c r="K423" i="10"/>
  <c r="L423" i="10" s="1"/>
  <c r="K424" i="10"/>
  <c r="L424" i="10" s="1"/>
  <c r="K425" i="10"/>
  <c r="L425" i="10" s="1"/>
  <c r="K426" i="10"/>
  <c r="L426" i="10" s="1"/>
  <c r="K427" i="10"/>
  <c r="L427" i="10" s="1"/>
  <c r="K428" i="10"/>
  <c r="L428" i="10" s="1"/>
  <c r="K429" i="10"/>
  <c r="L429" i="10" s="1"/>
  <c r="K430" i="10"/>
  <c r="L430" i="10" s="1"/>
  <c r="K431" i="10"/>
  <c r="L431" i="10" s="1"/>
  <c r="K432" i="10"/>
  <c r="L432" i="10" s="1"/>
  <c r="K433" i="10"/>
  <c r="L433" i="10" s="1"/>
  <c r="K434" i="10"/>
  <c r="L434" i="10" s="1"/>
  <c r="K435" i="10"/>
  <c r="L435" i="10" s="1"/>
  <c r="K436" i="10"/>
  <c r="L436" i="10" s="1"/>
  <c r="K437" i="10"/>
  <c r="L437" i="10" s="1"/>
  <c r="K438" i="10"/>
  <c r="L438" i="10" s="1"/>
  <c r="K439" i="10"/>
  <c r="L439" i="10" s="1"/>
  <c r="K440" i="10"/>
  <c r="L440" i="10" s="1"/>
  <c r="K441" i="10"/>
  <c r="L441" i="10" s="1"/>
  <c r="K442" i="10"/>
  <c r="L442" i="10" s="1"/>
  <c r="K443" i="10"/>
  <c r="L443" i="10" s="1"/>
  <c r="K444" i="10"/>
  <c r="L444" i="10" s="1"/>
  <c r="K445" i="10"/>
  <c r="L445" i="10" s="1"/>
  <c r="K446" i="10"/>
  <c r="L446" i="10" s="1"/>
  <c r="K447" i="10"/>
  <c r="L447" i="10" s="1"/>
  <c r="K448" i="10"/>
  <c r="L448" i="10" s="1"/>
  <c r="K449" i="10"/>
  <c r="L449" i="10" s="1"/>
  <c r="K450" i="10"/>
  <c r="L450" i="10" s="1"/>
  <c r="K451" i="10"/>
  <c r="L451" i="10" s="1"/>
  <c r="K452" i="10"/>
  <c r="L452" i="10" s="1"/>
  <c r="K453" i="10"/>
  <c r="L453" i="10" s="1"/>
  <c r="K454" i="10"/>
  <c r="L454" i="10" s="1"/>
  <c r="K455" i="10"/>
  <c r="L455" i="10" s="1"/>
  <c r="K456" i="10"/>
  <c r="L456" i="10" s="1"/>
  <c r="K457" i="10"/>
  <c r="L457" i="10" s="1"/>
  <c r="K458" i="10"/>
  <c r="L458" i="10" s="1"/>
  <c r="K459" i="10"/>
  <c r="L459" i="10" s="1"/>
  <c r="K460" i="10"/>
  <c r="L460" i="10" s="1"/>
  <c r="K461" i="10"/>
  <c r="L461" i="10" s="1"/>
  <c r="K462" i="10"/>
  <c r="L462" i="10" s="1"/>
  <c r="K463" i="10"/>
  <c r="L463" i="10" s="1"/>
  <c r="K464" i="10"/>
  <c r="L464" i="10" s="1"/>
  <c r="K465" i="10"/>
  <c r="L465" i="10" s="1"/>
  <c r="K466" i="10"/>
  <c r="L466" i="10" s="1"/>
  <c r="K467" i="10"/>
  <c r="L467" i="10" s="1"/>
  <c r="K468" i="10"/>
  <c r="L468" i="10" s="1"/>
  <c r="K469" i="10"/>
  <c r="L469" i="10" s="1"/>
  <c r="K470" i="10"/>
  <c r="L470" i="10" s="1"/>
  <c r="K471" i="10"/>
  <c r="L471" i="10" s="1"/>
  <c r="K472" i="10"/>
  <c r="L472" i="10" s="1"/>
  <c r="K473" i="10"/>
  <c r="L473" i="10" s="1"/>
  <c r="K474" i="10"/>
  <c r="L474" i="10" s="1"/>
  <c r="K475" i="10"/>
  <c r="L475" i="10" s="1"/>
  <c r="K476" i="10"/>
  <c r="L476" i="10" s="1"/>
  <c r="K477" i="10"/>
  <c r="L477" i="10" s="1"/>
  <c r="K478" i="10"/>
  <c r="L478" i="10" s="1"/>
  <c r="K479" i="10"/>
  <c r="L479" i="10" s="1"/>
  <c r="K480" i="10"/>
  <c r="L480" i="10" s="1"/>
  <c r="K481" i="10"/>
  <c r="L481" i="10" s="1"/>
  <c r="K482" i="10"/>
  <c r="L482" i="10" s="1"/>
  <c r="K483" i="10"/>
  <c r="L483" i="10" s="1"/>
  <c r="K484" i="10"/>
  <c r="L484" i="10" s="1"/>
  <c r="K485" i="10"/>
  <c r="L485" i="10" s="1"/>
  <c r="K486" i="10"/>
  <c r="L486" i="10" s="1"/>
  <c r="K487" i="10"/>
  <c r="L487" i="10" s="1"/>
  <c r="K488" i="10"/>
  <c r="L488" i="10" s="1"/>
  <c r="K489" i="10"/>
  <c r="L489" i="10" s="1"/>
  <c r="K490" i="10"/>
  <c r="L490" i="10" s="1"/>
  <c r="K491" i="10"/>
  <c r="L491" i="10" s="1"/>
  <c r="K492" i="10"/>
  <c r="L492" i="10" s="1"/>
  <c r="K493" i="10"/>
  <c r="L493" i="10" s="1"/>
  <c r="K494" i="10"/>
  <c r="L494" i="10" s="1"/>
  <c r="K495" i="10"/>
  <c r="L495" i="10" s="1"/>
  <c r="K496" i="10"/>
  <c r="L496" i="10" s="1"/>
  <c r="K497" i="10"/>
  <c r="L497" i="10" s="1"/>
  <c r="K498" i="10"/>
  <c r="L498" i="10" s="1"/>
  <c r="K499" i="10"/>
  <c r="L499" i="10" s="1"/>
  <c r="K500" i="10"/>
  <c r="L500" i="10" s="1"/>
  <c r="K501" i="10"/>
  <c r="L501" i="10" s="1"/>
  <c r="K502" i="10"/>
  <c r="L502" i="10" s="1"/>
  <c r="K503" i="10"/>
  <c r="L503" i="10" s="1"/>
  <c r="K504" i="10"/>
  <c r="L504" i="10" s="1"/>
  <c r="K505" i="10"/>
  <c r="L505" i="10" s="1"/>
  <c r="K506" i="10"/>
  <c r="L506" i="10" s="1"/>
  <c r="K507" i="10"/>
  <c r="L507" i="10" s="1"/>
  <c r="K508" i="10"/>
  <c r="L508" i="10" s="1"/>
  <c r="K509" i="10"/>
  <c r="L509" i="10" s="1"/>
  <c r="K510" i="10"/>
  <c r="L510" i="10" s="1"/>
  <c r="K511" i="10"/>
  <c r="L511" i="10" s="1"/>
  <c r="K512" i="10"/>
  <c r="L512" i="10" s="1"/>
  <c r="K513" i="10"/>
  <c r="L513" i="10" s="1"/>
  <c r="K514" i="10"/>
  <c r="L514" i="10" s="1"/>
  <c r="K515" i="10"/>
  <c r="L515" i="10" s="1"/>
  <c r="K516" i="10"/>
  <c r="L516" i="10" s="1"/>
  <c r="K517" i="10"/>
  <c r="L517" i="10" s="1"/>
  <c r="K518" i="10"/>
  <c r="L518" i="10" s="1"/>
  <c r="K519" i="10"/>
  <c r="L519" i="10" s="1"/>
  <c r="K520" i="10"/>
  <c r="L520" i="10" s="1"/>
  <c r="K521" i="10"/>
  <c r="L521" i="10" s="1"/>
  <c r="K522" i="10"/>
  <c r="L522" i="10" s="1"/>
  <c r="K523" i="10"/>
  <c r="L523" i="10" s="1"/>
  <c r="K524" i="10"/>
  <c r="L524" i="10" s="1"/>
  <c r="K525" i="10"/>
  <c r="L525" i="10" s="1"/>
  <c r="K526" i="10"/>
  <c r="L526" i="10" s="1"/>
  <c r="K527" i="10"/>
  <c r="L527" i="10" s="1"/>
  <c r="K528" i="10"/>
  <c r="L528" i="10" s="1"/>
  <c r="K529" i="10"/>
  <c r="L529" i="10" s="1"/>
  <c r="K530" i="10"/>
  <c r="L530" i="10" s="1"/>
  <c r="K531" i="10"/>
  <c r="L531" i="10" s="1"/>
  <c r="K532" i="10"/>
  <c r="L532" i="10" s="1"/>
  <c r="K533" i="10"/>
  <c r="L533" i="10" s="1"/>
  <c r="K534" i="10"/>
  <c r="L534" i="10" s="1"/>
  <c r="K535" i="10"/>
  <c r="L535" i="10" s="1"/>
  <c r="K536" i="10"/>
  <c r="L536" i="10" s="1"/>
  <c r="K537" i="10"/>
  <c r="L537" i="10" s="1"/>
  <c r="K538" i="10"/>
  <c r="L538" i="10" s="1"/>
  <c r="K539" i="10"/>
  <c r="L539" i="10" s="1"/>
  <c r="K540" i="10"/>
  <c r="L540" i="10" s="1"/>
  <c r="K541" i="10"/>
  <c r="L541" i="10" s="1"/>
  <c r="K542" i="10"/>
  <c r="L542" i="10" s="1"/>
  <c r="K543" i="10"/>
  <c r="L543" i="10" s="1"/>
  <c r="K544" i="10"/>
  <c r="L544" i="10" s="1"/>
  <c r="K545" i="10"/>
  <c r="L545" i="10" s="1"/>
  <c r="K546" i="10"/>
  <c r="L546" i="10" s="1"/>
  <c r="K547" i="10"/>
  <c r="L547" i="10" s="1"/>
  <c r="K548" i="10"/>
  <c r="L548" i="10" s="1"/>
  <c r="K549" i="10"/>
  <c r="L549" i="10" s="1"/>
  <c r="K550" i="10"/>
  <c r="L550" i="10" s="1"/>
  <c r="K551" i="10"/>
  <c r="L551" i="10" s="1"/>
  <c r="K552" i="10"/>
  <c r="L552" i="10" s="1"/>
  <c r="K553" i="10"/>
  <c r="L553" i="10" s="1"/>
  <c r="K554" i="10"/>
  <c r="L554" i="10" s="1"/>
  <c r="K555" i="10"/>
  <c r="L555" i="10" s="1"/>
  <c r="K556" i="10"/>
  <c r="L556" i="10" s="1"/>
  <c r="K557" i="10"/>
  <c r="L557" i="10" s="1"/>
  <c r="K558" i="10"/>
  <c r="L558" i="10" s="1"/>
  <c r="K559" i="10"/>
  <c r="L559" i="10" s="1"/>
  <c r="K560" i="10"/>
  <c r="L560" i="10" s="1"/>
  <c r="K561" i="10"/>
  <c r="L561" i="10" s="1"/>
  <c r="K562" i="10"/>
  <c r="L562" i="10" s="1"/>
  <c r="K563" i="10"/>
  <c r="L563" i="10" s="1"/>
  <c r="K564" i="10"/>
  <c r="L564" i="10" s="1"/>
  <c r="K565" i="10"/>
  <c r="L565" i="10" s="1"/>
  <c r="K566" i="10"/>
  <c r="L566" i="10" s="1"/>
  <c r="K567" i="10"/>
  <c r="L567" i="10" s="1"/>
  <c r="K568" i="10"/>
  <c r="L568" i="10" s="1"/>
  <c r="K569" i="10"/>
  <c r="L569" i="10" s="1"/>
  <c r="K570" i="10"/>
  <c r="L570" i="10" s="1"/>
  <c r="K571" i="10"/>
  <c r="L571" i="10" s="1"/>
  <c r="K572" i="10"/>
  <c r="L572" i="10" s="1"/>
  <c r="K573" i="10"/>
  <c r="L573" i="10" s="1"/>
  <c r="K574" i="10"/>
  <c r="L574" i="10" s="1"/>
  <c r="K575" i="10"/>
  <c r="L575" i="10" s="1"/>
  <c r="K576" i="10"/>
  <c r="L576" i="10" s="1"/>
  <c r="K577" i="10"/>
  <c r="L577" i="10" s="1"/>
  <c r="K578" i="10"/>
  <c r="L578" i="10" s="1"/>
  <c r="K579" i="10"/>
  <c r="L579" i="10" s="1"/>
  <c r="K580" i="10"/>
  <c r="L580" i="10" s="1"/>
  <c r="K581" i="10"/>
  <c r="L581" i="10" s="1"/>
  <c r="K582" i="10"/>
  <c r="L582" i="10" s="1"/>
  <c r="K583" i="10"/>
  <c r="L583" i="10" s="1"/>
  <c r="K584" i="10"/>
  <c r="L584" i="10" s="1"/>
  <c r="K585" i="10"/>
  <c r="L585" i="10" s="1"/>
  <c r="K586" i="10"/>
  <c r="L586" i="10" s="1"/>
  <c r="K587" i="10"/>
  <c r="L587" i="10" s="1"/>
  <c r="K588" i="10"/>
  <c r="L588" i="10" s="1"/>
  <c r="K589" i="10"/>
  <c r="L589" i="10" s="1"/>
  <c r="K590" i="10"/>
  <c r="L590" i="10" s="1"/>
  <c r="K591" i="10"/>
  <c r="L591" i="10" s="1"/>
  <c r="K592" i="10"/>
  <c r="L592" i="10" s="1"/>
  <c r="K593" i="10"/>
  <c r="L593" i="10" s="1"/>
  <c r="K594" i="10"/>
  <c r="L594" i="10" s="1"/>
  <c r="K595" i="10"/>
  <c r="L595" i="10" s="1"/>
  <c r="K596" i="10"/>
  <c r="L596" i="10" s="1"/>
  <c r="K597" i="10"/>
  <c r="L597" i="10" s="1"/>
  <c r="K598" i="10"/>
  <c r="L598" i="10" s="1"/>
  <c r="K599" i="10"/>
  <c r="L599" i="10" s="1"/>
  <c r="K600" i="10"/>
  <c r="L600" i="10" s="1"/>
  <c r="K601" i="10"/>
  <c r="L601" i="10" s="1"/>
  <c r="K602" i="10"/>
  <c r="L602" i="10" s="1"/>
  <c r="K603" i="10"/>
  <c r="L603" i="10" s="1"/>
  <c r="K604" i="10"/>
  <c r="L604" i="10" s="1"/>
  <c r="K605" i="10"/>
  <c r="L605" i="10" s="1"/>
  <c r="K606" i="10"/>
  <c r="L606" i="10" s="1"/>
  <c r="K607" i="10"/>
  <c r="L607" i="10" s="1"/>
  <c r="K608" i="10"/>
  <c r="L608" i="10" s="1"/>
  <c r="K609" i="10"/>
  <c r="L609" i="10" s="1"/>
  <c r="K610" i="10"/>
  <c r="L610" i="10" s="1"/>
  <c r="K611" i="10"/>
  <c r="L611" i="10" s="1"/>
  <c r="K612" i="10"/>
  <c r="L612" i="10" s="1"/>
  <c r="K613" i="10"/>
  <c r="L613" i="10" s="1"/>
  <c r="K614" i="10"/>
  <c r="L614" i="10" s="1"/>
  <c r="K615" i="10"/>
  <c r="L615" i="10" s="1"/>
  <c r="K616" i="10"/>
  <c r="L616" i="10" s="1"/>
  <c r="K617" i="10"/>
  <c r="L617" i="10" s="1"/>
  <c r="K618" i="10"/>
  <c r="L618" i="10" s="1"/>
  <c r="K619" i="10"/>
  <c r="L619" i="10" s="1"/>
  <c r="K620" i="10"/>
  <c r="L620" i="10" s="1"/>
  <c r="K621" i="10"/>
  <c r="L621" i="10" s="1"/>
  <c r="K622" i="10"/>
  <c r="L622" i="10" s="1"/>
  <c r="K623" i="10"/>
  <c r="L623" i="10" s="1"/>
  <c r="K624" i="10"/>
  <c r="L624" i="10" s="1"/>
  <c r="K625" i="10"/>
  <c r="L625" i="10" s="1"/>
  <c r="K626" i="10"/>
  <c r="L626" i="10" s="1"/>
  <c r="K627" i="10"/>
  <c r="L627" i="10" s="1"/>
  <c r="K628" i="10"/>
  <c r="L628" i="10" s="1"/>
  <c r="K629" i="10"/>
  <c r="L629" i="10" s="1"/>
  <c r="K630" i="10"/>
  <c r="L630" i="10" s="1"/>
  <c r="K631" i="10"/>
  <c r="L631" i="10" s="1"/>
  <c r="K632" i="10"/>
  <c r="L632" i="10" s="1"/>
  <c r="K633" i="10"/>
  <c r="L633" i="10" s="1"/>
  <c r="K634" i="10"/>
  <c r="L634" i="10" s="1"/>
  <c r="K635" i="10"/>
  <c r="L635" i="10" s="1"/>
  <c r="K636" i="10"/>
  <c r="L636" i="10" s="1"/>
  <c r="K637" i="10"/>
  <c r="L637" i="10" s="1"/>
  <c r="K638" i="10"/>
  <c r="L638" i="10" s="1"/>
  <c r="K639" i="10"/>
  <c r="L639" i="10" s="1"/>
  <c r="K640" i="10"/>
  <c r="L640" i="10" s="1"/>
  <c r="K641" i="10"/>
  <c r="L641" i="10" s="1"/>
  <c r="K642" i="10"/>
  <c r="L642" i="10" s="1"/>
  <c r="K643" i="10"/>
  <c r="L643" i="10" s="1"/>
  <c r="K644" i="10"/>
  <c r="L644" i="10" s="1"/>
  <c r="K645" i="10"/>
  <c r="L645" i="10" s="1"/>
  <c r="K646" i="10"/>
  <c r="L646" i="10" s="1"/>
  <c r="K647" i="10"/>
  <c r="L647" i="10" s="1"/>
  <c r="K648" i="10"/>
  <c r="L648" i="10" s="1"/>
  <c r="K649" i="10"/>
  <c r="L649" i="10" s="1"/>
  <c r="K650" i="10"/>
  <c r="L650" i="10" s="1"/>
  <c r="K651" i="10"/>
  <c r="L651" i="10" s="1"/>
  <c r="K652" i="10"/>
  <c r="L652" i="10" s="1"/>
  <c r="K653" i="10"/>
  <c r="L653" i="10" s="1"/>
  <c r="K654" i="10"/>
  <c r="L654" i="10" s="1"/>
  <c r="K655" i="10"/>
  <c r="L655" i="10" s="1"/>
  <c r="K656" i="10"/>
  <c r="L656" i="10" s="1"/>
  <c r="K657" i="10"/>
  <c r="L657" i="10" s="1"/>
  <c r="K658" i="10"/>
  <c r="L658" i="10" s="1"/>
  <c r="K659" i="10"/>
  <c r="L659" i="10" s="1"/>
  <c r="K660" i="10"/>
  <c r="L660" i="10" s="1"/>
  <c r="K661" i="10"/>
  <c r="L661" i="10" s="1"/>
  <c r="K662" i="10"/>
  <c r="L662" i="10" s="1"/>
  <c r="K663" i="10"/>
  <c r="L663" i="10" s="1"/>
  <c r="K664" i="10"/>
  <c r="L664" i="10" s="1"/>
  <c r="K665" i="10"/>
  <c r="L665" i="10" s="1"/>
  <c r="K666" i="10"/>
  <c r="L666" i="10" s="1"/>
  <c r="K667" i="10"/>
  <c r="L667" i="10" s="1"/>
  <c r="K668" i="10"/>
  <c r="L668" i="10" s="1"/>
  <c r="K669" i="10"/>
  <c r="L669" i="10" s="1"/>
  <c r="K670" i="10"/>
  <c r="L670" i="10" s="1"/>
  <c r="K671" i="10"/>
  <c r="L671" i="10" s="1"/>
  <c r="K672" i="10"/>
  <c r="L672" i="10" s="1"/>
  <c r="K673" i="10"/>
  <c r="L673" i="10" s="1"/>
  <c r="K674" i="10"/>
  <c r="L674" i="10" s="1"/>
  <c r="K675" i="10"/>
  <c r="L675" i="10" s="1"/>
  <c r="K676" i="10"/>
  <c r="L676" i="10" s="1"/>
  <c r="K677" i="10"/>
  <c r="L677" i="10" s="1"/>
  <c r="K678" i="10"/>
  <c r="L678" i="10" s="1"/>
  <c r="K679" i="10"/>
  <c r="L679" i="10" s="1"/>
  <c r="K680" i="10"/>
  <c r="L680" i="10" s="1"/>
  <c r="K681" i="10"/>
  <c r="L681" i="10" s="1"/>
  <c r="K682" i="10"/>
  <c r="L682" i="10" s="1"/>
  <c r="K683" i="10"/>
  <c r="L683" i="10" s="1"/>
  <c r="K684" i="10"/>
  <c r="L684" i="10" s="1"/>
  <c r="K685" i="10"/>
  <c r="L685" i="10" s="1"/>
  <c r="K686" i="10"/>
  <c r="L686" i="10" s="1"/>
  <c r="K687" i="10"/>
  <c r="L687" i="10" s="1"/>
  <c r="K688" i="10"/>
  <c r="L688" i="10" s="1"/>
  <c r="K689" i="10"/>
  <c r="L689" i="10" s="1"/>
  <c r="K690" i="10"/>
  <c r="L690" i="10" s="1"/>
  <c r="K691" i="10"/>
  <c r="L691" i="10" s="1"/>
  <c r="K692" i="10"/>
  <c r="L692" i="10" s="1"/>
  <c r="K693" i="10"/>
  <c r="L693" i="10" s="1"/>
  <c r="K694" i="10"/>
  <c r="L694" i="10" s="1"/>
  <c r="K695" i="10"/>
  <c r="L695" i="10" s="1"/>
  <c r="K696" i="10"/>
  <c r="L696" i="10" s="1"/>
  <c r="K697" i="10"/>
  <c r="L697" i="10" s="1"/>
  <c r="K698" i="10"/>
  <c r="L698" i="10" s="1"/>
  <c r="K699" i="10"/>
  <c r="L699" i="10" s="1"/>
  <c r="K700" i="10"/>
  <c r="L700" i="10" s="1"/>
  <c r="K701" i="10"/>
  <c r="L701" i="10" s="1"/>
  <c r="K702" i="10"/>
  <c r="L702" i="10" s="1"/>
  <c r="K703" i="10"/>
  <c r="L703" i="10" s="1"/>
  <c r="K704" i="10"/>
  <c r="L704" i="10" s="1"/>
  <c r="K705" i="10"/>
  <c r="L705" i="10" s="1"/>
  <c r="K706" i="10"/>
  <c r="L706" i="10" s="1"/>
  <c r="K707" i="10"/>
  <c r="L707" i="10" s="1"/>
  <c r="K708" i="10"/>
  <c r="L708" i="10" s="1"/>
  <c r="K709" i="10"/>
  <c r="L709" i="10" s="1"/>
  <c r="K710" i="10"/>
  <c r="L710" i="10" s="1"/>
  <c r="K711" i="10"/>
  <c r="L711" i="10" s="1"/>
  <c r="K712" i="10"/>
  <c r="L712" i="10" s="1"/>
  <c r="K713" i="10"/>
  <c r="L713" i="10" s="1"/>
  <c r="K714" i="10"/>
  <c r="L714" i="10" s="1"/>
  <c r="K715" i="10"/>
  <c r="L715" i="10" s="1"/>
  <c r="K716" i="10"/>
  <c r="L716" i="10" s="1"/>
  <c r="K717" i="10"/>
  <c r="L717" i="10" s="1"/>
  <c r="K718" i="10"/>
  <c r="L718" i="10" s="1"/>
  <c r="K719" i="10"/>
  <c r="L719" i="10" s="1"/>
  <c r="K720" i="10"/>
  <c r="L720" i="10" s="1"/>
  <c r="K721" i="10"/>
  <c r="L721" i="10" s="1"/>
  <c r="K722" i="10"/>
  <c r="L722" i="10" s="1"/>
  <c r="K723" i="10"/>
  <c r="L723" i="10" s="1"/>
  <c r="K724" i="10"/>
  <c r="L724" i="10" s="1"/>
  <c r="K725" i="10"/>
  <c r="L725" i="10" s="1"/>
  <c r="K726" i="10"/>
  <c r="L726" i="10" s="1"/>
  <c r="K727" i="10"/>
  <c r="L727" i="10" s="1"/>
  <c r="K728" i="10"/>
  <c r="L728" i="10" s="1"/>
  <c r="K729" i="10"/>
  <c r="L729" i="10" s="1"/>
  <c r="K730" i="10"/>
  <c r="L730" i="10" s="1"/>
  <c r="K731" i="10"/>
  <c r="L731" i="10" s="1"/>
  <c r="K732" i="10"/>
  <c r="L732" i="10" s="1"/>
  <c r="K733" i="10"/>
  <c r="L733" i="10" s="1"/>
  <c r="K734" i="10"/>
  <c r="L734" i="10" s="1"/>
  <c r="K735" i="10"/>
  <c r="L735" i="10" s="1"/>
  <c r="K736" i="10"/>
  <c r="L736" i="10" s="1"/>
  <c r="K737" i="10"/>
  <c r="L737" i="10" s="1"/>
  <c r="K738" i="10"/>
  <c r="L738" i="10" s="1"/>
  <c r="K739" i="10"/>
  <c r="L739" i="10" s="1"/>
  <c r="K740" i="10"/>
  <c r="L740" i="10" s="1"/>
  <c r="K741" i="10"/>
  <c r="L741" i="10" s="1"/>
  <c r="K742" i="10"/>
  <c r="L742" i="10" s="1"/>
  <c r="K743" i="10"/>
  <c r="L743" i="10" s="1"/>
  <c r="K744" i="10"/>
  <c r="L744" i="10" s="1"/>
  <c r="K745" i="10"/>
  <c r="L745" i="10" s="1"/>
  <c r="K746" i="10"/>
  <c r="L746" i="10" s="1"/>
  <c r="K747" i="10"/>
  <c r="L747" i="10" s="1"/>
  <c r="K748" i="10"/>
  <c r="L748" i="10" s="1"/>
  <c r="K749" i="10"/>
  <c r="L749" i="10" s="1"/>
  <c r="K750" i="10"/>
  <c r="L750" i="10" s="1"/>
  <c r="K751" i="10"/>
  <c r="L751" i="10" s="1"/>
  <c r="K752" i="10"/>
  <c r="L752" i="10" s="1"/>
  <c r="K753" i="10"/>
  <c r="L753" i="10" s="1"/>
  <c r="K754" i="10"/>
  <c r="L754" i="10" s="1"/>
  <c r="K755" i="10"/>
  <c r="L755" i="10" s="1"/>
  <c r="K756" i="10"/>
  <c r="L756" i="10" s="1"/>
  <c r="K757" i="10"/>
  <c r="L757" i="10" s="1"/>
  <c r="K758" i="10"/>
  <c r="L758" i="10" s="1"/>
  <c r="K759" i="10"/>
  <c r="L759" i="10" s="1"/>
  <c r="K760" i="10"/>
  <c r="L760" i="10" s="1"/>
  <c r="K761" i="10"/>
  <c r="L761" i="10" s="1"/>
  <c r="K762" i="10"/>
  <c r="L762" i="10" s="1"/>
  <c r="K763" i="10"/>
  <c r="L763" i="10" s="1"/>
  <c r="K764" i="10"/>
  <c r="L764" i="10" s="1"/>
  <c r="K765" i="10"/>
  <c r="L765" i="10" s="1"/>
  <c r="K766" i="10"/>
  <c r="L766" i="10" s="1"/>
  <c r="K767" i="10"/>
  <c r="L767" i="10" s="1"/>
  <c r="K768" i="10"/>
  <c r="L768" i="10" s="1"/>
  <c r="K769" i="10"/>
  <c r="L769" i="10" s="1"/>
  <c r="K770" i="10"/>
  <c r="L770" i="10" s="1"/>
  <c r="K771" i="10"/>
  <c r="L771" i="10" s="1"/>
  <c r="K772" i="10"/>
  <c r="L772" i="10" s="1"/>
  <c r="K773" i="10"/>
  <c r="L773" i="10" s="1"/>
  <c r="K774" i="10"/>
  <c r="L774" i="10" s="1"/>
  <c r="K775" i="10"/>
  <c r="L775" i="10" s="1"/>
  <c r="K776" i="10"/>
  <c r="L776" i="10" s="1"/>
  <c r="K777" i="10"/>
  <c r="L777" i="10" s="1"/>
  <c r="K778" i="10"/>
  <c r="L778" i="10" s="1"/>
  <c r="K779" i="10"/>
  <c r="L779" i="10" s="1"/>
  <c r="K780" i="10"/>
  <c r="L780" i="10" s="1"/>
  <c r="K781" i="10"/>
  <c r="L781" i="10" s="1"/>
  <c r="K782" i="10"/>
  <c r="L782" i="10" s="1"/>
  <c r="K783" i="10"/>
  <c r="L783" i="10" s="1"/>
  <c r="K784" i="10"/>
  <c r="L784" i="10" s="1"/>
  <c r="K785" i="10"/>
  <c r="L785" i="10" s="1"/>
  <c r="K786" i="10"/>
  <c r="L786" i="10" s="1"/>
  <c r="K787" i="10"/>
  <c r="L787" i="10" s="1"/>
  <c r="K788" i="10"/>
  <c r="L788" i="10" s="1"/>
  <c r="K789" i="10"/>
  <c r="L789" i="10" s="1"/>
  <c r="K790" i="10"/>
  <c r="L790" i="10" s="1"/>
  <c r="K791" i="10"/>
  <c r="L791" i="10" s="1"/>
  <c r="K792" i="10"/>
  <c r="L792" i="10" s="1"/>
  <c r="K793" i="10"/>
  <c r="L793" i="10" s="1"/>
  <c r="K794" i="10"/>
  <c r="L794" i="10" s="1"/>
  <c r="K795" i="10"/>
  <c r="L795" i="10" s="1"/>
  <c r="K796" i="10"/>
  <c r="L796" i="10" s="1"/>
  <c r="K797" i="10"/>
  <c r="L797" i="10" s="1"/>
  <c r="K798" i="10"/>
  <c r="L798" i="10" s="1"/>
  <c r="K799" i="10"/>
  <c r="L799" i="10" s="1"/>
  <c r="K800" i="10"/>
  <c r="L800" i="10" s="1"/>
  <c r="K801" i="10"/>
  <c r="L801" i="10" s="1"/>
  <c r="K802" i="10"/>
  <c r="L802" i="10" s="1"/>
  <c r="K803" i="10"/>
  <c r="L803" i="10" s="1"/>
  <c r="K804" i="10"/>
  <c r="L804" i="10" s="1"/>
  <c r="K805" i="10"/>
  <c r="L805" i="10" s="1"/>
  <c r="K806" i="10"/>
  <c r="L806" i="10" s="1"/>
  <c r="K807" i="10"/>
  <c r="L807" i="10" s="1"/>
  <c r="K808" i="10"/>
  <c r="L808" i="10" s="1"/>
  <c r="K809" i="10"/>
  <c r="L809" i="10" s="1"/>
  <c r="K810" i="10"/>
  <c r="L810" i="10" s="1"/>
  <c r="K811" i="10"/>
  <c r="L811" i="10" s="1"/>
  <c r="K812" i="10"/>
  <c r="L812" i="10" s="1"/>
  <c r="K813" i="10"/>
  <c r="L813" i="10" s="1"/>
  <c r="K814" i="10"/>
  <c r="L814" i="10" s="1"/>
  <c r="K815" i="10"/>
  <c r="L815" i="10" s="1"/>
  <c r="K816" i="10"/>
  <c r="L816" i="10" s="1"/>
  <c r="K817" i="10"/>
  <c r="L817" i="10" s="1"/>
  <c r="K818" i="10"/>
  <c r="L818" i="10" s="1"/>
  <c r="K819" i="10"/>
  <c r="L819" i="10" s="1"/>
  <c r="K820" i="10"/>
  <c r="L820" i="10" s="1"/>
  <c r="K821" i="10"/>
  <c r="L821" i="10" s="1"/>
  <c r="K822" i="10"/>
  <c r="L822" i="10" s="1"/>
  <c r="K823" i="10"/>
  <c r="L823" i="10" s="1"/>
  <c r="K824" i="10"/>
  <c r="L824" i="10" s="1"/>
  <c r="K825" i="10"/>
  <c r="L825" i="10" s="1"/>
  <c r="K826" i="10"/>
  <c r="L826" i="10" s="1"/>
  <c r="K827" i="10"/>
  <c r="L827" i="10" s="1"/>
  <c r="K828" i="10"/>
  <c r="L828" i="10" s="1"/>
  <c r="K829" i="10"/>
  <c r="L829" i="10" s="1"/>
  <c r="K830" i="10"/>
  <c r="L830" i="10" s="1"/>
  <c r="K831" i="10"/>
  <c r="L831" i="10" s="1"/>
  <c r="K832" i="10"/>
  <c r="L832" i="10" s="1"/>
  <c r="K833" i="10"/>
  <c r="L833" i="10" s="1"/>
  <c r="K834" i="10"/>
  <c r="L834" i="10" s="1"/>
  <c r="K835" i="10"/>
  <c r="L835" i="10" s="1"/>
  <c r="K836" i="10"/>
  <c r="L836" i="10" s="1"/>
  <c r="K837" i="10"/>
  <c r="L837" i="10" s="1"/>
  <c r="K838" i="10"/>
  <c r="L838" i="10" s="1"/>
  <c r="K839" i="10"/>
  <c r="L839" i="10" s="1"/>
  <c r="K840" i="10"/>
  <c r="L840" i="10" s="1"/>
  <c r="K841" i="10"/>
  <c r="L841" i="10" s="1"/>
  <c r="K842" i="10"/>
  <c r="L842" i="10" s="1"/>
  <c r="K843" i="10"/>
  <c r="L843" i="10" s="1"/>
  <c r="K844" i="10"/>
  <c r="L844" i="10" s="1"/>
  <c r="K845" i="10"/>
  <c r="L845" i="10" s="1"/>
  <c r="K846" i="10"/>
  <c r="L846" i="10" s="1"/>
  <c r="K847" i="10"/>
  <c r="L847" i="10" s="1"/>
  <c r="K848" i="10"/>
  <c r="L848" i="10" s="1"/>
  <c r="K849" i="10"/>
  <c r="L849" i="10" s="1"/>
  <c r="K850" i="10"/>
  <c r="L850" i="10" s="1"/>
  <c r="K851" i="10"/>
  <c r="L851" i="10" s="1"/>
  <c r="K852" i="10"/>
  <c r="L852" i="10" s="1"/>
  <c r="K853" i="10"/>
  <c r="L853" i="10" s="1"/>
  <c r="K854" i="10"/>
  <c r="L854" i="10" s="1"/>
  <c r="K855" i="10"/>
  <c r="L855" i="10" s="1"/>
  <c r="K856" i="10"/>
  <c r="L856" i="10" s="1"/>
  <c r="K857" i="10"/>
  <c r="L857" i="10" s="1"/>
  <c r="K858" i="10"/>
  <c r="L858" i="10" s="1"/>
  <c r="K859" i="10"/>
  <c r="L859" i="10" s="1"/>
  <c r="K860" i="10"/>
  <c r="L860" i="10" s="1"/>
  <c r="K861" i="10"/>
  <c r="L861" i="10" s="1"/>
  <c r="K862" i="10"/>
  <c r="L862" i="10" s="1"/>
  <c r="K863" i="10"/>
  <c r="L863" i="10" s="1"/>
  <c r="K864" i="10"/>
  <c r="L864" i="10" s="1"/>
  <c r="K865" i="10"/>
  <c r="L865" i="10" s="1"/>
  <c r="K866" i="10"/>
  <c r="L866" i="10" s="1"/>
  <c r="K867" i="10"/>
  <c r="L867" i="10" s="1"/>
  <c r="K868" i="10"/>
  <c r="L868" i="10" s="1"/>
  <c r="K869" i="10"/>
  <c r="L869" i="10" s="1"/>
  <c r="K870" i="10"/>
  <c r="L870" i="10" s="1"/>
  <c r="K871" i="10"/>
  <c r="L871" i="10" s="1"/>
  <c r="K872" i="10"/>
  <c r="L872" i="10" s="1"/>
  <c r="K873" i="10"/>
  <c r="L873" i="10" s="1"/>
  <c r="K874" i="10"/>
  <c r="L874" i="10" s="1"/>
  <c r="K875" i="10"/>
  <c r="L875" i="10" s="1"/>
  <c r="K876" i="10"/>
  <c r="L876" i="10" s="1"/>
  <c r="K877" i="10"/>
  <c r="L877" i="10" s="1"/>
  <c r="K878" i="10"/>
  <c r="L878" i="10" s="1"/>
  <c r="K879" i="10"/>
  <c r="L879" i="10" s="1"/>
  <c r="K880" i="10"/>
  <c r="L880" i="10" s="1"/>
  <c r="K881" i="10"/>
  <c r="L881" i="10" s="1"/>
  <c r="K882" i="10"/>
  <c r="L882" i="10" s="1"/>
  <c r="K883" i="10"/>
  <c r="L883" i="10" s="1"/>
  <c r="K884" i="10"/>
  <c r="L884" i="10" s="1"/>
  <c r="K885" i="10"/>
  <c r="L885" i="10" s="1"/>
  <c r="K886" i="10"/>
  <c r="L886" i="10" s="1"/>
  <c r="K887" i="10"/>
  <c r="L887" i="10" s="1"/>
  <c r="K888" i="10"/>
  <c r="L888" i="10" s="1"/>
  <c r="K889" i="10"/>
  <c r="L889" i="10" s="1"/>
  <c r="K890" i="10"/>
  <c r="L890" i="10" s="1"/>
  <c r="K891" i="10"/>
  <c r="L891" i="10" s="1"/>
  <c r="K892" i="10"/>
  <c r="L892" i="10" s="1"/>
  <c r="K893" i="10"/>
  <c r="L893" i="10" s="1"/>
  <c r="K894" i="10"/>
  <c r="L894" i="10" s="1"/>
  <c r="K895" i="10"/>
  <c r="L895" i="10" s="1"/>
  <c r="K896" i="10"/>
  <c r="L896" i="10" s="1"/>
  <c r="K897" i="10"/>
  <c r="L897" i="10" s="1"/>
  <c r="K898" i="10"/>
  <c r="L898" i="10" s="1"/>
  <c r="K899" i="10"/>
  <c r="L899" i="10" s="1"/>
  <c r="K900" i="10"/>
  <c r="L900" i="10" s="1"/>
  <c r="K901" i="10"/>
  <c r="L901" i="10" s="1"/>
  <c r="K902" i="10"/>
  <c r="L902" i="10" s="1"/>
  <c r="K903" i="10"/>
  <c r="L903" i="10" s="1"/>
  <c r="K904" i="10"/>
  <c r="L904" i="10" s="1"/>
  <c r="K905" i="10"/>
  <c r="L905" i="10" s="1"/>
  <c r="K906" i="10"/>
  <c r="L906" i="10" s="1"/>
  <c r="K907" i="10"/>
  <c r="L907" i="10" s="1"/>
  <c r="K908" i="10"/>
  <c r="L908" i="10" s="1"/>
  <c r="K909" i="10"/>
  <c r="L909" i="10" s="1"/>
  <c r="K910" i="10"/>
  <c r="L910" i="10" s="1"/>
  <c r="K911" i="10"/>
  <c r="L911" i="10" s="1"/>
  <c r="K912" i="10"/>
  <c r="L912" i="10" s="1"/>
  <c r="K913" i="10"/>
  <c r="L913" i="10" s="1"/>
  <c r="K914" i="10"/>
  <c r="L914" i="10" s="1"/>
  <c r="K915" i="10"/>
  <c r="L915" i="10" s="1"/>
  <c r="K916" i="10"/>
  <c r="L916" i="10" s="1"/>
  <c r="K917" i="10"/>
  <c r="L917" i="10" s="1"/>
  <c r="K918" i="10"/>
  <c r="L918" i="10" s="1"/>
  <c r="K919" i="10"/>
  <c r="L919" i="10" s="1"/>
  <c r="K920" i="10"/>
  <c r="L920" i="10" s="1"/>
  <c r="K921" i="10"/>
  <c r="L921" i="10" s="1"/>
  <c r="K922" i="10"/>
  <c r="L922" i="10" s="1"/>
  <c r="K923" i="10"/>
  <c r="L923" i="10" s="1"/>
  <c r="K924" i="10"/>
  <c r="L924" i="10" s="1"/>
  <c r="K925" i="10"/>
  <c r="L925" i="10" s="1"/>
  <c r="K926" i="10"/>
  <c r="L926" i="10" s="1"/>
  <c r="K927" i="10"/>
  <c r="L927" i="10" s="1"/>
  <c r="K928" i="10"/>
  <c r="L928" i="10" s="1"/>
  <c r="K929" i="10"/>
  <c r="L929" i="10" s="1"/>
  <c r="K930" i="10"/>
  <c r="L930" i="10" s="1"/>
  <c r="K931" i="10"/>
  <c r="L931" i="10" s="1"/>
  <c r="K932" i="10"/>
  <c r="L932" i="10" s="1"/>
  <c r="K933" i="10"/>
  <c r="L933" i="10" s="1"/>
  <c r="K934" i="10"/>
  <c r="L934" i="10" s="1"/>
  <c r="K935" i="10"/>
  <c r="L935" i="10" s="1"/>
  <c r="K936" i="10"/>
  <c r="L936" i="10" s="1"/>
  <c r="K937" i="10"/>
  <c r="L937" i="10" s="1"/>
  <c r="K938" i="10"/>
  <c r="L938" i="10" s="1"/>
  <c r="K939" i="10"/>
  <c r="L939" i="10" s="1"/>
  <c r="K940" i="10"/>
  <c r="L940" i="10" s="1"/>
  <c r="K941" i="10"/>
  <c r="L941" i="10" s="1"/>
  <c r="K942" i="10"/>
  <c r="L942" i="10" s="1"/>
  <c r="K943" i="10"/>
  <c r="L943" i="10" s="1"/>
  <c r="K944" i="10"/>
  <c r="L944" i="10" s="1"/>
  <c r="K945" i="10"/>
  <c r="L945" i="10" s="1"/>
  <c r="K946" i="10"/>
  <c r="L946" i="10" s="1"/>
  <c r="K947" i="10"/>
  <c r="L947" i="10" s="1"/>
  <c r="K948" i="10"/>
  <c r="L948" i="10" s="1"/>
  <c r="K949" i="10"/>
  <c r="L949" i="10" s="1"/>
  <c r="K950" i="10"/>
  <c r="L950" i="10" s="1"/>
  <c r="K951" i="10"/>
  <c r="L951" i="10" s="1"/>
  <c r="K952" i="10"/>
  <c r="L952" i="10" s="1"/>
  <c r="K953" i="10"/>
  <c r="L953" i="10" s="1"/>
  <c r="K954" i="10"/>
  <c r="L954" i="10" s="1"/>
  <c r="K955" i="10"/>
  <c r="L955" i="10" s="1"/>
  <c r="K956" i="10"/>
  <c r="L956" i="10" s="1"/>
  <c r="K957" i="10"/>
  <c r="L957" i="10" s="1"/>
  <c r="K958" i="10"/>
  <c r="L958" i="10" s="1"/>
  <c r="K959" i="10"/>
  <c r="L959" i="10" s="1"/>
  <c r="K960" i="10"/>
  <c r="L960" i="10" s="1"/>
  <c r="K961" i="10"/>
  <c r="L961" i="10" s="1"/>
  <c r="K962" i="10"/>
  <c r="L962" i="10" s="1"/>
  <c r="K963" i="10"/>
  <c r="L963" i="10" s="1"/>
  <c r="K964" i="10"/>
  <c r="L964" i="10" s="1"/>
  <c r="K965" i="10"/>
  <c r="L965" i="10" s="1"/>
  <c r="K966" i="10"/>
  <c r="L966" i="10" s="1"/>
  <c r="K967" i="10"/>
  <c r="L967" i="10" s="1"/>
  <c r="K968" i="10"/>
  <c r="L968" i="10" s="1"/>
  <c r="K969" i="10"/>
  <c r="L969" i="10" s="1"/>
  <c r="K970" i="10"/>
  <c r="L970" i="10" s="1"/>
  <c r="K971" i="10"/>
  <c r="L971" i="10" s="1"/>
  <c r="K972" i="10"/>
  <c r="L972" i="10" s="1"/>
  <c r="K973" i="10"/>
  <c r="L973" i="10" s="1"/>
  <c r="K974" i="10"/>
  <c r="L974" i="10" s="1"/>
  <c r="K975" i="10"/>
  <c r="L975" i="10" s="1"/>
  <c r="K976" i="10"/>
  <c r="L976" i="10" s="1"/>
  <c r="K977" i="10"/>
  <c r="L977" i="10" s="1"/>
  <c r="K978" i="10"/>
  <c r="L978" i="10" s="1"/>
  <c r="K979" i="10"/>
  <c r="L979" i="10" s="1"/>
  <c r="K980" i="10"/>
  <c r="L980" i="10" s="1"/>
  <c r="K981" i="10"/>
  <c r="L981" i="10" s="1"/>
  <c r="K982" i="10"/>
  <c r="L982" i="10" s="1"/>
  <c r="K983" i="10"/>
  <c r="L983" i="10" s="1"/>
  <c r="K984" i="10"/>
  <c r="L984" i="10" s="1"/>
  <c r="K985" i="10"/>
  <c r="L985" i="10" s="1"/>
  <c r="K986" i="10"/>
  <c r="L986" i="10" s="1"/>
  <c r="K987" i="10"/>
  <c r="L987" i="10" s="1"/>
  <c r="K988" i="10"/>
  <c r="L988" i="10" s="1"/>
  <c r="K989" i="10"/>
  <c r="L989" i="10" s="1"/>
  <c r="K990" i="10"/>
  <c r="L990" i="10" s="1"/>
  <c r="K991" i="10"/>
  <c r="L991" i="10" s="1"/>
  <c r="K992" i="10"/>
  <c r="L992" i="10" s="1"/>
  <c r="K993" i="10"/>
  <c r="L993" i="10" s="1"/>
  <c r="K994" i="10"/>
  <c r="L994" i="10" s="1"/>
  <c r="K995" i="10"/>
  <c r="L995" i="10" s="1"/>
  <c r="K996" i="10"/>
  <c r="L996" i="10" s="1"/>
  <c r="K997" i="10"/>
  <c r="L997" i="10" s="1"/>
  <c r="K998" i="10"/>
  <c r="L998" i="10" s="1"/>
  <c r="K999" i="10"/>
  <c r="L999" i="10" s="1"/>
  <c r="K1000" i="10"/>
  <c r="L1000" i="10" s="1"/>
  <c r="K1001" i="10"/>
  <c r="L1001" i="10" s="1"/>
  <c r="K1002" i="10"/>
  <c r="L1002" i="10" s="1"/>
  <c r="K1003" i="10"/>
  <c r="L1003" i="10" s="1"/>
  <c r="K1004" i="10"/>
  <c r="L1004" i="10" s="1"/>
  <c r="K1005" i="10"/>
  <c r="L1005" i="10" s="1"/>
  <c r="K1006" i="10"/>
  <c r="L1006" i="10" s="1"/>
  <c r="K1007" i="10"/>
  <c r="L1007" i="10" s="1"/>
  <c r="K1008" i="10"/>
  <c r="L1008" i="10" s="1"/>
  <c r="K1009" i="10"/>
  <c r="L1009" i="10" s="1"/>
  <c r="K1010" i="10"/>
  <c r="L1010" i="10" s="1"/>
  <c r="K1011" i="10"/>
  <c r="L1011" i="10" s="1"/>
  <c r="K1012" i="10"/>
  <c r="L1012" i="10" s="1"/>
  <c r="K1013" i="10"/>
  <c r="L1013" i="10" s="1"/>
  <c r="K1014" i="10"/>
  <c r="L1014" i="10" s="1"/>
  <c r="K1015" i="10"/>
  <c r="L1015" i="10" s="1"/>
  <c r="K1016" i="10"/>
  <c r="L1016" i="10" s="1"/>
  <c r="K1017" i="10"/>
  <c r="L1017" i="10" s="1"/>
  <c r="K1018" i="10"/>
  <c r="L1018" i="10" s="1"/>
  <c r="K1019" i="10"/>
  <c r="L1019" i="10" s="1"/>
  <c r="K1020" i="10"/>
  <c r="L1020" i="10" s="1"/>
  <c r="K1021" i="10"/>
  <c r="L1021" i="10" s="1"/>
  <c r="K1022" i="10"/>
  <c r="L1022" i="10" s="1"/>
  <c r="K1023" i="10"/>
  <c r="L1023" i="10" s="1"/>
  <c r="K1024" i="10"/>
  <c r="L1024" i="10" s="1"/>
  <c r="K1025" i="10"/>
  <c r="L1025" i="10" s="1"/>
  <c r="K1026" i="10"/>
  <c r="L1026" i="10" s="1"/>
  <c r="K1027" i="10"/>
  <c r="L1027" i="10" s="1"/>
  <c r="K1028" i="10"/>
  <c r="L1028" i="10" s="1"/>
  <c r="K1029" i="10"/>
  <c r="L1029" i="10" s="1"/>
  <c r="K1030" i="10"/>
  <c r="L1030" i="10" s="1"/>
  <c r="K1031" i="10"/>
  <c r="L1031" i="10" s="1"/>
  <c r="K1032" i="10"/>
  <c r="L1032" i="10" s="1"/>
  <c r="K1033" i="10"/>
  <c r="L1033" i="10" s="1"/>
  <c r="K1034" i="10"/>
  <c r="L1034" i="10" s="1"/>
  <c r="K1035" i="10"/>
  <c r="L1035" i="10" s="1"/>
  <c r="K1036" i="10"/>
  <c r="L1036" i="10" s="1"/>
  <c r="K1037" i="10"/>
  <c r="L1037" i="10" s="1"/>
  <c r="K1038" i="10"/>
  <c r="L1038" i="10" s="1"/>
  <c r="K1039" i="10"/>
  <c r="L1039" i="10" s="1"/>
  <c r="K1040" i="10"/>
  <c r="L1040" i="10" s="1"/>
  <c r="K1041" i="10"/>
  <c r="L1041" i="10" s="1"/>
  <c r="K1042" i="10"/>
  <c r="L1042" i="10" s="1"/>
  <c r="K1043" i="10"/>
  <c r="L1043" i="10" s="1"/>
  <c r="K1044" i="10"/>
  <c r="L1044" i="10" s="1"/>
  <c r="K1045" i="10"/>
  <c r="L1045" i="10" s="1"/>
  <c r="K1046" i="10"/>
  <c r="L1046" i="10" s="1"/>
  <c r="K1047" i="10"/>
  <c r="L1047" i="10" s="1"/>
  <c r="K1048" i="10"/>
  <c r="L1048" i="10" s="1"/>
  <c r="K1049" i="10"/>
  <c r="L1049" i="10" s="1"/>
  <c r="K1050" i="10"/>
  <c r="L1050" i="10" s="1"/>
  <c r="K1051" i="10"/>
  <c r="L1051" i="10" s="1"/>
  <c r="K1052" i="10"/>
  <c r="L1052" i="10" s="1"/>
  <c r="K1053" i="10"/>
  <c r="L1053" i="10" s="1"/>
  <c r="K1054" i="10"/>
  <c r="L1054" i="10" s="1"/>
  <c r="K1055" i="10"/>
  <c r="L1055" i="10" s="1"/>
  <c r="K1056" i="10"/>
  <c r="L1056" i="10" s="1"/>
  <c r="K1057" i="10"/>
  <c r="L1057" i="10" s="1"/>
  <c r="K1058" i="10"/>
  <c r="L1058" i="10" s="1"/>
  <c r="K1059" i="10"/>
  <c r="L1059" i="10" s="1"/>
  <c r="K1060" i="10"/>
  <c r="L1060" i="10" s="1"/>
  <c r="K1061" i="10"/>
  <c r="L1061" i="10" s="1"/>
  <c r="K1062" i="10"/>
  <c r="L1062" i="10" s="1"/>
  <c r="K1063" i="10"/>
  <c r="L1063" i="10" s="1"/>
  <c r="K1064" i="10"/>
  <c r="L1064" i="10" s="1"/>
  <c r="K1065" i="10"/>
  <c r="L1065" i="10" s="1"/>
  <c r="K1066" i="10"/>
  <c r="L1066" i="10" s="1"/>
  <c r="K1067" i="10"/>
  <c r="L1067" i="10" s="1"/>
  <c r="K1068" i="10"/>
  <c r="L1068" i="10" s="1"/>
  <c r="K1069" i="10"/>
  <c r="L1069" i="10" s="1"/>
  <c r="K1070" i="10"/>
  <c r="L1070" i="10" s="1"/>
  <c r="K1071" i="10"/>
  <c r="L1071" i="10" s="1"/>
  <c r="K1072" i="10"/>
  <c r="L1072" i="10" s="1"/>
  <c r="K1073" i="10"/>
  <c r="L1073" i="10" s="1"/>
  <c r="K1074" i="10"/>
  <c r="L1074" i="10" s="1"/>
  <c r="K1075" i="10"/>
  <c r="L1075" i="10" s="1"/>
  <c r="K1076" i="10"/>
  <c r="L1076" i="10" s="1"/>
  <c r="K1077" i="10"/>
  <c r="L1077" i="10" s="1"/>
  <c r="K1078" i="10"/>
  <c r="L1078" i="10" s="1"/>
  <c r="K1079" i="10"/>
  <c r="L1079" i="10" s="1"/>
  <c r="K1080" i="10"/>
  <c r="L1080" i="10" s="1"/>
  <c r="K1081" i="10"/>
  <c r="L1081" i="10" s="1"/>
  <c r="K1082" i="10"/>
  <c r="L1082" i="10" s="1"/>
  <c r="K1083" i="10"/>
  <c r="L1083" i="10" s="1"/>
  <c r="K1084" i="10"/>
  <c r="L1084" i="10" s="1"/>
  <c r="K1085" i="10"/>
  <c r="L1085" i="10" s="1"/>
  <c r="K1086" i="10"/>
  <c r="L1086" i="10" s="1"/>
  <c r="K1087" i="10"/>
  <c r="L1087" i="10" s="1"/>
  <c r="K1088" i="10"/>
  <c r="L1088" i="10" s="1"/>
  <c r="K1089" i="10"/>
  <c r="L1089" i="10" s="1"/>
  <c r="K1090" i="10"/>
  <c r="L1090" i="10" s="1"/>
  <c r="K1091" i="10"/>
  <c r="L1091" i="10" s="1"/>
  <c r="K1092" i="10"/>
  <c r="L1092" i="10" s="1"/>
  <c r="K1093" i="10"/>
  <c r="L1093" i="10" s="1"/>
  <c r="K1094" i="10"/>
  <c r="L1094" i="10" s="1"/>
  <c r="K1095" i="10"/>
  <c r="L1095" i="10" s="1"/>
  <c r="K1096" i="10"/>
  <c r="L1096" i="10" s="1"/>
  <c r="K1097" i="10"/>
  <c r="L1097" i="10" s="1"/>
  <c r="K1098" i="10"/>
  <c r="L1098" i="10" s="1"/>
  <c r="K1099" i="10"/>
  <c r="L1099" i="10" s="1"/>
  <c r="K1100" i="10"/>
  <c r="L1100" i="10" s="1"/>
  <c r="K1101" i="10"/>
  <c r="L1101" i="10" s="1"/>
  <c r="K1102" i="10"/>
  <c r="L1102" i="10" s="1"/>
  <c r="K1103" i="10"/>
  <c r="L1103" i="10" s="1"/>
  <c r="K1104" i="10"/>
  <c r="L1104" i="10" s="1"/>
  <c r="K1105" i="10"/>
  <c r="L1105" i="10" s="1"/>
  <c r="K1106" i="10"/>
  <c r="L1106" i="10" s="1"/>
  <c r="K1107" i="10"/>
  <c r="L1107" i="10" s="1"/>
  <c r="K1108" i="10"/>
  <c r="L1108" i="10" s="1"/>
  <c r="K1109" i="10"/>
  <c r="L1109" i="10" s="1"/>
  <c r="K1110" i="10"/>
  <c r="L1110" i="10" s="1"/>
  <c r="K1111" i="10"/>
  <c r="L1111" i="10" s="1"/>
  <c r="K1112" i="10"/>
  <c r="L1112" i="10" s="1"/>
  <c r="K1113" i="10"/>
  <c r="L1113" i="10" s="1"/>
  <c r="K1114" i="10"/>
  <c r="L1114" i="10" s="1"/>
  <c r="K1115" i="10"/>
  <c r="L1115" i="10" s="1"/>
  <c r="K1116" i="10"/>
  <c r="L1116" i="10" s="1"/>
  <c r="K1117" i="10"/>
  <c r="L1117" i="10" s="1"/>
  <c r="K1118" i="10"/>
  <c r="L1118" i="10" s="1"/>
  <c r="K1119" i="10"/>
  <c r="L1119" i="10" s="1"/>
  <c r="K1120" i="10"/>
  <c r="L1120" i="10" s="1"/>
  <c r="K1121" i="10"/>
  <c r="L1121" i="10" s="1"/>
  <c r="K1122" i="10"/>
  <c r="L1122" i="10" s="1"/>
  <c r="K1123" i="10"/>
  <c r="L1123" i="10" s="1"/>
  <c r="K1124" i="10"/>
  <c r="L1124" i="10" s="1"/>
  <c r="K1125" i="10"/>
  <c r="L1125" i="10" s="1"/>
  <c r="K1126" i="10"/>
  <c r="L1126" i="10" s="1"/>
  <c r="K1127" i="10"/>
  <c r="L1127" i="10" s="1"/>
  <c r="K1128" i="10"/>
  <c r="L1128" i="10" s="1"/>
  <c r="K1129" i="10"/>
  <c r="L1129" i="10" s="1"/>
  <c r="K1130" i="10"/>
  <c r="L1130" i="10" s="1"/>
  <c r="K1131" i="10"/>
  <c r="L1131" i="10" s="1"/>
  <c r="K1132" i="10"/>
  <c r="L1132" i="10" s="1"/>
  <c r="K1133" i="10"/>
  <c r="L1133" i="10" s="1"/>
  <c r="K1134" i="10"/>
  <c r="L1134" i="10" s="1"/>
  <c r="K1135" i="10"/>
  <c r="L1135" i="10" s="1"/>
  <c r="K1136" i="10"/>
  <c r="L1136" i="10" s="1"/>
  <c r="K1137" i="10"/>
  <c r="L1137" i="10" s="1"/>
  <c r="K1138" i="10"/>
  <c r="L1138" i="10" s="1"/>
  <c r="K1139" i="10"/>
  <c r="L1139" i="10" s="1"/>
  <c r="K1140" i="10"/>
  <c r="L1140" i="10" s="1"/>
  <c r="K1141" i="10"/>
  <c r="L1141" i="10" s="1"/>
  <c r="K1142" i="10"/>
  <c r="L1142" i="10" s="1"/>
  <c r="K1143" i="10"/>
  <c r="L1143" i="10" s="1"/>
  <c r="K1144" i="10"/>
  <c r="L1144" i="10" s="1"/>
  <c r="K1145" i="10"/>
  <c r="L1145" i="10" s="1"/>
  <c r="K1146" i="10"/>
  <c r="L1146" i="10" s="1"/>
  <c r="K1147" i="10"/>
  <c r="L1147" i="10" s="1"/>
  <c r="K1148" i="10"/>
  <c r="L1148" i="10" s="1"/>
  <c r="K1149" i="10"/>
  <c r="L1149" i="10" s="1"/>
  <c r="K1150" i="10"/>
  <c r="L1150" i="10" s="1"/>
  <c r="K1151" i="10"/>
  <c r="L1151" i="10" s="1"/>
  <c r="K1152" i="10"/>
  <c r="L1152" i="10" s="1"/>
  <c r="K1153" i="10"/>
  <c r="L1153" i="10" s="1"/>
  <c r="K1154" i="10"/>
  <c r="L1154" i="10" s="1"/>
  <c r="K1155" i="10"/>
  <c r="L1155" i="10" s="1"/>
  <c r="K1156" i="10"/>
  <c r="L1156" i="10" s="1"/>
  <c r="K1157" i="10"/>
  <c r="L1157" i="10" s="1"/>
  <c r="K1158" i="10"/>
  <c r="L1158" i="10" s="1"/>
  <c r="K1159" i="10"/>
  <c r="L1159" i="10" s="1"/>
  <c r="K1160" i="10"/>
  <c r="L1160" i="10" s="1"/>
  <c r="K1161" i="10"/>
  <c r="L1161" i="10" s="1"/>
  <c r="K1162" i="10"/>
  <c r="L1162" i="10" s="1"/>
  <c r="K1163" i="10"/>
  <c r="L1163" i="10" s="1"/>
  <c r="K1164" i="10"/>
  <c r="L1164" i="10" s="1"/>
  <c r="K1165" i="10"/>
  <c r="L1165" i="10" s="1"/>
  <c r="K1166" i="10"/>
  <c r="L1166" i="10" s="1"/>
  <c r="K1167" i="10"/>
  <c r="L1167" i="10" s="1"/>
  <c r="K1168" i="10"/>
  <c r="L1168" i="10" s="1"/>
  <c r="K1169" i="10"/>
  <c r="L1169" i="10" s="1"/>
  <c r="K1170" i="10"/>
  <c r="L1170" i="10" s="1"/>
  <c r="K1171" i="10"/>
  <c r="L1171" i="10" s="1"/>
  <c r="K1172" i="10"/>
  <c r="L1172" i="10" s="1"/>
  <c r="K1173" i="10"/>
  <c r="L1173" i="10" s="1"/>
  <c r="K1174" i="10"/>
  <c r="L1174" i="10" s="1"/>
  <c r="K1175" i="10"/>
  <c r="L1175" i="10" s="1"/>
  <c r="K1176" i="10"/>
  <c r="L1176" i="10" s="1"/>
  <c r="K1177" i="10"/>
  <c r="L1177" i="10" s="1"/>
  <c r="K1178" i="10"/>
  <c r="L1178" i="10" s="1"/>
  <c r="K1179" i="10"/>
  <c r="L1179" i="10" s="1"/>
  <c r="K1180" i="10"/>
  <c r="L1180" i="10" s="1"/>
  <c r="K1181" i="10"/>
  <c r="L1181" i="10" s="1"/>
  <c r="K1182" i="10"/>
  <c r="L1182" i="10" s="1"/>
  <c r="K1183" i="10"/>
  <c r="L1183" i="10" s="1"/>
  <c r="K1184" i="10"/>
  <c r="L1184" i="10" s="1"/>
  <c r="K1185" i="10"/>
  <c r="L1185" i="10" s="1"/>
  <c r="K1186" i="10"/>
  <c r="L1186" i="10" s="1"/>
  <c r="K1187" i="10"/>
  <c r="L1187" i="10" s="1"/>
  <c r="K1188" i="10"/>
  <c r="L1188" i="10" s="1"/>
  <c r="K1189" i="10"/>
  <c r="L1189" i="10" s="1"/>
  <c r="K1190" i="10"/>
  <c r="L1190" i="10" s="1"/>
  <c r="K1191" i="10"/>
  <c r="L1191" i="10" s="1"/>
  <c r="K1192" i="10"/>
  <c r="L1192" i="10" s="1"/>
  <c r="K1193" i="10"/>
  <c r="L1193" i="10" s="1"/>
  <c r="K1194" i="10"/>
  <c r="L1194" i="10" s="1"/>
  <c r="K1195" i="10"/>
  <c r="L1195" i="10" s="1"/>
  <c r="K1196" i="10"/>
  <c r="L1196" i="10" s="1"/>
  <c r="K1197" i="10"/>
  <c r="L1197" i="10" s="1"/>
  <c r="K1198" i="10"/>
  <c r="L1198" i="10" s="1"/>
  <c r="K1199" i="10"/>
  <c r="L1199" i="10" s="1"/>
  <c r="K1200" i="10"/>
  <c r="L1200" i="10" s="1"/>
  <c r="K1201" i="10"/>
  <c r="L1201" i="10" s="1"/>
  <c r="K1202" i="10"/>
  <c r="L1202" i="10" s="1"/>
  <c r="K1203" i="10"/>
  <c r="L1203" i="10" s="1"/>
  <c r="K1204" i="10"/>
  <c r="L1204" i="10" s="1"/>
  <c r="K1205" i="10"/>
  <c r="L1205" i="10" s="1"/>
  <c r="K1206" i="10"/>
  <c r="L1206" i="10" s="1"/>
  <c r="K1207" i="10"/>
  <c r="L1207" i="10" s="1"/>
  <c r="K1208" i="10"/>
  <c r="L1208" i="10" s="1"/>
  <c r="K1209" i="10"/>
  <c r="L1209" i="10" s="1"/>
  <c r="K1210" i="10"/>
  <c r="L1210" i="10" s="1"/>
  <c r="K1211" i="10"/>
  <c r="L1211" i="10" s="1"/>
  <c r="K1212" i="10"/>
  <c r="L1212" i="10" s="1"/>
  <c r="K1213" i="10"/>
  <c r="L1213" i="10" s="1"/>
  <c r="K1214" i="10"/>
  <c r="L1214" i="10" s="1"/>
  <c r="K1215" i="10"/>
  <c r="L1215" i="10" s="1"/>
  <c r="K1216" i="10"/>
  <c r="L1216" i="10" s="1"/>
  <c r="K1217" i="10"/>
  <c r="L1217" i="10" s="1"/>
  <c r="K1218" i="10"/>
  <c r="L1218" i="10" s="1"/>
  <c r="K1219" i="10"/>
  <c r="L1219" i="10" s="1"/>
  <c r="K1220" i="10"/>
  <c r="L1220" i="10" s="1"/>
  <c r="K1221" i="10"/>
  <c r="L1221" i="10" s="1"/>
  <c r="K1222" i="10"/>
  <c r="L1222" i="10" s="1"/>
  <c r="K1223" i="10"/>
  <c r="L1223" i="10" s="1"/>
  <c r="K1224" i="10"/>
  <c r="L1224" i="10" s="1"/>
  <c r="K1225" i="10"/>
  <c r="L1225" i="10" s="1"/>
  <c r="K1226" i="10"/>
  <c r="L1226" i="10" s="1"/>
  <c r="K1227" i="10"/>
  <c r="L1227" i="10" s="1"/>
  <c r="K1228" i="10"/>
  <c r="L1228" i="10" s="1"/>
  <c r="K1229" i="10"/>
  <c r="L1229" i="10" s="1"/>
  <c r="K1230" i="10"/>
  <c r="L1230" i="10" s="1"/>
  <c r="K1231" i="10"/>
  <c r="L1231" i="10" s="1"/>
  <c r="K1232" i="10"/>
  <c r="L1232" i="10" s="1"/>
  <c r="K1233" i="10"/>
  <c r="L1233" i="10" s="1"/>
  <c r="K1234" i="10"/>
  <c r="L1234" i="10" s="1"/>
  <c r="K1235" i="10"/>
  <c r="L1235" i="10" s="1"/>
  <c r="K1236" i="10"/>
  <c r="L1236" i="10" s="1"/>
  <c r="K1237" i="10"/>
  <c r="L1237" i="10" s="1"/>
  <c r="K1238" i="10"/>
  <c r="L1238" i="10" s="1"/>
  <c r="K1239" i="10"/>
  <c r="L1239" i="10" s="1"/>
  <c r="K1240" i="10"/>
  <c r="L1240" i="10" s="1"/>
  <c r="K1241" i="10"/>
  <c r="L1241" i="10" s="1"/>
  <c r="K1242" i="10"/>
  <c r="L1242" i="10" s="1"/>
  <c r="K1243" i="10"/>
  <c r="L1243" i="10" s="1"/>
  <c r="K1244" i="10"/>
  <c r="L1244" i="10" s="1"/>
  <c r="K1245" i="10"/>
  <c r="L1245" i="10" s="1"/>
  <c r="K1246" i="10"/>
  <c r="L1246" i="10" s="1"/>
  <c r="K1247" i="10"/>
  <c r="L1247" i="10" s="1"/>
  <c r="K1248" i="10"/>
  <c r="L1248" i="10" s="1"/>
  <c r="K1249" i="10"/>
  <c r="L1249" i="10" s="1"/>
  <c r="K1250" i="10"/>
  <c r="L1250" i="10" s="1"/>
  <c r="K1251" i="10"/>
  <c r="L1251" i="10" s="1"/>
  <c r="K1252" i="10"/>
  <c r="L1252" i="10" s="1"/>
  <c r="K1253" i="10"/>
  <c r="L1253" i="10" s="1"/>
  <c r="K1254" i="10"/>
  <c r="L1254" i="10" s="1"/>
  <c r="K1255" i="10"/>
  <c r="L1255" i="10" s="1"/>
  <c r="K1256" i="10"/>
  <c r="L1256" i="10" s="1"/>
  <c r="K1257" i="10"/>
  <c r="L1257" i="10" s="1"/>
  <c r="K1258" i="10"/>
  <c r="L1258" i="10" s="1"/>
  <c r="K1259" i="10"/>
  <c r="L1259" i="10" s="1"/>
  <c r="K1260" i="10"/>
  <c r="L1260" i="10" s="1"/>
  <c r="K1261" i="10"/>
  <c r="L1261" i="10" s="1"/>
  <c r="K1262" i="10"/>
  <c r="L1262" i="10" s="1"/>
  <c r="K1263" i="10"/>
  <c r="L1263" i="10" s="1"/>
  <c r="K1264" i="10"/>
  <c r="L1264" i="10" s="1"/>
  <c r="K1265" i="10"/>
  <c r="L1265" i="10" s="1"/>
  <c r="K1266" i="10"/>
  <c r="L1266" i="10" s="1"/>
  <c r="K1267" i="10"/>
  <c r="L1267" i="10" s="1"/>
  <c r="K1268" i="10"/>
  <c r="L1268" i="10" s="1"/>
  <c r="K1269" i="10"/>
  <c r="L1269" i="10" s="1"/>
  <c r="K1270" i="10"/>
  <c r="L1270" i="10" s="1"/>
  <c r="K1271" i="10"/>
  <c r="L1271" i="10" s="1"/>
  <c r="K1272" i="10"/>
  <c r="L1272" i="10" s="1"/>
  <c r="K1273" i="10"/>
  <c r="L1273" i="10" s="1"/>
  <c r="K1274" i="10"/>
  <c r="L1274" i="10" s="1"/>
  <c r="K1275" i="10"/>
  <c r="L1275" i="10" s="1"/>
  <c r="K1276" i="10"/>
  <c r="L1276" i="10" s="1"/>
  <c r="K1277" i="10"/>
  <c r="L1277" i="10" s="1"/>
  <c r="K1278" i="10"/>
  <c r="L1278" i="10" s="1"/>
  <c r="K1279" i="10"/>
  <c r="L1279" i="10" s="1"/>
  <c r="K1280" i="10"/>
  <c r="L1280" i="10" s="1"/>
  <c r="K1281" i="10"/>
  <c r="L1281" i="10" s="1"/>
  <c r="K1282" i="10"/>
  <c r="L1282" i="10" s="1"/>
  <c r="K1283" i="10"/>
  <c r="L1283" i="10" s="1"/>
  <c r="K1284" i="10"/>
  <c r="L1284" i="10" s="1"/>
  <c r="K1285" i="10"/>
  <c r="L1285" i="10" s="1"/>
  <c r="K1286" i="10"/>
  <c r="L1286" i="10" s="1"/>
  <c r="K1287" i="10"/>
  <c r="L1287" i="10" s="1"/>
  <c r="K1288" i="10"/>
  <c r="L1288" i="10" s="1"/>
  <c r="K1289" i="10"/>
  <c r="L1289" i="10" s="1"/>
  <c r="K1290" i="10"/>
  <c r="L1290" i="10" s="1"/>
  <c r="K1291" i="10"/>
  <c r="L1291" i="10" s="1"/>
  <c r="K1292" i="10"/>
  <c r="L1292" i="10" s="1"/>
  <c r="K1293" i="10"/>
  <c r="L1293" i="10" s="1"/>
  <c r="K1294" i="10"/>
  <c r="L1294" i="10" s="1"/>
  <c r="K1295" i="10"/>
  <c r="L1295" i="10" s="1"/>
  <c r="K1296" i="10"/>
  <c r="L1296" i="10" s="1"/>
  <c r="K1297" i="10"/>
  <c r="L1297" i="10" s="1"/>
  <c r="K1298" i="10"/>
  <c r="L1298" i="10" s="1"/>
  <c r="K1299" i="10"/>
  <c r="L1299" i="10" s="1"/>
  <c r="K1300" i="10"/>
  <c r="L1300" i="10" s="1"/>
  <c r="K1301" i="10"/>
  <c r="L1301" i="10" s="1"/>
  <c r="K1302" i="10"/>
  <c r="L1302" i="10" s="1"/>
  <c r="K1303" i="10"/>
  <c r="L1303" i="10" s="1"/>
  <c r="K1304" i="10"/>
  <c r="L1304" i="10" s="1"/>
  <c r="K1305" i="10"/>
  <c r="L1305" i="10" s="1"/>
  <c r="K1306" i="10"/>
  <c r="L1306" i="10" s="1"/>
  <c r="K1307" i="10"/>
  <c r="L1307" i="10" s="1"/>
  <c r="K1308" i="10"/>
  <c r="L1308" i="10" s="1"/>
  <c r="K1309" i="10"/>
  <c r="L1309" i="10" s="1"/>
  <c r="K1310" i="10"/>
  <c r="L1310" i="10" s="1"/>
  <c r="K1311" i="10"/>
  <c r="L1311" i="10" s="1"/>
  <c r="K1312" i="10"/>
  <c r="L1312" i="10" s="1"/>
  <c r="K1313" i="10"/>
  <c r="L1313" i="10" s="1"/>
  <c r="K1314" i="10"/>
  <c r="L1314" i="10" s="1"/>
  <c r="K1315" i="10"/>
  <c r="L1315" i="10" s="1"/>
  <c r="K1316" i="10"/>
  <c r="L1316" i="10" s="1"/>
  <c r="K1317" i="10"/>
  <c r="L1317" i="10" s="1"/>
  <c r="K1318" i="10"/>
  <c r="L1318" i="10" s="1"/>
  <c r="K1319" i="10"/>
  <c r="L1319" i="10" s="1"/>
  <c r="K1320" i="10"/>
  <c r="L1320" i="10" s="1"/>
  <c r="K1321" i="10"/>
  <c r="L1321" i="10" s="1"/>
  <c r="K1322" i="10"/>
  <c r="L1322" i="10" s="1"/>
  <c r="K1323" i="10"/>
  <c r="L1323" i="10" s="1"/>
  <c r="K1324" i="10"/>
  <c r="L1324" i="10" s="1"/>
  <c r="K1325" i="10"/>
  <c r="L1325" i="10" s="1"/>
  <c r="K1326" i="10"/>
  <c r="L1326" i="10" s="1"/>
  <c r="K1327" i="10"/>
  <c r="L1327" i="10" s="1"/>
  <c r="K1328" i="10"/>
  <c r="L1328" i="10" s="1"/>
  <c r="K1329" i="10"/>
  <c r="L1329" i="10" s="1"/>
  <c r="K1330" i="10"/>
  <c r="L1330" i="10" s="1"/>
  <c r="K1331" i="10"/>
  <c r="L1331" i="10" s="1"/>
  <c r="K1332" i="10"/>
  <c r="L1332" i="10" s="1"/>
  <c r="K1333" i="10"/>
  <c r="L1333" i="10" s="1"/>
  <c r="K1334" i="10"/>
  <c r="L1334" i="10" s="1"/>
  <c r="K1335" i="10"/>
  <c r="L1335" i="10" s="1"/>
  <c r="K1336" i="10"/>
  <c r="L1336" i="10" s="1"/>
  <c r="K1337" i="10"/>
  <c r="L1337" i="10" s="1"/>
  <c r="K1338" i="10"/>
  <c r="L1338" i="10" s="1"/>
  <c r="K1339" i="10"/>
  <c r="L1339" i="10" s="1"/>
  <c r="K1340" i="10"/>
  <c r="L1340" i="10" s="1"/>
  <c r="K1341" i="10"/>
  <c r="L1341" i="10" s="1"/>
  <c r="K1342" i="10"/>
  <c r="L1342" i="10" s="1"/>
  <c r="K1343" i="10"/>
  <c r="L1343" i="10" s="1"/>
  <c r="K1344" i="10"/>
  <c r="L1344" i="10" s="1"/>
  <c r="K1345" i="10"/>
  <c r="L1345" i="10" s="1"/>
  <c r="K1346" i="10"/>
  <c r="L1346" i="10" s="1"/>
  <c r="K1347" i="10"/>
  <c r="L1347" i="10" s="1"/>
  <c r="K1348" i="10"/>
  <c r="L1348" i="10" s="1"/>
  <c r="K1349" i="10"/>
  <c r="L1349" i="10" s="1"/>
  <c r="K1350" i="10"/>
  <c r="L1350" i="10" s="1"/>
  <c r="K1351" i="10"/>
  <c r="L1351" i="10" s="1"/>
  <c r="K1352" i="10"/>
  <c r="L1352" i="10" s="1"/>
  <c r="K1353" i="10"/>
  <c r="L1353" i="10" s="1"/>
  <c r="K1354" i="10"/>
  <c r="L1354" i="10" s="1"/>
  <c r="K1355" i="10"/>
  <c r="L1355" i="10" s="1"/>
  <c r="K1356" i="10"/>
  <c r="L1356" i="10" s="1"/>
  <c r="K1357" i="10"/>
  <c r="L1357" i="10" s="1"/>
  <c r="K1358" i="10"/>
  <c r="L1358" i="10" s="1"/>
  <c r="K1359" i="10"/>
  <c r="L1359" i="10" s="1"/>
  <c r="K1360" i="10"/>
  <c r="L1360" i="10" s="1"/>
  <c r="K1361" i="10"/>
  <c r="L1361" i="10" s="1"/>
  <c r="K1362" i="10"/>
  <c r="L1362" i="10" s="1"/>
  <c r="K1363" i="10"/>
  <c r="L1363" i="10" s="1"/>
  <c r="K1364" i="10"/>
  <c r="L1364" i="10" s="1"/>
  <c r="K1365" i="10"/>
  <c r="L1365" i="10" s="1"/>
  <c r="K1366" i="10"/>
  <c r="L1366" i="10" s="1"/>
  <c r="K1367" i="10"/>
  <c r="L1367" i="10" s="1"/>
  <c r="K1368" i="10"/>
  <c r="L1368" i="10" s="1"/>
  <c r="K1369" i="10"/>
  <c r="L1369" i="10" s="1"/>
  <c r="K1370" i="10"/>
  <c r="L1370" i="10" s="1"/>
  <c r="K1371" i="10"/>
  <c r="L1371" i="10" s="1"/>
  <c r="K1372" i="10"/>
  <c r="L1372" i="10" s="1"/>
  <c r="K1373" i="10"/>
  <c r="L1373" i="10" s="1"/>
  <c r="K1374" i="10"/>
  <c r="L1374" i="10" s="1"/>
  <c r="K1375" i="10"/>
  <c r="L1375" i="10" s="1"/>
  <c r="K1376" i="10"/>
  <c r="L1376" i="10" s="1"/>
  <c r="K1377" i="10"/>
  <c r="L1377" i="10" s="1"/>
  <c r="K1378" i="10"/>
  <c r="L1378" i="10" s="1"/>
  <c r="K1379" i="10"/>
  <c r="L1379" i="10" s="1"/>
  <c r="K1380" i="10"/>
  <c r="L1380" i="10" s="1"/>
  <c r="K1381" i="10"/>
  <c r="L1381" i="10" s="1"/>
  <c r="K1382" i="10"/>
  <c r="L1382" i="10" s="1"/>
  <c r="K1383" i="10"/>
  <c r="L1383" i="10" s="1"/>
  <c r="K1384" i="10"/>
  <c r="L1384" i="10" s="1"/>
  <c r="K1385" i="10"/>
  <c r="L1385" i="10" s="1"/>
  <c r="K1386" i="10"/>
  <c r="L1386" i="10" s="1"/>
  <c r="K1387" i="10"/>
  <c r="L1387" i="10" s="1"/>
  <c r="K1388" i="10"/>
  <c r="L1388" i="10" s="1"/>
  <c r="K1389" i="10"/>
  <c r="L1389" i="10" s="1"/>
  <c r="K1390" i="10"/>
  <c r="L1390" i="10" s="1"/>
  <c r="K1391" i="10"/>
  <c r="L1391" i="10" s="1"/>
  <c r="K1392" i="10"/>
  <c r="L1392" i="10" s="1"/>
  <c r="K1393" i="10"/>
  <c r="L1393" i="10" s="1"/>
  <c r="K1394" i="10"/>
  <c r="L1394" i="10" s="1"/>
  <c r="K1395" i="10"/>
  <c r="L1395" i="10" s="1"/>
  <c r="K1396" i="10"/>
  <c r="L1396" i="10" s="1"/>
  <c r="K1397" i="10"/>
  <c r="L1397" i="10" s="1"/>
  <c r="K1398" i="10"/>
  <c r="L1398" i="10" s="1"/>
  <c r="K1399" i="10"/>
  <c r="L1399" i="10" s="1"/>
  <c r="K1400" i="10"/>
  <c r="L1400" i="10" s="1"/>
  <c r="K1401" i="10"/>
  <c r="L1401" i="10" s="1"/>
  <c r="K1402" i="10"/>
  <c r="L1402" i="10" s="1"/>
  <c r="K1403" i="10"/>
  <c r="L1403" i="10" s="1"/>
  <c r="K1404" i="10"/>
  <c r="L1404" i="10" s="1"/>
  <c r="K1405" i="10"/>
  <c r="L1405" i="10" s="1"/>
  <c r="K1406" i="10"/>
  <c r="L1406" i="10" s="1"/>
  <c r="K1407" i="10"/>
  <c r="L1407" i="10" s="1"/>
  <c r="K1408" i="10"/>
  <c r="L1408" i="10" s="1"/>
  <c r="K1409" i="10"/>
  <c r="L1409" i="10" s="1"/>
  <c r="K1410" i="10"/>
  <c r="L1410" i="10" s="1"/>
  <c r="K1411" i="10"/>
  <c r="L1411" i="10" s="1"/>
  <c r="K1412" i="10"/>
  <c r="L1412" i="10" s="1"/>
  <c r="K1413" i="10"/>
  <c r="L1413" i="10" s="1"/>
  <c r="K1414" i="10"/>
  <c r="L1414" i="10" s="1"/>
  <c r="K1415" i="10"/>
  <c r="L1415" i="10" s="1"/>
  <c r="K1416" i="10"/>
  <c r="L1416" i="10" s="1"/>
  <c r="K1417" i="10"/>
  <c r="L1417" i="10" s="1"/>
  <c r="K1418" i="10"/>
  <c r="L1418" i="10" s="1"/>
  <c r="K1419" i="10"/>
  <c r="L1419" i="10" s="1"/>
  <c r="K1420" i="10"/>
  <c r="L1420" i="10" s="1"/>
  <c r="K1421" i="10"/>
  <c r="L1421" i="10" s="1"/>
  <c r="K1422" i="10"/>
  <c r="L1422" i="10" s="1"/>
  <c r="K1423" i="10"/>
  <c r="L1423" i="10" s="1"/>
  <c r="K1424" i="10"/>
  <c r="L1424" i="10" s="1"/>
  <c r="K1425" i="10"/>
  <c r="L1425" i="10" s="1"/>
  <c r="K1426" i="10"/>
  <c r="L1426" i="10" s="1"/>
  <c r="K1427" i="10"/>
  <c r="L1427" i="10" s="1"/>
  <c r="K1428" i="10"/>
  <c r="L1428" i="10" s="1"/>
  <c r="K1429" i="10"/>
  <c r="L1429" i="10" s="1"/>
  <c r="K1430" i="10"/>
  <c r="L1430" i="10" s="1"/>
  <c r="K1431" i="10"/>
  <c r="L1431" i="10" s="1"/>
  <c r="K1432" i="10"/>
  <c r="L1432" i="10" s="1"/>
  <c r="K1433" i="10"/>
  <c r="L1433" i="10" s="1"/>
  <c r="K1434" i="10"/>
  <c r="L1434" i="10" s="1"/>
  <c r="K1435" i="10"/>
  <c r="L1435" i="10" s="1"/>
  <c r="K1436" i="10"/>
  <c r="L1436" i="10" s="1"/>
  <c r="K1437" i="10"/>
  <c r="L1437" i="10" s="1"/>
  <c r="K1438" i="10"/>
  <c r="L1438" i="10" s="1"/>
  <c r="K1439" i="10"/>
  <c r="L1439" i="10" s="1"/>
  <c r="K1440" i="10"/>
  <c r="L1440" i="10" s="1"/>
  <c r="K1441" i="10"/>
  <c r="L1441" i="10" s="1"/>
  <c r="K1442" i="10"/>
  <c r="L1442" i="10" s="1"/>
  <c r="K1443" i="10"/>
  <c r="L1443" i="10" s="1"/>
  <c r="K1444" i="10"/>
  <c r="L1444" i="10" s="1"/>
  <c r="K1445" i="10"/>
  <c r="L1445" i="10" s="1"/>
  <c r="K1446" i="10"/>
  <c r="L1446" i="10" s="1"/>
  <c r="K1447" i="10"/>
  <c r="L1447" i="10" s="1"/>
  <c r="K1448" i="10"/>
  <c r="L1448" i="10" s="1"/>
  <c r="K1449" i="10"/>
  <c r="L1449" i="10" s="1"/>
  <c r="K1450" i="10"/>
  <c r="L1450" i="10" s="1"/>
  <c r="K1451" i="10"/>
  <c r="L1451" i="10" s="1"/>
  <c r="K1452" i="10"/>
  <c r="L1452" i="10" s="1"/>
  <c r="K1453" i="10"/>
  <c r="L1453" i="10" s="1"/>
  <c r="K1454" i="10"/>
  <c r="L1454" i="10" s="1"/>
  <c r="K1455" i="10"/>
  <c r="L1455" i="10" s="1"/>
  <c r="K1456" i="10"/>
  <c r="L1456" i="10" s="1"/>
  <c r="K1457" i="10"/>
  <c r="L1457" i="10" s="1"/>
  <c r="K1458" i="10"/>
  <c r="L1458" i="10" s="1"/>
  <c r="K1459" i="10"/>
  <c r="L1459" i="10" s="1"/>
  <c r="K1460" i="10"/>
  <c r="L1460" i="10" s="1"/>
  <c r="K1461" i="10"/>
  <c r="L1461" i="10" s="1"/>
  <c r="K1462" i="10"/>
  <c r="L1462" i="10" s="1"/>
  <c r="K1463" i="10"/>
  <c r="L1463" i="10" s="1"/>
  <c r="K1464" i="10"/>
  <c r="L1464" i="10" s="1"/>
  <c r="K1465" i="10"/>
  <c r="L1465" i="10" s="1"/>
  <c r="K1466" i="10"/>
  <c r="L1466" i="10" s="1"/>
  <c r="K1467" i="10"/>
  <c r="L1467" i="10" s="1"/>
  <c r="K1468" i="10"/>
  <c r="L1468" i="10" s="1"/>
  <c r="K1469" i="10"/>
  <c r="L1469" i="10" s="1"/>
  <c r="K1470" i="10"/>
  <c r="L1470" i="10" s="1"/>
  <c r="K1471" i="10"/>
  <c r="L1471" i="10" s="1"/>
  <c r="K1472" i="10"/>
  <c r="L1472" i="10" s="1"/>
  <c r="K1473" i="10"/>
  <c r="L1473" i="10" s="1"/>
  <c r="K1474" i="10"/>
  <c r="L1474" i="10" s="1"/>
  <c r="K1475" i="10"/>
  <c r="L1475" i="10" s="1"/>
  <c r="K1476" i="10"/>
  <c r="L1476" i="10" s="1"/>
  <c r="K1477" i="10"/>
  <c r="L1477" i="10" s="1"/>
  <c r="K1478" i="10"/>
  <c r="L1478" i="10" s="1"/>
  <c r="K1479" i="10"/>
  <c r="L1479" i="10" s="1"/>
  <c r="K1480" i="10"/>
  <c r="L1480" i="10" s="1"/>
  <c r="K1481" i="10"/>
  <c r="L1481" i="10" s="1"/>
  <c r="K1482" i="10"/>
  <c r="L1482" i="10" s="1"/>
  <c r="K1483" i="10"/>
  <c r="L1483" i="10" s="1"/>
  <c r="K1484" i="10"/>
  <c r="L1484" i="10" s="1"/>
  <c r="K1485" i="10"/>
  <c r="L1485" i="10" s="1"/>
  <c r="K1486" i="10"/>
  <c r="L1486" i="10" s="1"/>
  <c r="K1487" i="10"/>
  <c r="L1487" i="10" s="1"/>
  <c r="K1488" i="10"/>
  <c r="L1488" i="10" s="1"/>
  <c r="K1489" i="10"/>
  <c r="L1489" i="10" s="1"/>
  <c r="K1490" i="10"/>
  <c r="L1490" i="10" s="1"/>
  <c r="K1491" i="10"/>
  <c r="L1491" i="10" s="1"/>
  <c r="K1492" i="10"/>
  <c r="L1492" i="10" s="1"/>
  <c r="K1493" i="10"/>
  <c r="L1493" i="10" s="1"/>
  <c r="K1494" i="10"/>
  <c r="L1494" i="10" s="1"/>
  <c r="K1495" i="10"/>
  <c r="L1495" i="10" s="1"/>
  <c r="K1496" i="10"/>
  <c r="L1496" i="10" s="1"/>
  <c r="K1497" i="10"/>
  <c r="L1497" i="10" s="1"/>
  <c r="K1498" i="10"/>
  <c r="L1498" i="10" s="1"/>
  <c r="K1499" i="10"/>
  <c r="L1499" i="10" s="1"/>
  <c r="K1500" i="10"/>
  <c r="L1500" i="10" s="1"/>
  <c r="K1501" i="10"/>
  <c r="L1501" i="10" s="1"/>
  <c r="K2" i="10"/>
  <c r="L2" i="10" s="1"/>
  <c r="H5" i="1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<sst xmlns="http://schemas.openxmlformats.org/spreadsheetml/2006/main" count="26049" uniqueCount="2907">
  <si>
    <t>Transaction ID</t>
  </si>
  <si>
    <t>Date</t>
  </si>
  <si>
    <t>Branch</t>
  </si>
  <si>
    <t>Region</t>
  </si>
  <si>
    <t>Product Category</t>
  </si>
  <si>
    <t>Product Name</t>
  </si>
  <si>
    <t>Quantity</t>
  </si>
  <si>
    <t>Unit Price (NGN)</t>
  </si>
  <si>
    <t>Discount (%)</t>
  </si>
  <si>
    <t>Total Sales (NGN)</t>
  </si>
  <si>
    <t>Payment Method</t>
  </si>
  <si>
    <t>Sales Rep</t>
  </si>
  <si>
    <t>Customer Type</t>
  </si>
  <si>
    <t>TXN-00231</t>
  </si>
  <si>
    <t>24/09/2025</t>
  </si>
  <si>
    <t>abuja</t>
  </si>
  <si>
    <t>North-Central</t>
  </si>
  <si>
    <t>BEAUTY &amp; PERSONAL CARE</t>
  </si>
  <si>
    <t>Body Lotion 400ml</t>
  </si>
  <si>
    <t>CARD</t>
  </si>
  <si>
    <t>GRACE OKAFOR</t>
  </si>
  <si>
    <t>New</t>
  </si>
  <si>
    <t>TXN-01390</t>
  </si>
  <si>
    <t>25/06/2025</t>
  </si>
  <si>
    <t>Abuja</t>
  </si>
  <si>
    <t>Electronics</t>
  </si>
  <si>
    <t>Home Theatre System</t>
  </si>
  <si>
    <t>bank transfer</t>
  </si>
  <si>
    <t>ifeoma adeyemi</t>
  </si>
  <si>
    <t>NEW</t>
  </si>
  <si>
    <t>TXN-00839</t>
  </si>
  <si>
    <t>2025-09-08</t>
  </si>
  <si>
    <t>Ibadan</t>
  </si>
  <si>
    <t>South-West</t>
  </si>
  <si>
    <t>Beauty &amp; Personal Care</t>
  </si>
  <si>
    <t>Toothpaste Pack</t>
  </si>
  <si>
    <t xml:space="preserve">Cash </t>
  </si>
  <si>
    <t>Ifeoma Adeyemi</t>
  </si>
  <si>
    <t>returning</t>
  </si>
  <si>
    <t>TXN-01328</t>
  </si>
  <si>
    <t>11/24/2025</t>
  </si>
  <si>
    <t>Enugu</t>
  </si>
  <si>
    <t>South-East</t>
  </si>
  <si>
    <t>ELECTRONICS</t>
  </si>
  <si>
    <t>Microwave Oven</t>
  </si>
  <si>
    <t xml:space="preserve"> Card</t>
  </si>
  <si>
    <t>Ngozi Ibrahim</t>
  </si>
  <si>
    <t>Returning</t>
  </si>
  <si>
    <t>TXN-00816</t>
  </si>
  <si>
    <t>04 November 2025</t>
  </si>
  <si>
    <t>PORT HARCOURT</t>
  </si>
  <si>
    <t>South-South</t>
  </si>
  <si>
    <t>electronics</t>
  </si>
  <si>
    <t>Bank Transfer</t>
  </si>
  <si>
    <t>Chidera Bello</t>
  </si>
  <si>
    <t>TXN-00740</t>
  </si>
  <si>
    <t>04/27/2025</t>
  </si>
  <si>
    <t>KANO</t>
  </si>
  <si>
    <t>North-West</t>
  </si>
  <si>
    <t>House hold</t>
  </si>
  <si>
    <t>Laundry Basket</t>
  </si>
  <si>
    <t>grace okafor</t>
  </si>
  <si>
    <t>TXN-00245</t>
  </si>
  <si>
    <t>26-May-2025</t>
  </si>
  <si>
    <t>port harcourt</t>
  </si>
  <si>
    <t xml:space="preserve"> Fashion</t>
  </si>
  <si>
    <t>Ladies Ankara Gown</t>
  </si>
  <si>
    <t xml:space="preserve"> Cash</t>
  </si>
  <si>
    <t>Amaka Onwuka</t>
  </si>
  <si>
    <t>TXN-01119</t>
  </si>
  <si>
    <t>21.05.2025</t>
  </si>
  <si>
    <t>Hair Relaxer Kit</t>
  </si>
  <si>
    <t>POS</t>
  </si>
  <si>
    <t>Chinwe Etim</t>
  </si>
  <si>
    <t>TXN-01127</t>
  </si>
  <si>
    <t>2025-10-14</t>
  </si>
  <si>
    <t>Lagos</t>
  </si>
  <si>
    <t xml:space="preserve"> Groceries</t>
  </si>
  <si>
    <t>Semovita 2kg</t>
  </si>
  <si>
    <t>Tunde Balogun</t>
  </si>
  <si>
    <t>TXN-00972</t>
  </si>
  <si>
    <t>04/01/2025</t>
  </si>
  <si>
    <t>HOUSEHOLD</t>
  </si>
  <si>
    <t>Plastic Chair Set</t>
  </si>
  <si>
    <t>TUNDE BALOGUN</t>
  </si>
  <si>
    <t>TXN-00325</t>
  </si>
  <si>
    <t>09/13/2025</t>
  </si>
  <si>
    <t>Transfer</t>
  </si>
  <si>
    <t>OBINNA YUSUF</t>
  </si>
  <si>
    <t>TXN-00016</t>
  </si>
  <si>
    <t>23-Nov-2025</t>
  </si>
  <si>
    <t>BENIN CITY</t>
  </si>
  <si>
    <t xml:space="preserve">Electronics </t>
  </si>
  <si>
    <t>Bluetooth Speaker</t>
  </si>
  <si>
    <t>Card</t>
  </si>
  <si>
    <t>FUNMI EZE</t>
  </si>
  <si>
    <t xml:space="preserve">  Returning   </t>
  </si>
  <si>
    <t>TXN-01469</t>
  </si>
  <si>
    <t>2025-11-28</t>
  </si>
  <si>
    <t xml:space="preserve">  Abuja   </t>
  </si>
  <si>
    <t>Fashions</t>
  </si>
  <si>
    <t>Denim Jeans</t>
  </si>
  <si>
    <t>Cash</t>
  </si>
  <si>
    <t>TXN-00202</t>
  </si>
  <si>
    <t>02/16/2025</t>
  </si>
  <si>
    <t>Electronic</t>
  </si>
  <si>
    <t>Standing Fan</t>
  </si>
  <si>
    <t>unknown</t>
  </si>
  <si>
    <t>TXN-00906</t>
  </si>
  <si>
    <t>2025-09-10</t>
  </si>
  <si>
    <t>IBADAN</t>
  </si>
  <si>
    <t>groceries</t>
  </si>
  <si>
    <t>chidera bello</t>
  </si>
  <si>
    <t>TXN-01449</t>
  </si>
  <si>
    <t>05/02/2025</t>
  </si>
  <si>
    <t>LED TV 43"</t>
  </si>
  <si>
    <t>TXN-01434</t>
  </si>
  <si>
    <t>05/08/2025</t>
  </si>
  <si>
    <t>benin city</t>
  </si>
  <si>
    <t xml:space="preserve"> Electronics</t>
  </si>
  <si>
    <t>BANK TRANSFER</t>
  </si>
  <si>
    <t>ADE ABUBAKAR</t>
  </si>
  <si>
    <t>TXN-01056</t>
  </si>
  <si>
    <t>27 November 2025</t>
  </si>
  <si>
    <t xml:space="preserve">   Port Harcourt   </t>
  </si>
  <si>
    <t>fashion</t>
  </si>
  <si>
    <t>Handbag</t>
  </si>
  <si>
    <t>cash</t>
  </si>
  <si>
    <t>RETURNING</t>
  </si>
  <si>
    <t>TXN-01262</t>
  </si>
  <si>
    <t>03-Dec-2025</t>
  </si>
  <si>
    <t>FASHION</t>
  </si>
  <si>
    <t>Wristwatch</t>
  </si>
  <si>
    <t>pos</t>
  </si>
  <si>
    <t>TXN-01301</t>
  </si>
  <si>
    <t>Kano</t>
  </si>
  <si>
    <t xml:space="preserve">  </t>
  </si>
  <si>
    <t xml:space="preserve"> Beauty &amp; Personal Care</t>
  </si>
  <si>
    <t>n/a</t>
  </si>
  <si>
    <t>Pos</t>
  </si>
  <si>
    <t>new</t>
  </si>
  <si>
    <t>TXN-00506</t>
  </si>
  <si>
    <t>28-Nov-2025</t>
  </si>
  <si>
    <t>Indomie Carton</t>
  </si>
  <si>
    <t>card</t>
  </si>
  <si>
    <t xml:space="preserve">   ADE ABUBAKAR   </t>
  </si>
  <si>
    <t>TXN-01105</t>
  </si>
  <si>
    <t>10-Mar-2025</t>
  </si>
  <si>
    <t>Household</t>
  </si>
  <si>
    <t>Cleaning Mop</t>
  </si>
  <si>
    <t>TXN-00999</t>
  </si>
  <si>
    <t>27/10/2025</t>
  </si>
  <si>
    <t>-</t>
  </si>
  <si>
    <t xml:space="preserve">   Kelechi Nwosu   </t>
  </si>
  <si>
    <t>TXN-01375</t>
  </si>
  <si>
    <t>13/03/2025</t>
  </si>
  <si>
    <t>Port Harcourt</t>
  </si>
  <si>
    <t xml:space="preserve"> POS</t>
  </si>
  <si>
    <t>TXN-00441</t>
  </si>
  <si>
    <t>06/18/2025</t>
  </si>
  <si>
    <t>TXN-01397</t>
  </si>
  <si>
    <t>2025-01-30</t>
  </si>
  <si>
    <t>ibadan</t>
  </si>
  <si>
    <t>Beauty and Personal Care</t>
  </si>
  <si>
    <t>Shea Butter Cream</t>
  </si>
  <si>
    <t>TXN-01125</t>
  </si>
  <si>
    <t>18/02/2025</t>
  </si>
  <si>
    <t>Storage Basket</t>
  </si>
  <si>
    <t>Segun Chukwu</t>
  </si>
  <si>
    <t>TXN-00439</t>
  </si>
  <si>
    <t>08 August 2025</t>
  </si>
  <si>
    <t>Bathing Soap Pack</t>
  </si>
  <si>
    <t>CASH</t>
  </si>
  <si>
    <t>KELECHI NWOSU</t>
  </si>
  <si>
    <t>TXN-00667</t>
  </si>
  <si>
    <t>29-Jul-2025</t>
  </si>
  <si>
    <t>Mary Nnamdi</t>
  </si>
  <si>
    <t>TXN-00992</t>
  </si>
  <si>
    <t>09-Feb-2025</t>
  </si>
  <si>
    <t>Groceries</t>
  </si>
  <si>
    <t>Rice 50kg Bag</t>
  </si>
  <si>
    <t xml:space="preserve">  Uche Okoro   </t>
  </si>
  <si>
    <t>TXN-00729</t>
  </si>
  <si>
    <t>25-Dec-2025</t>
  </si>
  <si>
    <t>Tomato Paste Carton</t>
  </si>
  <si>
    <t xml:space="preserve">   CHINWE ETIM   </t>
  </si>
  <si>
    <t>TXN-01381</t>
  </si>
  <si>
    <t>15.10.2025</t>
  </si>
  <si>
    <t>Grace Okafor</t>
  </si>
  <si>
    <t xml:space="preserve">  RETURNING   </t>
  </si>
  <si>
    <t>TXN-01025</t>
  </si>
  <si>
    <t>02/06/2025</t>
  </si>
  <si>
    <t>TXN-00072</t>
  </si>
  <si>
    <t>22-Feb-2025</t>
  </si>
  <si>
    <t xml:space="preserve">   Benin City   </t>
  </si>
  <si>
    <t>beauty &amp; personal care</t>
  </si>
  <si>
    <t>TXN-00431</t>
  </si>
  <si>
    <t>15 May 2025</t>
  </si>
  <si>
    <t>ENUGU</t>
  </si>
  <si>
    <t>Deodorant Roll-on</t>
  </si>
  <si>
    <t>IFEOMA ADEYEMI</t>
  </si>
  <si>
    <t xml:space="preserve">   New   </t>
  </si>
  <si>
    <t>TXN-00485</t>
  </si>
  <si>
    <t>02/18/2025</t>
  </si>
  <si>
    <t>lagos</t>
  </si>
  <si>
    <t xml:space="preserve">Bank transfer </t>
  </si>
  <si>
    <t xml:space="preserve">   MARY NNAMDI   </t>
  </si>
  <si>
    <t>TXN-00036</t>
  </si>
  <si>
    <t>08 January 2025</t>
  </si>
  <si>
    <t>Non-stick Frying Pan</t>
  </si>
  <si>
    <t xml:space="preserve">   NEW   </t>
  </si>
  <si>
    <t>TXN-01023</t>
  </si>
  <si>
    <t>01/09/2025</t>
  </si>
  <si>
    <t>kano</t>
  </si>
  <si>
    <t>funmi eze</t>
  </si>
  <si>
    <t xml:space="preserve">   Returning   </t>
  </si>
  <si>
    <t>TXN-00260</t>
  </si>
  <si>
    <t>02/19/2025</t>
  </si>
  <si>
    <t xml:space="preserve">   Ibadan   </t>
  </si>
  <si>
    <t>School Sandals</t>
  </si>
  <si>
    <t>PETER ADEKUNLE</t>
  </si>
  <si>
    <t>TXN-00853</t>
  </si>
  <si>
    <t>09/25/2025</t>
  </si>
  <si>
    <t>N/A</t>
  </si>
  <si>
    <t>Vegetable Oil 5L</t>
  </si>
  <si>
    <t>TXN-00492</t>
  </si>
  <si>
    <t>02-Oct-2025</t>
  </si>
  <si>
    <t>LAGOS</t>
  </si>
  <si>
    <t>tunde balogun</t>
  </si>
  <si>
    <t>TXN-00973</t>
  </si>
  <si>
    <t>03/08/2025</t>
  </si>
  <si>
    <t>GROCERIES</t>
  </si>
  <si>
    <t>Spaghetti Pack</t>
  </si>
  <si>
    <t>TXN-00248</t>
  </si>
  <si>
    <t>2025-04-28</t>
  </si>
  <si>
    <t>TXN-00944</t>
  </si>
  <si>
    <t>TXN-00023</t>
  </si>
  <si>
    <t>09/11/2025</t>
  </si>
  <si>
    <t>Benin City</t>
  </si>
  <si>
    <t>Milo 500g</t>
  </si>
  <si>
    <t>TXN-00833</t>
  </si>
  <si>
    <t>02.09.2025</t>
  </si>
  <si>
    <t>TXN-00515</t>
  </si>
  <si>
    <t>26/12/2025</t>
  </si>
  <si>
    <t xml:space="preserve">   Enugu   </t>
  </si>
  <si>
    <t xml:space="preserve">  KELECHI NWOSU   </t>
  </si>
  <si>
    <t>TXN-00916</t>
  </si>
  <si>
    <t>09/01/2025</t>
  </si>
  <si>
    <t>Power Bank 20000mAh</t>
  </si>
  <si>
    <t>kelechi nwosu</t>
  </si>
  <si>
    <t>TXN-01159</t>
  </si>
  <si>
    <t>10/23/2025</t>
  </si>
  <si>
    <t>Bedsheet Set</t>
  </si>
  <si>
    <t xml:space="preserve">   RETURNING   </t>
  </si>
  <si>
    <t>TXN-00184</t>
  </si>
  <si>
    <t>Electric Kettle</t>
  </si>
  <si>
    <t xml:space="preserve">  Ifeoma Adeyemi   </t>
  </si>
  <si>
    <t>TXN-00026</t>
  </si>
  <si>
    <t>01/08/2025</t>
  </si>
  <si>
    <t xml:space="preserve">   kelechi nwosu   </t>
  </si>
  <si>
    <t>TXN-01112</t>
  </si>
  <si>
    <t>02/26/2025</t>
  </si>
  <si>
    <t>TXN-00424</t>
  </si>
  <si>
    <t>28-Jan-2025</t>
  </si>
  <si>
    <t>TXN-01346</t>
  </si>
  <si>
    <t>2025-10-27</t>
  </si>
  <si>
    <t>Ade Abubakar</t>
  </si>
  <si>
    <t>TXN-00512</t>
  </si>
  <si>
    <t>2025-03-07</t>
  </si>
  <si>
    <t>TXN-00719</t>
  </si>
  <si>
    <t>12/06/2025</t>
  </si>
  <si>
    <t>peter adekunle</t>
  </si>
  <si>
    <t>TXN-00640</t>
  </si>
  <si>
    <t>2025-02-27</t>
  </si>
  <si>
    <t>MARY NNAMDI</t>
  </si>
  <si>
    <t>TXN-00939</t>
  </si>
  <si>
    <t>2025-06-24</t>
  </si>
  <si>
    <t>TXN-00623</t>
  </si>
  <si>
    <t>13.10.2025</t>
  </si>
  <si>
    <t>TXN-01447</t>
  </si>
  <si>
    <t>11/15/2025</t>
  </si>
  <si>
    <t xml:space="preserve">   PORT HARCOURT   </t>
  </si>
  <si>
    <t>TXN-01360</t>
  </si>
  <si>
    <t>07/08/2025</t>
  </si>
  <si>
    <t xml:space="preserve">Household </t>
  </si>
  <si>
    <t xml:space="preserve">   Ade Abubakar   </t>
  </si>
  <si>
    <t>TXN-00844</t>
  </si>
  <si>
    <t>2025-12-22</t>
  </si>
  <si>
    <t>TXN-00803</t>
  </si>
  <si>
    <t>2025-04-23</t>
  </si>
  <si>
    <t>Baby Diaper Pack</t>
  </si>
  <si>
    <t xml:space="preserve">   returning   </t>
  </si>
  <si>
    <t>TXN-00170</t>
  </si>
  <si>
    <t>07 June 2025</t>
  </si>
  <si>
    <t xml:space="preserve">  Enugu   </t>
  </si>
  <si>
    <t>Fashion</t>
  </si>
  <si>
    <t>Office Blazer</t>
  </si>
  <si>
    <t>TXN-00612</t>
  </si>
  <si>
    <t>04-Jun-2025</t>
  </si>
  <si>
    <t xml:space="preserve">   segun chukwu   </t>
  </si>
  <si>
    <t>TXN-00524</t>
  </si>
  <si>
    <t>07/29/2025</t>
  </si>
  <si>
    <t>TXN-00301</t>
  </si>
  <si>
    <t>02/28/2025</t>
  </si>
  <si>
    <t>TXN-00593</t>
  </si>
  <si>
    <t>2025-11-08</t>
  </si>
  <si>
    <t>TXN-00127</t>
  </si>
  <si>
    <t>07/02/2025</t>
  </si>
  <si>
    <t xml:space="preserve">   funmi eze   </t>
  </si>
  <si>
    <t>TXN-00924</t>
  </si>
  <si>
    <t>22.03.2025</t>
  </si>
  <si>
    <t>AMAKA ONWUKA</t>
  </si>
  <si>
    <t>TXN-00505</t>
  </si>
  <si>
    <t>25 October 2025</t>
  </si>
  <si>
    <t>Kids Sneakers</t>
  </si>
  <si>
    <t>TXN-00270</t>
  </si>
  <si>
    <t>2025-06-06</t>
  </si>
  <si>
    <t>TXN-00064</t>
  </si>
  <si>
    <t>23-Jun-2025</t>
  </si>
  <si>
    <t>Men's Polo Shirt</t>
  </si>
  <si>
    <t>TXN-00372</t>
  </si>
  <si>
    <t>18-Jan-2025</t>
  </si>
  <si>
    <t>Grocery</t>
  </si>
  <si>
    <t>TXN-00346</t>
  </si>
  <si>
    <t>25.10.2025</t>
  </si>
  <si>
    <t>TXN-01118</t>
  </si>
  <si>
    <t>07/21/2025</t>
  </si>
  <si>
    <t>TXN-00567</t>
  </si>
  <si>
    <t>23.09.2025</t>
  </si>
  <si>
    <t>TXN-00442</t>
  </si>
  <si>
    <t>12/04/2025</t>
  </si>
  <si>
    <t xml:space="preserve">   KANO   </t>
  </si>
  <si>
    <t>Rice Cooker</t>
  </si>
  <si>
    <t>TXN-00879</t>
  </si>
  <si>
    <t>07-Jun-2025</t>
  </si>
  <si>
    <t>TXN-00629</t>
  </si>
  <si>
    <t>09-Mar-2025</t>
  </si>
  <si>
    <t>TXN-00666</t>
  </si>
  <si>
    <t>28-Apr-2025</t>
  </si>
  <si>
    <t>amaka onwuka</t>
  </si>
  <si>
    <t>TXN-01294</t>
  </si>
  <si>
    <t>Uche Okoro</t>
  </si>
  <si>
    <t>TXN-01123</t>
  </si>
  <si>
    <t>17/08/2025</t>
  </si>
  <si>
    <t>Funmi Eze</t>
  </si>
  <si>
    <t>TXN-00309</t>
  </si>
  <si>
    <t>2025-05-10</t>
  </si>
  <si>
    <t>TXN-01227</t>
  </si>
  <si>
    <t>19 July 2025</t>
  </si>
  <si>
    <t>uche okoro</t>
  </si>
  <si>
    <t>TXN-00581</t>
  </si>
  <si>
    <t>16 December 2025</t>
  </si>
  <si>
    <t xml:space="preserve">  new   </t>
  </si>
  <si>
    <t>TXN-00177</t>
  </si>
  <si>
    <t>10.02.2025</t>
  </si>
  <si>
    <t>TXN-01144</t>
  </si>
  <si>
    <t>04.03.2025</t>
  </si>
  <si>
    <t>TXN-01405</t>
  </si>
  <si>
    <t>31/01/2025</t>
  </si>
  <si>
    <t>TXN-00131</t>
  </si>
  <si>
    <t>24.05.2025</t>
  </si>
  <si>
    <t>TXN-00964</t>
  </si>
  <si>
    <t>13/08/2025</t>
  </si>
  <si>
    <t>TXN-01157</t>
  </si>
  <si>
    <t>28 October 2025</t>
  </si>
  <si>
    <t>TXN-00903</t>
  </si>
  <si>
    <t>2025-06-16</t>
  </si>
  <si>
    <t>TXN-00863</t>
  </si>
  <si>
    <t>2025-06-22</t>
  </si>
  <si>
    <t xml:space="preserve">  Chidera Bello   </t>
  </si>
  <si>
    <t>TXN-00997</t>
  </si>
  <si>
    <t>25/12/2025</t>
  </si>
  <si>
    <t>TXN-01147</t>
  </si>
  <si>
    <t>04/11/2025</t>
  </si>
  <si>
    <t>Perfume 100ml</t>
  </si>
  <si>
    <t>NGOZI IBRAHIM</t>
  </si>
  <si>
    <t>TXN-00809</t>
  </si>
  <si>
    <t>10/02/2025</t>
  </si>
  <si>
    <t xml:space="preserve">  Benin City   </t>
  </si>
  <si>
    <t>Curtain Set</t>
  </si>
  <si>
    <t xml:space="preserve">   NGOZI IBRAHIM   </t>
  </si>
  <si>
    <t>TXN-00057</t>
  </si>
  <si>
    <t>01.02.2025</t>
  </si>
  <si>
    <t>TXN-01135</t>
  </si>
  <si>
    <t>21 February 2025</t>
  </si>
  <si>
    <t>TXN-01403</t>
  </si>
  <si>
    <t>2025-01-29</t>
  </si>
  <si>
    <t>UCHE OKORO</t>
  </si>
  <si>
    <t>TXN-00910</t>
  </si>
  <si>
    <t>10/21/2025</t>
  </si>
  <si>
    <t>TXN-00950</t>
  </si>
  <si>
    <t>04 September 2025</t>
  </si>
  <si>
    <t>TXN-00185</t>
  </si>
  <si>
    <t>TXN-00124</t>
  </si>
  <si>
    <t>28/09/2025</t>
  </si>
  <si>
    <t xml:space="preserve">   TUNDE BALOGUN   </t>
  </si>
  <si>
    <t>TXN-00052</t>
  </si>
  <si>
    <t>2025-11-22</t>
  </si>
  <si>
    <t>TXN-00327</t>
  </si>
  <si>
    <t>22/03/2025</t>
  </si>
  <si>
    <t xml:space="preserve">  Lagos   </t>
  </si>
  <si>
    <t>TXN-00247</t>
  </si>
  <si>
    <t>25 December 2025</t>
  </si>
  <si>
    <t>TXN-00663</t>
  </si>
  <si>
    <t>TXN-00841</t>
  </si>
  <si>
    <t>07 July 2025</t>
  </si>
  <si>
    <t>Peter Adekunle</t>
  </si>
  <si>
    <t>TXN-00191</t>
  </si>
  <si>
    <t>26.07.2025</t>
  </si>
  <si>
    <t>TXN-01209</t>
  </si>
  <si>
    <t>08/21/2025</t>
  </si>
  <si>
    <t>Obinna Yusuf</t>
  </si>
  <si>
    <t>TXN-00034</t>
  </si>
  <si>
    <t>24.04.2025</t>
  </si>
  <si>
    <t>TXN-00488</t>
  </si>
  <si>
    <t>12/13/2025</t>
  </si>
  <si>
    <t xml:space="preserve">  Ibadan   </t>
  </si>
  <si>
    <t>TXN-00580</t>
  </si>
  <si>
    <t>10.10.2025</t>
  </si>
  <si>
    <t>TXN-00451</t>
  </si>
  <si>
    <t>02-Jul-2025</t>
  </si>
  <si>
    <t>TXN-01136</t>
  </si>
  <si>
    <t>02/03/2025</t>
  </si>
  <si>
    <t>TXN-00087</t>
  </si>
  <si>
    <t>15/10/2025</t>
  </si>
  <si>
    <t xml:space="preserve">  NEW   </t>
  </si>
  <si>
    <t>TXN-01281</t>
  </si>
  <si>
    <t>12/28/2025</t>
  </si>
  <si>
    <t>SEGUN CHUKWU</t>
  </si>
  <si>
    <t>TXN-00743</t>
  </si>
  <si>
    <t>28.12.2025</t>
  </si>
  <si>
    <t>TXN-01297</t>
  </si>
  <si>
    <t>26-Oct-2025</t>
  </si>
  <si>
    <t>TXN-00138</t>
  </si>
  <si>
    <t>2025-11-13</t>
  </si>
  <si>
    <t>Dinner Set</t>
  </si>
  <si>
    <t>TXN-00169</t>
  </si>
  <si>
    <t>11 July 2025</t>
  </si>
  <si>
    <t>TXN-01104</t>
  </si>
  <si>
    <t>2025-04-30</t>
  </si>
  <si>
    <t>CHIDERA BELLO</t>
  </si>
  <si>
    <t>TXN-00425</t>
  </si>
  <si>
    <t>06/04/2025</t>
  </si>
  <si>
    <t>TXN-01205</t>
  </si>
  <si>
    <t>2025-03-21</t>
  </si>
  <si>
    <t>TXN-00636</t>
  </si>
  <si>
    <t>07-Mar-2025</t>
  </si>
  <si>
    <t>TXN-01463</t>
  </si>
  <si>
    <t>2025-10-02</t>
  </si>
  <si>
    <t>enugu</t>
  </si>
  <si>
    <t>TXN-00174</t>
  </si>
  <si>
    <t>05-Dec-2025</t>
  </si>
  <si>
    <t xml:space="preserve">   port harcourt   </t>
  </si>
  <si>
    <t>TXN-00083</t>
  </si>
  <si>
    <t>10/05/2025</t>
  </si>
  <si>
    <t>TXN-00181</t>
  </si>
  <si>
    <t>08/02/2025</t>
  </si>
  <si>
    <t>TXN-00156</t>
  </si>
  <si>
    <t>2025-03-18</t>
  </si>
  <si>
    <t>TXN-00496</t>
  </si>
  <si>
    <t>16.03.2025</t>
  </si>
  <si>
    <t>TXN-00118</t>
  </si>
  <si>
    <t>2025-07-23</t>
  </si>
  <si>
    <t>TXN-01456</t>
  </si>
  <si>
    <t>2025-11-23</t>
  </si>
  <si>
    <t>TXN-00146</t>
  </si>
  <si>
    <t>20 February 2025</t>
  </si>
  <si>
    <t>TXN-00316</t>
  </si>
  <si>
    <t>02 April 2025</t>
  </si>
  <si>
    <t xml:space="preserve">  Port Harcourt   </t>
  </si>
  <si>
    <t>TXN-01465</t>
  </si>
  <si>
    <t>2025-03-22</t>
  </si>
  <si>
    <t>ABUJA</t>
  </si>
  <si>
    <t>mary nnamdi</t>
  </si>
  <si>
    <t>TXN-00993</t>
  </si>
  <si>
    <t>11/28/2025</t>
  </si>
  <si>
    <t>TXN-00540</t>
  </si>
  <si>
    <t>02-Mar-2025</t>
  </si>
  <si>
    <t>TXN-01345</t>
  </si>
  <si>
    <t>18.10.2025</t>
  </si>
  <si>
    <t>TXN-00804</t>
  </si>
  <si>
    <t>27.07.2025</t>
  </si>
  <si>
    <t>TXN-01126</t>
  </si>
  <si>
    <t>14/09/2025</t>
  </si>
  <si>
    <t>TXN-00212</t>
  </si>
  <si>
    <t>04/05/2025</t>
  </si>
  <si>
    <t>TXN-00559</t>
  </si>
  <si>
    <t>30-Dec-2025</t>
  </si>
  <si>
    <t>TXN-00930</t>
  </si>
  <si>
    <t>19 November 2025</t>
  </si>
  <si>
    <t xml:space="preserve">   Lagos   </t>
  </si>
  <si>
    <t>obinna yusuf</t>
  </si>
  <si>
    <t>TXN-01372</t>
  </si>
  <si>
    <t>30/09/2025</t>
  </si>
  <si>
    <t>TXN-00189</t>
  </si>
  <si>
    <t>11/21/2025</t>
  </si>
  <si>
    <t>TXN-01099</t>
  </si>
  <si>
    <t>TXN-00648</t>
  </si>
  <si>
    <t>17.10.2025</t>
  </si>
  <si>
    <t>TXN-00386</t>
  </si>
  <si>
    <t>18.07.2025</t>
  </si>
  <si>
    <t xml:space="preserve">   new   </t>
  </si>
  <si>
    <t>TXN-00928</t>
  </si>
  <si>
    <t>26.01.2025</t>
  </si>
  <si>
    <t>household</t>
  </si>
  <si>
    <t>TXN-00835</t>
  </si>
  <si>
    <t>12/20/2025</t>
  </si>
  <si>
    <t>TXN-00046</t>
  </si>
  <si>
    <t>22-Aug-2025</t>
  </si>
  <si>
    <t>TXN-01040</t>
  </si>
  <si>
    <t>30 December 2025</t>
  </si>
  <si>
    <t>TXN-01152</t>
  </si>
  <si>
    <t>TXN-00570</t>
  </si>
  <si>
    <t>22/11/2025</t>
  </si>
  <si>
    <t>TXN-00128</t>
  </si>
  <si>
    <t>22/02/2025</t>
  </si>
  <si>
    <t>TXN-00343</t>
  </si>
  <si>
    <t>16 August 2025</t>
  </si>
  <si>
    <t>TXN-00616</t>
  </si>
  <si>
    <t>2025-03-27</t>
  </si>
  <si>
    <t>TXN-00187</t>
  </si>
  <si>
    <t>01-Jun-2025</t>
  </si>
  <si>
    <t>TXN-01312</t>
  </si>
  <si>
    <t>2025-01-09</t>
  </si>
  <si>
    <t xml:space="preserve">  uche okoro   </t>
  </si>
  <si>
    <t>TXN-00285</t>
  </si>
  <si>
    <t>15/08/2025</t>
  </si>
  <si>
    <t>TXN-00365</t>
  </si>
  <si>
    <t>20 April 2025</t>
  </si>
  <si>
    <t>TXN-00899</t>
  </si>
  <si>
    <t>03-Jan-2025</t>
  </si>
  <si>
    <t xml:space="preserve">   lagos   </t>
  </si>
  <si>
    <t>TXN-00024</t>
  </si>
  <si>
    <t>TXN-01226</t>
  </si>
  <si>
    <t>17/03/2025</t>
  </si>
  <si>
    <t>TXN-01117</t>
  </si>
  <si>
    <t>13 August 2025</t>
  </si>
  <si>
    <t>TXN-00273</t>
  </si>
  <si>
    <t>25/02/2025</t>
  </si>
  <si>
    <t>TXN-00432</t>
  </si>
  <si>
    <t>03-May-2025</t>
  </si>
  <si>
    <t>TXN-01348</t>
  </si>
  <si>
    <t>2025-05-05</t>
  </si>
  <si>
    <t>Sugar 1kg</t>
  </si>
  <si>
    <t>TXN-00763</t>
  </si>
  <si>
    <t>03-Nov-2025</t>
  </si>
  <si>
    <t>TXN-00393</t>
  </si>
  <si>
    <t>19.01.2025</t>
  </si>
  <si>
    <t>TXN-00768</t>
  </si>
  <si>
    <t>20.01.2025</t>
  </si>
  <si>
    <t>TXN-00116</t>
  </si>
  <si>
    <t>01/30/2025</t>
  </si>
  <si>
    <t>TXN-00998</t>
  </si>
  <si>
    <t>05-May-2025</t>
  </si>
  <si>
    <t xml:space="preserve">   ade abubakar   </t>
  </si>
  <si>
    <t>TXN-01280</t>
  </si>
  <si>
    <t>2025-01-07</t>
  </si>
  <si>
    <t xml:space="preserve">   Abuja   </t>
  </si>
  <si>
    <t xml:space="preserve">   Grace Okafor   </t>
  </si>
  <si>
    <t>TXN-00887</t>
  </si>
  <si>
    <t>19.07.2025</t>
  </si>
  <si>
    <t>TXN-01231</t>
  </si>
  <si>
    <t>29/04/2025</t>
  </si>
  <si>
    <t>TXN-01187</t>
  </si>
  <si>
    <t>22.09.2025</t>
  </si>
  <si>
    <t>TXN-00141</t>
  </si>
  <si>
    <t>21/10/2025</t>
  </si>
  <si>
    <t>TXN-00764</t>
  </si>
  <si>
    <t>27 April 2025</t>
  </si>
  <si>
    <t>TXN-00861</t>
  </si>
  <si>
    <t>TXN-01053</t>
  </si>
  <si>
    <t>2025-08-01</t>
  </si>
  <si>
    <t>TXN-00293</t>
  </si>
  <si>
    <t>20-Aug-2025</t>
  </si>
  <si>
    <t>TXN-00336</t>
  </si>
  <si>
    <t>09/02/2025</t>
  </si>
  <si>
    <t xml:space="preserve">  IBADAN   </t>
  </si>
  <si>
    <t>TXN-00643</t>
  </si>
  <si>
    <t>21/01/2025</t>
  </si>
  <si>
    <t xml:space="preserve">   kano   </t>
  </si>
  <si>
    <t>TXN-00893</t>
  </si>
  <si>
    <t>25/04/2025</t>
  </si>
  <si>
    <t>TXN-00900</t>
  </si>
  <si>
    <t>05.08.2025</t>
  </si>
  <si>
    <t xml:space="preserve">  Peter Adekunle   </t>
  </si>
  <si>
    <t>TXN-00752</t>
  </si>
  <si>
    <t>2025-04-27</t>
  </si>
  <si>
    <t xml:space="preserve">   Chidera Bello   </t>
  </si>
  <si>
    <t>TXN-00197</t>
  </si>
  <si>
    <t>01/03/2025</t>
  </si>
  <si>
    <t>TXN-00951</t>
  </si>
  <si>
    <t>2025-02-08</t>
  </si>
  <si>
    <t>TXN-01192</t>
  </si>
  <si>
    <t>12.01.2025</t>
  </si>
  <si>
    <t>TXN-00123</t>
  </si>
  <si>
    <t>2025-10-17</t>
  </si>
  <si>
    <t>TXN-01410</t>
  </si>
  <si>
    <t>06.07.2025</t>
  </si>
  <si>
    <t xml:space="preserve">   ENUGU   </t>
  </si>
  <si>
    <t xml:space="preserve">   Uche Okoro   </t>
  </si>
  <si>
    <t>TXN-00384</t>
  </si>
  <si>
    <t>2025-10-19</t>
  </si>
  <si>
    <t xml:space="preserve">   ABUJA   </t>
  </si>
  <si>
    <t>TXN-00860</t>
  </si>
  <si>
    <t>19.12.2025</t>
  </si>
  <si>
    <t>TXN-00125</t>
  </si>
  <si>
    <t>31.12.2025</t>
  </si>
  <si>
    <t>TXN-00606</t>
  </si>
  <si>
    <t>06.10.2025</t>
  </si>
  <si>
    <t>TXN-00358</t>
  </si>
  <si>
    <t>2025-08-27</t>
  </si>
  <si>
    <t>ade abubakar</t>
  </si>
  <si>
    <t>TXN-00551</t>
  </si>
  <si>
    <t>07 January 2025</t>
  </si>
  <si>
    <t>TXN-00553</t>
  </si>
  <si>
    <t>2025-08-24</t>
  </si>
  <si>
    <t>TXN-00574</t>
  </si>
  <si>
    <t>13 September 2025</t>
  </si>
  <si>
    <t>TXN-00178</t>
  </si>
  <si>
    <t>2025-11-18</t>
  </si>
  <si>
    <t>TXN-01172</t>
  </si>
  <si>
    <t>04 December 2025</t>
  </si>
  <si>
    <t>TXN-01000</t>
  </si>
  <si>
    <t>03/03/2025</t>
  </si>
  <si>
    <t>TXN-00789</t>
  </si>
  <si>
    <t>17.08.2025</t>
  </si>
  <si>
    <t>TXN-01488</t>
  </si>
  <si>
    <t>2025-03-10</t>
  </si>
  <si>
    <t>TXN-00550</t>
  </si>
  <si>
    <t>23.10.2025</t>
  </si>
  <si>
    <t>TXN-00691</t>
  </si>
  <si>
    <t>26/09/2025</t>
  </si>
  <si>
    <t>TXN-00397</t>
  </si>
  <si>
    <t>19 March 2025</t>
  </si>
  <si>
    <t>TXN-01455</t>
  </si>
  <si>
    <t>15-Apr-2025</t>
  </si>
  <si>
    <t>TXN-00344</t>
  </si>
  <si>
    <t>15/02/2025</t>
  </si>
  <si>
    <t>TXN-01077</t>
  </si>
  <si>
    <t>TXN-01016</t>
  </si>
  <si>
    <t>TXN-00234</t>
  </si>
  <si>
    <t>07/25/2025</t>
  </si>
  <si>
    <t>TXN-00531</t>
  </si>
  <si>
    <t>09-Jul-2025</t>
  </si>
  <si>
    <t>TXN-00221</t>
  </si>
  <si>
    <t>25.08.2025</t>
  </si>
  <si>
    <t xml:space="preserve">   Segun Chukwu   </t>
  </si>
  <si>
    <t>TXN-00155</t>
  </si>
  <si>
    <t>12.09.2025</t>
  </si>
  <si>
    <t>TXN-00438</t>
  </si>
  <si>
    <t>24 October 2025</t>
  </si>
  <si>
    <t>TXN-01008</t>
  </si>
  <si>
    <t>13-Nov-2025</t>
  </si>
  <si>
    <t>TXN-00937</t>
  </si>
  <si>
    <t>09/15/2025</t>
  </si>
  <si>
    <t>TXN-00613</t>
  </si>
  <si>
    <t>2025-08-20</t>
  </si>
  <si>
    <t xml:space="preserve">   Kano   </t>
  </si>
  <si>
    <t xml:space="preserve">  Obinna Yusuf   </t>
  </si>
  <si>
    <t>TXN-01173</t>
  </si>
  <si>
    <t>02/21/2025</t>
  </si>
  <si>
    <t>TXN-00953</t>
  </si>
  <si>
    <t>30.11.2025</t>
  </si>
  <si>
    <t xml:space="preserve">  benin city   </t>
  </si>
  <si>
    <t>TXN-01246</t>
  </si>
  <si>
    <t>31-Aug-2025</t>
  </si>
  <si>
    <t>TXN-00392</t>
  </si>
  <si>
    <t>06.09.2025</t>
  </si>
  <si>
    <t>TXN-00940</t>
  </si>
  <si>
    <t>08-Aug-2025</t>
  </si>
  <si>
    <t>TXN-00711</t>
  </si>
  <si>
    <t>26/07/2025</t>
  </si>
  <si>
    <t>TXN-01337</t>
  </si>
  <si>
    <t>TXN-00061</t>
  </si>
  <si>
    <t>TXN-00093</t>
  </si>
  <si>
    <t>10 June 2025</t>
  </si>
  <si>
    <t>TXN-01300</t>
  </si>
  <si>
    <t>07 March 2025</t>
  </si>
  <si>
    <t>TXN-01095</t>
  </si>
  <si>
    <t>05 May 2025</t>
  </si>
  <si>
    <t>TXN-00434</t>
  </si>
  <si>
    <t>TXN-00068</t>
  </si>
  <si>
    <t>27/07/2025</t>
  </si>
  <si>
    <t>TXN-00414</t>
  </si>
  <si>
    <t>11.10.2025</t>
  </si>
  <si>
    <t xml:space="preserve">   IBADAN   </t>
  </si>
  <si>
    <t>TXN-00195</t>
  </si>
  <si>
    <t>28/02/2025</t>
  </si>
  <si>
    <t>TXN-00294</t>
  </si>
  <si>
    <t>2025-06-17</t>
  </si>
  <si>
    <t>TXN-00644</t>
  </si>
  <si>
    <t>10/08/2025</t>
  </si>
  <si>
    <t>TXN-00410</t>
  </si>
  <si>
    <t>29/12/2025</t>
  </si>
  <si>
    <t>TXN-01114</t>
  </si>
  <si>
    <t>17 April 2025</t>
  </si>
  <si>
    <t>TXN-01389</t>
  </si>
  <si>
    <t>03/14/2025</t>
  </si>
  <si>
    <t xml:space="preserve">   Peter Adekunle   </t>
  </si>
  <si>
    <t>TXN-00685</t>
  </si>
  <si>
    <t>11/18/2025</t>
  </si>
  <si>
    <t>TXN-00820</t>
  </si>
  <si>
    <t>03 September 2025</t>
  </si>
  <si>
    <t>TXN-00732</t>
  </si>
  <si>
    <t>15.05.2025</t>
  </si>
  <si>
    <t xml:space="preserve">   uche okoro   </t>
  </si>
  <si>
    <t>TXN-00360</t>
  </si>
  <si>
    <t>30.10.2025</t>
  </si>
  <si>
    <t>TXN-00558</t>
  </si>
  <si>
    <t>09/26/2025</t>
  </si>
  <si>
    <t xml:space="preserve">  LAGOS   </t>
  </si>
  <si>
    <t>TXN-00968</t>
  </si>
  <si>
    <t>20-Oct-2025</t>
  </si>
  <si>
    <t>TXN-00632</t>
  </si>
  <si>
    <t>04.08.2025</t>
  </si>
  <si>
    <t>TXN-01452</t>
  </si>
  <si>
    <t>04/03/2025</t>
  </si>
  <si>
    <t>TXN-01320</t>
  </si>
  <si>
    <t>30-Aug-2025</t>
  </si>
  <si>
    <t>TXN-01009</t>
  </si>
  <si>
    <t>chinwe etim</t>
  </si>
  <si>
    <t>TXN-00770</t>
  </si>
  <si>
    <t>2025-05-31</t>
  </si>
  <si>
    <t>TXN-00871</t>
  </si>
  <si>
    <t>12/22/2025</t>
  </si>
  <si>
    <t>TXN-00363</t>
  </si>
  <si>
    <t>14.04.2025</t>
  </si>
  <si>
    <t>TXN-00277</t>
  </si>
  <si>
    <t>05-Apr-2025</t>
  </si>
  <si>
    <t>TXN-00782</t>
  </si>
  <si>
    <t>TXN-00600</t>
  </si>
  <si>
    <t>27-May-2025</t>
  </si>
  <si>
    <t>TXN-00104</t>
  </si>
  <si>
    <t>11/30/2025</t>
  </si>
  <si>
    <t>TXN-01363</t>
  </si>
  <si>
    <t>03 March 2025</t>
  </si>
  <si>
    <t>TXN-00919</t>
  </si>
  <si>
    <t>12-Nov-2025</t>
  </si>
  <si>
    <t>TXN-00199</t>
  </si>
  <si>
    <t>17 December 2025</t>
  </si>
  <si>
    <t xml:space="preserve">   mary nnamdi   </t>
  </si>
  <si>
    <t>TXN-01216</t>
  </si>
  <si>
    <t>2025-06-12</t>
  </si>
  <si>
    <t xml:space="preserve">   GRACE OKAFOR   </t>
  </si>
  <si>
    <t>TXN-00018</t>
  </si>
  <si>
    <t>2025-05-17</t>
  </si>
  <si>
    <t>TXN-00829</t>
  </si>
  <si>
    <t>2025-12-20</t>
  </si>
  <si>
    <t xml:space="preserve">   IFEOMA ADEYEMI   </t>
  </si>
  <si>
    <t>TXN-00721</t>
  </si>
  <si>
    <t>15/03/2025</t>
  </si>
  <si>
    <t>TXN-00039</t>
  </si>
  <si>
    <t>26.12.2025</t>
  </si>
  <si>
    <t>TXN-00932</t>
  </si>
  <si>
    <t>17-Sep-2025</t>
  </si>
  <si>
    <t xml:space="preserve">   tunde balogun   </t>
  </si>
  <si>
    <t>TXN-00922</t>
  </si>
  <si>
    <t>29.07.2025</t>
  </si>
  <si>
    <t xml:space="preserve">   AMAKA ONWUKA   </t>
  </si>
  <si>
    <t>TXN-00917</t>
  </si>
  <si>
    <t>2025-01-14</t>
  </si>
  <si>
    <t>TXN-01007</t>
  </si>
  <si>
    <t>07/09/2025</t>
  </si>
  <si>
    <t>TXN-01018</t>
  </si>
  <si>
    <t>15/07/2025</t>
  </si>
  <si>
    <t>TXN-00225</t>
  </si>
  <si>
    <t>01.12.2025</t>
  </si>
  <si>
    <t>TXN-01189</t>
  </si>
  <si>
    <t>12/07/2025</t>
  </si>
  <si>
    <t>TXN-00320</t>
  </si>
  <si>
    <t>TXN-01278</t>
  </si>
  <si>
    <t>2025-11-25</t>
  </si>
  <si>
    <t>TXN-00037</t>
  </si>
  <si>
    <t xml:space="preserve">   abuja   </t>
  </si>
  <si>
    <t>TXN-00445</t>
  </si>
  <si>
    <t>2025-12-04</t>
  </si>
  <si>
    <t>ngozi ibrahim</t>
  </si>
  <si>
    <t>TXN-00391</t>
  </si>
  <si>
    <t>2025-12-23</t>
  </si>
  <si>
    <t>TXN-01224</t>
  </si>
  <si>
    <t>10.08.2025</t>
  </si>
  <si>
    <t>TXN-00867</t>
  </si>
  <si>
    <t>10/17/2025</t>
  </si>
  <si>
    <t>TXN-00354</t>
  </si>
  <si>
    <t>13 October 2025</t>
  </si>
  <si>
    <t>TXN-00268</t>
  </si>
  <si>
    <t>TXN-00564</t>
  </si>
  <si>
    <t>TXN-00779</t>
  </si>
  <si>
    <t>09 May 2025</t>
  </si>
  <si>
    <t>TXN-00157</t>
  </si>
  <si>
    <t>25/07/2025</t>
  </si>
  <si>
    <t xml:space="preserve">   Chinwe Etim   </t>
  </si>
  <si>
    <t>TXN-01439</t>
  </si>
  <si>
    <t>04/02/2025</t>
  </si>
  <si>
    <t xml:space="preserve">  Tunde Balogun   </t>
  </si>
  <si>
    <t>TXN-01057</t>
  </si>
  <si>
    <t>CHINWE ETIM</t>
  </si>
  <si>
    <t>TXN-01091</t>
  </si>
  <si>
    <t>11.02.2025</t>
  </si>
  <si>
    <t>TXN-01472</t>
  </si>
  <si>
    <t>19.06.2025</t>
  </si>
  <si>
    <t>TXN-01071</t>
  </si>
  <si>
    <t>27.02.2025</t>
  </si>
  <si>
    <t>TXN-00461</t>
  </si>
  <si>
    <t>07/01/2025</t>
  </si>
  <si>
    <t>TXN-00599</t>
  </si>
  <si>
    <t>19/03/2025</t>
  </si>
  <si>
    <t>TXN-00223</t>
  </si>
  <si>
    <t>15/09/2025</t>
  </si>
  <si>
    <t>TXN-00513</t>
  </si>
  <si>
    <t>16/07/2025</t>
  </si>
  <si>
    <t xml:space="preserve">   OBINNA YUSUF   </t>
  </si>
  <si>
    <t>TXN-00807</t>
  </si>
  <si>
    <t>05/17/2025</t>
  </si>
  <si>
    <t>TXN-00240</t>
  </si>
  <si>
    <t>04-Sep-2025</t>
  </si>
  <si>
    <t>TXN-00854</t>
  </si>
  <si>
    <t>25/08/2025</t>
  </si>
  <si>
    <t>TXN-00591</t>
  </si>
  <si>
    <t>09 January 2025</t>
  </si>
  <si>
    <t xml:space="preserve">  CHIDERA BELLO   </t>
  </si>
  <si>
    <t xml:space="preserve">  New   </t>
  </si>
  <si>
    <t>TXN-00762</t>
  </si>
  <si>
    <t>28-Aug-2025</t>
  </si>
  <si>
    <t xml:space="preserve">   Amaka Onwuka   </t>
  </si>
  <si>
    <t xml:space="preserve">  returning   </t>
  </si>
  <si>
    <t>TXN-00140</t>
  </si>
  <si>
    <t>29 July 2025</t>
  </si>
  <si>
    <t>TXN-00915</t>
  </si>
  <si>
    <t>TXN-01044</t>
  </si>
  <si>
    <t>23 May 2025</t>
  </si>
  <si>
    <t>TXN-01026</t>
  </si>
  <si>
    <t>21/04/2025</t>
  </si>
  <si>
    <t>TXN-00604</t>
  </si>
  <si>
    <t>28.10.2025</t>
  </si>
  <si>
    <t>TXN-01158</t>
  </si>
  <si>
    <t>04/09/2025</t>
  </si>
  <si>
    <t xml:space="preserve">   LAGOS   </t>
  </si>
  <si>
    <t xml:space="preserve">  ade abubakar   </t>
  </si>
  <si>
    <t>TXN-00472</t>
  </si>
  <si>
    <t>TXN-01037</t>
  </si>
  <si>
    <t>25-Aug-2025</t>
  </si>
  <si>
    <t>TXN-00870</t>
  </si>
  <si>
    <t>09/24/2025</t>
  </si>
  <si>
    <t>TXN-00129</t>
  </si>
  <si>
    <t>TXN-01371</t>
  </si>
  <si>
    <t>03 November 2025</t>
  </si>
  <si>
    <t>TXN-00282</t>
  </si>
  <si>
    <t>21.07.2025</t>
  </si>
  <si>
    <t>TXN-00466</t>
  </si>
  <si>
    <t>21/02/2025</t>
  </si>
  <si>
    <t>TXN-00673</t>
  </si>
  <si>
    <t>07 February 2025</t>
  </si>
  <si>
    <t>TXN-01496</t>
  </si>
  <si>
    <t>TXN-00176</t>
  </si>
  <si>
    <t>26-Apr-2025</t>
  </si>
  <si>
    <t>TXN-01314</t>
  </si>
  <si>
    <t>2025-03-28</t>
  </si>
  <si>
    <t>TXN-00080</t>
  </si>
  <si>
    <t>02/02/2025</t>
  </si>
  <si>
    <t>TXN-01396</t>
  </si>
  <si>
    <t>06 March 2025</t>
  </si>
  <si>
    <t>TXN-01213</t>
  </si>
  <si>
    <t>10.12.2025</t>
  </si>
  <si>
    <t>TXN-00219</t>
  </si>
  <si>
    <t>11/27/2025</t>
  </si>
  <si>
    <t>TXN-00010</t>
  </si>
  <si>
    <t>TXN-00381</t>
  </si>
  <si>
    <t>29-Aug-2025</t>
  </si>
  <si>
    <t>TXN-00523</t>
  </si>
  <si>
    <t>04-Feb-2025</t>
  </si>
  <si>
    <t>TXN-01448</t>
  </si>
  <si>
    <t>02 December 2025</t>
  </si>
  <si>
    <t>TXN-01407</t>
  </si>
  <si>
    <t>12-Jan-2025</t>
  </si>
  <si>
    <t>TXN-00361</t>
  </si>
  <si>
    <t>30-Jul-2025</t>
  </si>
  <si>
    <t>TXN-01421</t>
  </si>
  <si>
    <t>16-Mar-2025</t>
  </si>
  <si>
    <t>TXN-00641</t>
  </si>
  <si>
    <t>24-Aug-2025</t>
  </si>
  <si>
    <t>TXN-00507</t>
  </si>
  <si>
    <t>26/02/2025</t>
  </si>
  <si>
    <t>Kelechi Nwosu</t>
  </si>
  <si>
    <t>TXN-00297</t>
  </si>
  <si>
    <t>14.02.2025</t>
  </si>
  <si>
    <t>TXN-00555</t>
  </si>
  <si>
    <t>22-Oct-2025</t>
  </si>
  <si>
    <t xml:space="preserve">  funmi eze   </t>
  </si>
  <si>
    <t>TXN-01082</t>
  </si>
  <si>
    <t>29 March 2025</t>
  </si>
  <si>
    <t>TXN-00665</t>
  </si>
  <si>
    <t>29.09.2025</t>
  </si>
  <si>
    <t>TXN-01499</t>
  </si>
  <si>
    <t>16 May 2025</t>
  </si>
  <si>
    <t>TXN-00476</t>
  </si>
  <si>
    <t>2025-12-14</t>
  </si>
  <si>
    <t>TXN-00733</t>
  </si>
  <si>
    <t>19 January 2025</t>
  </si>
  <si>
    <t>TXN-00367</t>
  </si>
  <si>
    <t>09/06/2025</t>
  </si>
  <si>
    <t xml:space="preserve">   chinwe etim   </t>
  </si>
  <si>
    <t>TXN-00692</t>
  </si>
  <si>
    <t xml:space="preserve">   Ifeoma Adeyemi   </t>
  </si>
  <si>
    <t>TXN-00683</t>
  </si>
  <si>
    <t>04/12/2025</t>
  </si>
  <si>
    <t>TXN-01235</t>
  </si>
  <si>
    <t>06-Feb-2025</t>
  </si>
  <si>
    <t>TXN-01386</t>
  </si>
  <si>
    <t>2025-11-19</t>
  </si>
  <si>
    <t>TXN-00041</t>
  </si>
  <si>
    <t>11-Dec-2025</t>
  </si>
  <si>
    <t>TXN-00751</t>
  </si>
  <si>
    <t>01/05/2025</t>
  </si>
  <si>
    <t>TXN-00679</t>
  </si>
  <si>
    <t>17/10/2025</t>
  </si>
  <si>
    <t>TXN-00464</t>
  </si>
  <si>
    <t>11/17/2025</t>
  </si>
  <si>
    <t>TXN-00383</t>
  </si>
  <si>
    <t>07/11/2025</t>
  </si>
  <si>
    <t xml:space="preserve">  Kano   </t>
  </si>
  <si>
    <t>TXN-00078</t>
  </si>
  <si>
    <t>28.01.2025</t>
  </si>
  <si>
    <t>TXN-00408</t>
  </si>
  <si>
    <t>25-Jan-2025</t>
  </si>
  <si>
    <t>TXN-01272</t>
  </si>
  <si>
    <t>09-Sep-2025</t>
  </si>
  <si>
    <t>TXN-00452</t>
  </si>
  <si>
    <t>22 February 2025</t>
  </si>
  <si>
    <t>TXN-00376</t>
  </si>
  <si>
    <t>25 April 2025</t>
  </si>
  <si>
    <t>TXN-01427</t>
  </si>
  <si>
    <t>28-Mar-2025</t>
  </si>
  <si>
    <t>TXN-00086</t>
  </si>
  <si>
    <t>05.07.2025</t>
  </si>
  <si>
    <t>TXN-01471</t>
  </si>
  <si>
    <t>2025-10-15</t>
  </si>
  <si>
    <t>TXN-00576</t>
  </si>
  <si>
    <t>2025-01-18</t>
  </si>
  <si>
    <t>TXN-01177</t>
  </si>
  <si>
    <t>TXN-00577</t>
  </si>
  <si>
    <t>04.02.2025</t>
  </si>
  <si>
    <t>TXN-01311</t>
  </si>
  <si>
    <t>30/10/2025</t>
  </si>
  <si>
    <t>TXN-00378</t>
  </si>
  <si>
    <t>13/10/2025</t>
  </si>
  <si>
    <t>TXN-00735</t>
  </si>
  <si>
    <t>03/21/2025</t>
  </si>
  <si>
    <t>TXN-00827</t>
  </si>
  <si>
    <t>19/11/2025</t>
  </si>
  <si>
    <t>TXN-00162</t>
  </si>
  <si>
    <t>07/22/2025</t>
  </si>
  <si>
    <t>TXN-00784</t>
  </si>
  <si>
    <t>26.05.2025</t>
  </si>
  <si>
    <t>TXN-01035</t>
  </si>
  <si>
    <t>08/03/2025</t>
  </si>
  <si>
    <t>TXN-01203</t>
  </si>
  <si>
    <t>09/03/2025</t>
  </si>
  <si>
    <t>TXN-00579</t>
  </si>
  <si>
    <t>17-Jan-2025</t>
  </si>
  <si>
    <t>TXN-00450</t>
  </si>
  <si>
    <t>23/04/2025</t>
  </si>
  <si>
    <t xml:space="preserve">  ifeoma adeyemi   </t>
  </si>
  <si>
    <t>TXN-01047</t>
  </si>
  <si>
    <t>21-Mar-2025</t>
  </si>
  <si>
    <t>TXN-00335</t>
  </si>
  <si>
    <t>22/05/2025</t>
  </si>
  <si>
    <t>TXN-01430</t>
  </si>
  <si>
    <t>03 April 2025</t>
  </si>
  <si>
    <t>TXN-01353</t>
  </si>
  <si>
    <t>25/05/2025</t>
  </si>
  <si>
    <t xml:space="preserve">   ibadan   </t>
  </si>
  <si>
    <t>TXN-00075</t>
  </si>
  <si>
    <t>TXN-01133</t>
  </si>
  <si>
    <t>2025-11-24</t>
  </si>
  <si>
    <t>TXN-01269</t>
  </si>
  <si>
    <t>TXN-01428</t>
  </si>
  <si>
    <t>09 December 2025</t>
  </si>
  <si>
    <t>TXN-01063</t>
  </si>
  <si>
    <t>TXN-01484</t>
  </si>
  <si>
    <t>03/20/2025</t>
  </si>
  <si>
    <t>TXN-01167</t>
  </si>
  <si>
    <t>26/06/2025</t>
  </si>
  <si>
    <t>TXN-00082</t>
  </si>
  <si>
    <t>17.12.2025</t>
  </si>
  <si>
    <t>TXN-00044</t>
  </si>
  <si>
    <t>2025-02-17</t>
  </si>
  <si>
    <t>TXN-00246</t>
  </si>
  <si>
    <t>10-Jun-2025</t>
  </si>
  <si>
    <t>TXN-00436</t>
  </si>
  <si>
    <t>08.07.2025</t>
  </si>
  <si>
    <t>TXN-01218</t>
  </si>
  <si>
    <t>19.05.2025</t>
  </si>
  <si>
    <t>TXN-01169</t>
  </si>
  <si>
    <t>16-Aug-2025</t>
  </si>
  <si>
    <t>TXN-00002</t>
  </si>
  <si>
    <t>30/04/2025</t>
  </si>
  <si>
    <t>TXN-00058</t>
  </si>
  <si>
    <t>03/17/2025</t>
  </si>
  <si>
    <t xml:space="preserve">  Chinwe Etim   </t>
  </si>
  <si>
    <t>TXN-00965</t>
  </si>
  <si>
    <t>01.01.2025</t>
  </si>
  <si>
    <t>TXN-01070</t>
  </si>
  <si>
    <t>06/09/2025</t>
  </si>
  <si>
    <t>TXN-00409</t>
  </si>
  <si>
    <t>03/12/2025</t>
  </si>
  <si>
    <t>TXN-01178</t>
  </si>
  <si>
    <t xml:space="preserve">   Mary Nnamdi   </t>
  </si>
  <si>
    <t>TXN-00484</t>
  </si>
  <si>
    <t>03-Feb-2025</t>
  </si>
  <si>
    <t>TXN-01318</t>
  </si>
  <si>
    <t>18 September 2025</t>
  </si>
  <si>
    <t>TXN-01401</t>
  </si>
  <si>
    <t>2025-08-15</t>
  </si>
  <si>
    <t>TXN-01137</t>
  </si>
  <si>
    <t>11 April 2025</t>
  </si>
  <si>
    <t>TXN-01030</t>
  </si>
  <si>
    <t>19/06/2025</t>
  </si>
  <si>
    <t>TXN-00978</t>
  </si>
  <si>
    <t>20 January 2025</t>
  </si>
  <si>
    <t>TXN-00565</t>
  </si>
  <si>
    <t>13-Feb-2025</t>
  </si>
  <si>
    <t>TXN-01365</t>
  </si>
  <si>
    <t>2025-05-13</t>
  </si>
  <si>
    <t>TXN-01006</t>
  </si>
  <si>
    <t>TXN-01059</t>
  </si>
  <si>
    <t>23.11.2025</t>
  </si>
  <si>
    <t xml:space="preserve">  ngozi ibrahim   </t>
  </si>
  <si>
    <t>TXN-00387</t>
  </si>
  <si>
    <t>29.05.2025</t>
  </si>
  <si>
    <t>TXN-00756</t>
  </si>
  <si>
    <t>04/22/2025</t>
  </si>
  <si>
    <t>TXN-00455</t>
  </si>
  <si>
    <t>TXN-00100</t>
  </si>
  <si>
    <t>01 February 2025</t>
  </si>
  <si>
    <t>TXN-00536</t>
  </si>
  <si>
    <t>2025-08-12</t>
  </si>
  <si>
    <t>TXN-00888</t>
  </si>
  <si>
    <t>16.09.2025</t>
  </si>
  <si>
    <t>TXN-00898</t>
  </si>
  <si>
    <t>21.12.2025</t>
  </si>
  <si>
    <t>TXN-01058</t>
  </si>
  <si>
    <t>19-Jul-2025</t>
  </si>
  <si>
    <t>TXN-00094</t>
  </si>
  <si>
    <t>2025-05-08</t>
  </si>
  <si>
    <t>TXN-00836</t>
  </si>
  <si>
    <t>19.02.2025</t>
  </si>
  <si>
    <t>TXN-01349</t>
  </si>
  <si>
    <t>24.09.2025</t>
  </si>
  <si>
    <t xml:space="preserve">  KANO   </t>
  </si>
  <si>
    <t>TXN-00084</t>
  </si>
  <si>
    <t>12 February 2025</t>
  </si>
  <si>
    <t>TXN-01309</t>
  </si>
  <si>
    <t>13/01/2025</t>
  </si>
  <si>
    <t>TXN-00995</t>
  </si>
  <si>
    <t>02/04/2025</t>
  </si>
  <si>
    <t>TXN-01198</t>
  </si>
  <si>
    <t>TXN-01291</t>
  </si>
  <si>
    <t>11/20/2025</t>
  </si>
  <si>
    <t>TXN-00017</t>
  </si>
  <si>
    <t>18 April 2025</t>
  </si>
  <si>
    <t xml:space="preserve">  PORT HARCOURT   </t>
  </si>
  <si>
    <t>TXN-00637</t>
  </si>
  <si>
    <t>11/09/2025</t>
  </si>
  <si>
    <t>TXN-00159</t>
  </si>
  <si>
    <t>31-Dec-2025</t>
  </si>
  <si>
    <t>TXN-00750</t>
  </si>
  <si>
    <t>2025-07-22</t>
  </si>
  <si>
    <t>TXN-00645</t>
  </si>
  <si>
    <t>20/05/2025</t>
  </si>
  <si>
    <t xml:space="preserve">   enugu   </t>
  </si>
  <si>
    <t>TXN-00572</t>
  </si>
  <si>
    <t>07/03/2025</t>
  </si>
  <si>
    <t>TXN-01089</t>
  </si>
  <si>
    <t>TXN-01180</t>
  </si>
  <si>
    <t>10 January 2025</t>
  </si>
  <si>
    <t>TXN-00486</t>
  </si>
  <si>
    <t>2025-12-03</t>
  </si>
  <si>
    <t>TXN-00089</t>
  </si>
  <si>
    <t>10/11/2025</t>
  </si>
  <si>
    <t>TXN-00696</t>
  </si>
  <si>
    <t>30.05.2025</t>
  </si>
  <si>
    <t>TXN-00718</t>
  </si>
  <si>
    <t>03/09/2025</t>
  </si>
  <si>
    <t>TXN-00686</t>
  </si>
  <si>
    <t>09-Dec-2025</t>
  </si>
  <si>
    <t xml:space="preserve">  Grace Okafor   </t>
  </si>
  <si>
    <t>TXN-00569</t>
  </si>
  <si>
    <t>2025-05-07</t>
  </si>
  <si>
    <t xml:space="preserve">  IFEOMA ADEYEMI   </t>
  </si>
  <si>
    <t>TXN-00465</t>
  </si>
  <si>
    <t>2025-02-19</t>
  </si>
  <si>
    <t>TXN-01454</t>
  </si>
  <si>
    <t>TXN-00237</t>
  </si>
  <si>
    <t>22.12.2025</t>
  </si>
  <si>
    <t>TXN-01295</t>
  </si>
  <si>
    <t>TXN-00222</t>
  </si>
  <si>
    <t>10/25/2025</t>
  </si>
  <si>
    <t>TXN-00885</t>
  </si>
  <si>
    <t>2025-03-23</t>
  </si>
  <si>
    <t>TXN-00731</t>
  </si>
  <si>
    <t>05.11.2025</t>
  </si>
  <si>
    <t>TXN-00725</t>
  </si>
  <si>
    <t>26-Nov-2025</t>
  </si>
  <si>
    <t xml:space="preserve">  ENUGU   </t>
  </si>
  <si>
    <t>TXN-01045</t>
  </si>
  <si>
    <t>16.02.2025</t>
  </si>
  <si>
    <t>TXN-00054</t>
  </si>
  <si>
    <t>13-Oct-2025</t>
  </si>
  <si>
    <t>TXN-00206</t>
  </si>
  <si>
    <t>12.03.2025</t>
  </si>
  <si>
    <t>TXN-00012</t>
  </si>
  <si>
    <t>TXN-00347</t>
  </si>
  <si>
    <t>03 August 2025</t>
  </si>
  <si>
    <t xml:space="preserve">   Tunde Balogun   </t>
  </si>
  <si>
    <t>TXN-00530</t>
  </si>
  <si>
    <t>12.12.2025</t>
  </si>
  <si>
    <t>TXN-00617</t>
  </si>
  <si>
    <t>25-Sep-2025</t>
  </si>
  <si>
    <t>TXN-01380</t>
  </si>
  <si>
    <t>29/06/2025</t>
  </si>
  <si>
    <t>TXN-01124</t>
  </si>
  <si>
    <t>05-Feb-2025</t>
  </si>
  <si>
    <t>TXN-00481</t>
  </si>
  <si>
    <t>TXN-00573</t>
  </si>
  <si>
    <t>12.07.2025</t>
  </si>
  <si>
    <t>TXN-00459</t>
  </si>
  <si>
    <t>16.07.2025</t>
  </si>
  <si>
    <t>TXN-00681</t>
  </si>
  <si>
    <t>15.03.2025</t>
  </si>
  <si>
    <t>TXN-01232</t>
  </si>
  <si>
    <t>23-Jan-2025</t>
  </si>
  <si>
    <t>TXN-00712</t>
  </si>
  <si>
    <t>30 May 2025</t>
  </si>
  <si>
    <t>TXN-00289</t>
  </si>
  <si>
    <t>29-Dec-2025</t>
  </si>
  <si>
    <t>TXN-00977</t>
  </si>
  <si>
    <t>24 April 2025</t>
  </si>
  <si>
    <t>TXN-00218</t>
  </si>
  <si>
    <t>10/03/2025</t>
  </si>
  <si>
    <t>TXN-01426</t>
  </si>
  <si>
    <t>12/19/2025</t>
  </si>
  <si>
    <t>TXN-01425</t>
  </si>
  <si>
    <t>09.04.2025</t>
  </si>
  <si>
    <t>TXN-01046</t>
  </si>
  <si>
    <t>14-Jun-2025</t>
  </si>
  <si>
    <t>TXN-00754</t>
  </si>
  <si>
    <t>18 November 2025</t>
  </si>
  <si>
    <t>TXN-00549</t>
  </si>
  <si>
    <t>TXN-01306</t>
  </si>
  <si>
    <t>TXN-00205</t>
  </si>
  <si>
    <t>2025-09-18</t>
  </si>
  <si>
    <t>TXN-00962</t>
  </si>
  <si>
    <t>07-Apr-2025</t>
  </si>
  <si>
    <t>TXN-00991</t>
  </si>
  <si>
    <t>06/15/2025</t>
  </si>
  <si>
    <t>TXN-01382</t>
  </si>
  <si>
    <t>20/10/2025</t>
  </si>
  <si>
    <t>TXN-01387</t>
  </si>
  <si>
    <t>TXN-00092</t>
  </si>
  <si>
    <t>12 September 2025</t>
  </si>
  <si>
    <t>TXN-00267</t>
  </si>
  <si>
    <t>12/01/2025</t>
  </si>
  <si>
    <t xml:space="preserve">   amaka onwuka   </t>
  </si>
  <si>
    <t>TXN-01336</t>
  </si>
  <si>
    <t>TXN-01266</t>
  </si>
  <si>
    <t>12/14/2025</t>
  </si>
  <si>
    <t>TXN-00793</t>
  </si>
  <si>
    <t>05/04/2025</t>
  </si>
  <si>
    <t>TXN-00818</t>
  </si>
  <si>
    <t>2025-02-09</t>
  </si>
  <si>
    <t>TXN-00348</t>
  </si>
  <si>
    <t>19 May 2025</t>
  </si>
  <si>
    <t>TXN-00862</t>
  </si>
  <si>
    <t>04/21/2025</t>
  </si>
  <si>
    <t>TXN-01085</t>
  </si>
  <si>
    <t>TXN-00308</t>
  </si>
  <si>
    <t>31-May-2025</t>
  </si>
  <si>
    <t>TXN-00371</t>
  </si>
  <si>
    <t>17/12/2025</t>
  </si>
  <si>
    <t>TXN-00296</t>
  </si>
  <si>
    <t>04/16/2025</t>
  </si>
  <si>
    <t>TXN-01161</t>
  </si>
  <si>
    <t>2025-10-26</t>
  </si>
  <si>
    <t>TXN-00654</t>
  </si>
  <si>
    <t>TXN-00210</t>
  </si>
  <si>
    <t>21 November 2025</t>
  </si>
  <si>
    <t>TXN-00635</t>
  </si>
  <si>
    <t>15.04.2025</t>
  </si>
  <si>
    <t>TXN-00071</t>
  </si>
  <si>
    <t>08-Jul-2025</t>
  </si>
  <si>
    <t>TXN-00331</t>
  </si>
  <si>
    <t>08/06/2025</t>
  </si>
  <si>
    <t>TXN-00912</t>
  </si>
  <si>
    <t>TXN-00543</t>
  </si>
  <si>
    <t>TXN-00823</t>
  </si>
  <si>
    <t>24/02/2025</t>
  </si>
  <si>
    <t>TXN-01055</t>
  </si>
  <si>
    <t>30.04.2025</t>
  </si>
  <si>
    <t>TXN-01079</t>
  </si>
  <si>
    <t>14/08/2025</t>
  </si>
  <si>
    <t>TXN-00049</t>
  </si>
  <si>
    <t>24-Jan-2025</t>
  </si>
  <si>
    <t>TXN-00411</t>
  </si>
  <si>
    <t>10-Jan-2025</t>
  </si>
  <si>
    <t>TXN-00311</t>
  </si>
  <si>
    <t>01-Sep-2025</t>
  </si>
  <si>
    <t>TXN-01061</t>
  </si>
  <si>
    <t>22 October 2025</t>
  </si>
  <si>
    <t>TXN-00394</t>
  </si>
  <si>
    <t>18 August 2025</t>
  </si>
  <si>
    <t>TXN-00250</t>
  </si>
  <si>
    <t>26-Jun-2025</t>
  </si>
  <si>
    <t>TXN-00503</t>
  </si>
  <si>
    <t>TXN-00542</t>
  </si>
  <si>
    <t>21/07/2025</t>
  </si>
  <si>
    <t>TXN-00986</t>
  </si>
  <si>
    <t>12/18/2025</t>
  </si>
  <si>
    <t>TXN-00220</t>
  </si>
  <si>
    <t>12 November 2025</t>
  </si>
  <si>
    <t>TXN-01116</t>
  </si>
  <si>
    <t>11/07/2025</t>
  </si>
  <si>
    <t>TXN-00682</t>
  </si>
  <si>
    <t>09.06.2025</t>
  </si>
  <si>
    <t>TXN-00761</t>
  </si>
  <si>
    <t>14 October 2025</t>
  </si>
  <si>
    <t>TXN-01264</t>
  </si>
  <si>
    <t>TXN-00497</t>
  </si>
  <si>
    <t>06-Jul-2025</t>
  </si>
  <si>
    <t xml:space="preserve">   CHIDERA BELLO   </t>
  </si>
  <si>
    <t>TXN-00065</t>
  </si>
  <si>
    <t>10/18/2025</t>
  </si>
  <si>
    <t>TXN-00716</t>
  </si>
  <si>
    <t>13-Jul-2025</t>
  </si>
  <si>
    <t>TXN-01129</t>
  </si>
  <si>
    <t>TXN-00603</t>
  </si>
  <si>
    <t>TXN-01250</t>
  </si>
  <si>
    <t>TXN-00380</t>
  </si>
  <si>
    <t>09-Aug-2025</t>
  </si>
  <si>
    <t>TXN-00263</t>
  </si>
  <si>
    <t>26 December 2025</t>
  </si>
  <si>
    <t xml:space="preserve">  ibadan   </t>
  </si>
  <si>
    <t>TXN-00989</t>
  </si>
  <si>
    <t>03-Oct-2025</t>
  </si>
  <si>
    <t>TXN-01461</t>
  </si>
  <si>
    <t>06-Jun-2025</t>
  </si>
  <si>
    <t>TXN-00734</t>
  </si>
  <si>
    <t>08-Dec-2025</t>
  </si>
  <si>
    <t>TXN-01408</t>
  </si>
  <si>
    <t>11/02/2025</t>
  </si>
  <si>
    <t>TXN-00291</t>
  </si>
  <si>
    <t>2025-11-27</t>
  </si>
  <si>
    <t>TXN-01153</t>
  </si>
  <si>
    <t>17.03.2025</t>
  </si>
  <si>
    <t>TXN-01352</t>
  </si>
  <si>
    <t>2025-10-16</t>
  </si>
  <si>
    <t>TXN-00850</t>
  </si>
  <si>
    <t>01.05.2025</t>
  </si>
  <si>
    <t>TXN-00028</t>
  </si>
  <si>
    <t>14.05.2025</t>
  </si>
  <si>
    <t>TXN-00708</t>
  </si>
  <si>
    <t>TXN-00154</t>
  </si>
  <si>
    <t>TXN-00173</t>
  </si>
  <si>
    <t>06/23/2025</t>
  </si>
  <si>
    <t>TXN-00158</t>
  </si>
  <si>
    <t>TXN-00106</t>
  </si>
  <si>
    <t>03/31/2025</t>
  </si>
  <si>
    <t>TXN-01166</t>
  </si>
  <si>
    <t>14/11/2025</t>
  </si>
  <si>
    <t>TXN-00449</t>
  </si>
  <si>
    <t>TXN-01347</t>
  </si>
  <si>
    <t>TXN-00814</t>
  </si>
  <si>
    <t>TXN-01094</t>
  </si>
  <si>
    <t>2025-04-10</t>
  </si>
  <si>
    <t>TXN-01384</t>
  </si>
  <si>
    <t>25-Nov-2025</t>
  </si>
  <si>
    <t>TXN-00490</t>
  </si>
  <si>
    <t>TXN-01374</t>
  </si>
  <si>
    <t>02-Jan-2025</t>
  </si>
  <si>
    <t>TXN-00096</t>
  </si>
  <si>
    <t>07/05/2025</t>
  </si>
  <si>
    <t xml:space="preserve">  Amaka Onwuka   </t>
  </si>
  <si>
    <t>TXN-01351</t>
  </si>
  <si>
    <t>24 November 2025</t>
  </si>
  <si>
    <t>TXN-00111</t>
  </si>
  <si>
    <t>27.05.2025</t>
  </si>
  <si>
    <t>TXN-01332</t>
  </si>
  <si>
    <t>TXN-01378</t>
  </si>
  <si>
    <t>06/12/2025</t>
  </si>
  <si>
    <t>TXN-01485</t>
  </si>
  <si>
    <t>20.05.2025</t>
  </si>
  <si>
    <t>TXN-00556</t>
  </si>
  <si>
    <t>02/01/2025</t>
  </si>
  <si>
    <t>TXN-00281</t>
  </si>
  <si>
    <t>08-Apr-2025</t>
  </si>
  <si>
    <t>TXN-00370</t>
  </si>
  <si>
    <t>01 September 2025</t>
  </si>
  <si>
    <t>TXN-00272</t>
  </si>
  <si>
    <t>26 October 2025</t>
  </si>
  <si>
    <t>TXN-00639</t>
  </si>
  <si>
    <t>06.01.2025</t>
  </si>
  <si>
    <t>TXN-01090</t>
  </si>
  <si>
    <t>18 June 2025</t>
  </si>
  <si>
    <t>TXN-01186</t>
  </si>
  <si>
    <t>2025-06-21</t>
  </si>
  <si>
    <t>TXN-00076</t>
  </si>
  <si>
    <t>2025-08-18</t>
  </si>
  <si>
    <t>TXN-00258</t>
  </si>
  <si>
    <t>04/08/2025</t>
  </si>
  <si>
    <t>TXN-01457</t>
  </si>
  <si>
    <t>TXN-00117</t>
  </si>
  <si>
    <t>2025-02-07</t>
  </si>
  <si>
    <t>TXN-01141</t>
  </si>
  <si>
    <t>10/13/2025</t>
  </si>
  <si>
    <t>TXN-00921</t>
  </si>
  <si>
    <t>TXN-01080</t>
  </si>
  <si>
    <t>2025-02-11</t>
  </si>
  <si>
    <t>TXN-00615</t>
  </si>
  <si>
    <t>07.10.2025</t>
  </si>
  <si>
    <t>TXN-01315</t>
  </si>
  <si>
    <t>TXN-01438</t>
  </si>
  <si>
    <t>09 November 2025</t>
  </si>
  <si>
    <t>TXN-00353</t>
  </si>
  <si>
    <t>TXN-00943</t>
  </si>
  <si>
    <t>03/05/2025</t>
  </si>
  <si>
    <t>TXN-00588</t>
  </si>
  <si>
    <t>08-Jan-2025</t>
  </si>
  <si>
    <t>TXN-01344</t>
  </si>
  <si>
    <t>28.09.2025</t>
  </si>
  <si>
    <t>TXN-00954</t>
  </si>
  <si>
    <t>TXN-00035</t>
  </si>
  <si>
    <t>TXN-00646</t>
  </si>
  <si>
    <t>29.10.2025</t>
  </si>
  <si>
    <t>TXN-00435</t>
  </si>
  <si>
    <t>06.06.2025</t>
  </si>
  <si>
    <t>TXN-01130</t>
  </si>
  <si>
    <t>2025-08-03</t>
  </si>
  <si>
    <t>TXN-00077</t>
  </si>
  <si>
    <t>25.11.2025</t>
  </si>
  <si>
    <t>TXN-01478</t>
  </si>
  <si>
    <t>26-Sep-2025</t>
  </si>
  <si>
    <t>TXN-00494</t>
  </si>
  <si>
    <t>06/26/2025</t>
  </si>
  <si>
    <t>TXN-00275</t>
  </si>
  <si>
    <t>2025-04-26</t>
  </si>
  <si>
    <t>TXN-00252</t>
  </si>
  <si>
    <t>TXN-01102</t>
  </si>
  <si>
    <t>19-May-2025</t>
  </si>
  <si>
    <t>TXN-01324</t>
  </si>
  <si>
    <t>TXN-00831</t>
  </si>
  <si>
    <t>2025-12-06</t>
  </si>
  <si>
    <t>TXN-00269</t>
  </si>
  <si>
    <t>22 July 2025</t>
  </si>
  <si>
    <t>TXN-00160</t>
  </si>
  <si>
    <t>30-May-2025</t>
  </si>
  <si>
    <t>TXN-01220</t>
  </si>
  <si>
    <t>18/09/2025</t>
  </si>
  <si>
    <t>TXN-01083</t>
  </si>
  <si>
    <t>06/07/2025</t>
  </si>
  <si>
    <t>TXN-01212</t>
  </si>
  <si>
    <t>TXN-01253</t>
  </si>
  <si>
    <t>TXN-00773</t>
  </si>
  <si>
    <t>2025-12-07</t>
  </si>
  <si>
    <t>TXN-00884</t>
  </si>
  <si>
    <t>07/27/2025</t>
  </si>
  <si>
    <t>TXN-00781</t>
  </si>
  <si>
    <t>06.05.2025</t>
  </si>
  <si>
    <t>TXN-00909</t>
  </si>
  <si>
    <t>09/23/2025</t>
  </si>
  <si>
    <t>TXN-00783</t>
  </si>
  <si>
    <t>28/01/2025</t>
  </si>
  <si>
    <t>TXN-00323</t>
  </si>
  <si>
    <t>03-Mar-2025</t>
  </si>
  <si>
    <t>TXN-01341</t>
  </si>
  <si>
    <t>13.05.2025</t>
  </si>
  <si>
    <t xml:space="preserve">  Segun Chukwu   </t>
  </si>
  <si>
    <t>TXN-00142</t>
  </si>
  <si>
    <t>2025-03-02</t>
  </si>
  <si>
    <t>TXN-01258</t>
  </si>
  <si>
    <t>01/25/2025</t>
  </si>
  <si>
    <t>TXN-01131</t>
  </si>
  <si>
    <t>12.02.2025</t>
  </si>
  <si>
    <t>TXN-00192</t>
  </si>
  <si>
    <t>27/03/2025</t>
  </si>
  <si>
    <t>TXN-00690</t>
  </si>
  <si>
    <t>08-May-2025</t>
  </si>
  <si>
    <t>TXN-01215</t>
  </si>
  <si>
    <t>06 May 2025</t>
  </si>
  <si>
    <t>TXN-00568</t>
  </si>
  <si>
    <t>2025-03-11</t>
  </si>
  <si>
    <t>TXN-00776</t>
  </si>
  <si>
    <t>28/07/2025</t>
  </si>
  <si>
    <t>TXN-00923</t>
  </si>
  <si>
    <t>TXN-01208</t>
  </si>
  <si>
    <t>05/26/2025</t>
  </si>
  <si>
    <t>TXN-00687</t>
  </si>
  <si>
    <t>2025-09-16</t>
  </si>
  <si>
    <t>TXN-00419</t>
  </si>
  <si>
    <t>05.03.2025</t>
  </si>
  <si>
    <t>TXN-00194</t>
  </si>
  <si>
    <t>14/07/2025</t>
  </si>
  <si>
    <t>TXN-00242</t>
  </si>
  <si>
    <t>2025-07-07</t>
  </si>
  <si>
    <t>TXN-01103</t>
  </si>
  <si>
    <t>16-Jul-2025</t>
  </si>
  <si>
    <t>TXN-01043</t>
  </si>
  <si>
    <t>04 February 2025</t>
  </si>
  <si>
    <t>TXN-00330</t>
  </si>
  <si>
    <t>TXN-01406</t>
  </si>
  <si>
    <t>TXN-01402</t>
  </si>
  <si>
    <t>21-May-2025</t>
  </si>
  <si>
    <t>TXN-00196</t>
  </si>
  <si>
    <t>18/03/2025</t>
  </si>
  <si>
    <t>TXN-01236</t>
  </si>
  <si>
    <t>2025-03-08</t>
  </si>
  <si>
    <t>TXN-01466</t>
  </si>
  <si>
    <t>19 June 2025</t>
  </si>
  <si>
    <t>TXN-01143</t>
  </si>
  <si>
    <t>05/27/2025</t>
  </si>
  <si>
    <t>TXN-00628</t>
  </si>
  <si>
    <t>TXN-00548</t>
  </si>
  <si>
    <t>TXN-01027</t>
  </si>
  <si>
    <t>TXN-00504</t>
  </si>
  <si>
    <t>2025-07-02</t>
  </si>
  <si>
    <t>TXN-01028</t>
  </si>
  <si>
    <t>28/10/2025</t>
  </si>
  <si>
    <t>TXN-01293</t>
  </si>
  <si>
    <t>2025-05-29</t>
  </si>
  <si>
    <t>TXN-00324</t>
  </si>
  <si>
    <t>2025-01-04</t>
  </si>
  <si>
    <t>TXN-00941</t>
  </si>
  <si>
    <t>10/07/2025</t>
  </si>
  <si>
    <t>TXN-01357</t>
  </si>
  <si>
    <t>29-Oct-2025</t>
  </si>
  <si>
    <t>TXN-00398</t>
  </si>
  <si>
    <t>16-Apr-2025</t>
  </si>
  <si>
    <t>TXN-00477</t>
  </si>
  <si>
    <t>08-Sep-2025</t>
  </si>
  <si>
    <t>TXN-00757</t>
  </si>
  <si>
    <t>02/09/2025</t>
  </si>
  <si>
    <t>TXN-00101</t>
  </si>
  <si>
    <t>28 May 2025</t>
  </si>
  <si>
    <t>TXN-00840</t>
  </si>
  <si>
    <t>TXN-00216</t>
  </si>
  <si>
    <t>01/10/2025</t>
  </si>
  <si>
    <t>TXN-00501</t>
  </si>
  <si>
    <t>TXN-00801</t>
  </si>
  <si>
    <t>2025-08-28</t>
  </si>
  <si>
    <t>TXN-00927</t>
  </si>
  <si>
    <t>TXN-00478</t>
  </si>
  <si>
    <t>01/12/2025</t>
  </si>
  <si>
    <t>TXN-01036</t>
  </si>
  <si>
    <t>06/05/2025</t>
  </si>
  <si>
    <t>TXN-01435</t>
  </si>
  <si>
    <t>10/31/2025</t>
  </si>
  <si>
    <t xml:space="preserve">  abuja   </t>
  </si>
  <si>
    <t>TXN-01292</t>
  </si>
  <si>
    <t>07.01.2025</t>
  </si>
  <si>
    <t>TXN-01289</t>
  </si>
  <si>
    <t>10 March 2025</t>
  </si>
  <si>
    <t>TXN-00074</t>
  </si>
  <si>
    <t>TXN-00896</t>
  </si>
  <si>
    <t xml:space="preserve">  kano   </t>
  </si>
  <si>
    <t>TXN-00427</t>
  </si>
  <si>
    <t>2025-04-06</t>
  </si>
  <si>
    <t xml:space="preserve">   BENIN CITY   </t>
  </si>
  <si>
    <t>TXN-00662</t>
  </si>
  <si>
    <t>2025-09-01</t>
  </si>
  <si>
    <t>TXN-00707</t>
  </si>
  <si>
    <t>09-Jun-2025</t>
  </si>
  <si>
    <t>TXN-00825</t>
  </si>
  <si>
    <t>12/31/2025</t>
  </si>
  <si>
    <t>TXN-00774</t>
  </si>
  <si>
    <t>06-Jan-2025</t>
  </si>
  <si>
    <t>TXN-01276</t>
  </si>
  <si>
    <t>2025-01-13</t>
  </si>
  <si>
    <t>TXN-01086</t>
  </si>
  <si>
    <t>TXN-00905</t>
  </si>
  <si>
    <t>24-Nov-2025</t>
  </si>
  <si>
    <t>TXN-01176</t>
  </si>
  <si>
    <t>09/27/2025</t>
  </si>
  <si>
    <t>TXN-00970</t>
  </si>
  <si>
    <t>28 January 2025</t>
  </si>
  <si>
    <t>TXN-00832</t>
  </si>
  <si>
    <t>08/23/2025</t>
  </si>
  <si>
    <t>TXN-00056</t>
  </si>
  <si>
    <t>TXN-00674</t>
  </si>
  <si>
    <t>2025-01-05</t>
  </si>
  <si>
    <t>TXN-00653</t>
  </si>
  <si>
    <t>TXN-01251</t>
  </si>
  <si>
    <t>TXN-00911</t>
  </si>
  <si>
    <t>02-Sep-2025</t>
  </si>
  <si>
    <t>TXN-01487</t>
  </si>
  <si>
    <t>27/08/2025</t>
  </si>
  <si>
    <t>TXN-01032</t>
  </si>
  <si>
    <t>10-Feb-2025</t>
  </si>
  <si>
    <t>TXN-00215</t>
  </si>
  <si>
    <t>13.01.2025</t>
  </si>
  <si>
    <t>TXN-01230</t>
  </si>
  <si>
    <t>TXN-00594</t>
  </si>
  <si>
    <t>03 October 2025</t>
  </si>
  <si>
    <t>TXN-00350</t>
  </si>
  <si>
    <t>TXN-01334</t>
  </si>
  <si>
    <t>19-Apr-2025</t>
  </si>
  <si>
    <t xml:space="preserve">   FUNMI EZE   </t>
  </si>
  <si>
    <t>TXN-00266</t>
  </si>
  <si>
    <t>09 February 2025</t>
  </si>
  <si>
    <t>TXN-01333</t>
  </si>
  <si>
    <t>2025-01-17</t>
  </si>
  <si>
    <t>TXN-01017</t>
  </si>
  <si>
    <t>TXN-00799</t>
  </si>
  <si>
    <t>12/08/2025</t>
  </si>
  <si>
    <t>TXN-00582</t>
  </si>
  <si>
    <t>TXN-00364</t>
  </si>
  <si>
    <t>2025-08-07</t>
  </si>
  <si>
    <t>TXN-00689</t>
  </si>
  <si>
    <t>01/01/2025</t>
  </si>
  <si>
    <t>TXN-01239</t>
  </si>
  <si>
    <t>TXN-01237</t>
  </si>
  <si>
    <t>13 June 2025</t>
  </si>
  <si>
    <t>TXN-00701</t>
  </si>
  <si>
    <t>07-Jan-2025</t>
  </si>
  <si>
    <t>TXN-00705</t>
  </si>
  <si>
    <t>2025-06-19</t>
  </si>
  <si>
    <t>TXN-01115</t>
  </si>
  <si>
    <t>10/27/2025</t>
  </si>
  <si>
    <t xml:space="preserve">  Funmi Eze   </t>
  </si>
  <si>
    <t>TXN-00656</t>
  </si>
  <si>
    <t>19 August 2025</t>
  </si>
  <si>
    <t>TXN-01369</t>
  </si>
  <si>
    <t>05/16/2025</t>
  </si>
  <si>
    <t>TXN-01450</t>
  </si>
  <si>
    <t>18-Aug-2025</t>
  </si>
  <si>
    <t>TXN-00988</t>
  </si>
  <si>
    <t>23.08.2025</t>
  </si>
  <si>
    <t>TXN-01110</t>
  </si>
  <si>
    <t>TXN-00413</t>
  </si>
  <si>
    <t>19/07/2025</t>
  </si>
  <si>
    <t>TXN-00463</t>
  </si>
  <si>
    <t>2025-08-09</t>
  </si>
  <si>
    <t>TXN-00045</t>
  </si>
  <si>
    <t>TXN-01391</t>
  </si>
  <si>
    <t>10 February 2025</t>
  </si>
  <si>
    <t>TXN-00699</t>
  </si>
  <si>
    <t>10/14/2025</t>
  </si>
  <si>
    <t>TXN-00318</t>
  </si>
  <si>
    <t>TXN-01321</t>
  </si>
  <si>
    <t>08/12/2025</t>
  </si>
  <si>
    <t>TXN-00797</t>
  </si>
  <si>
    <t>17 July 2025</t>
  </si>
  <si>
    <t>TXN-01254</t>
  </si>
  <si>
    <t>TXN-01359</t>
  </si>
  <si>
    <t>2025-04-15</t>
  </si>
  <si>
    <t>TXN-00321</t>
  </si>
  <si>
    <t>14.03.2025</t>
  </si>
  <si>
    <t>TXN-01322</t>
  </si>
  <si>
    <t>09/08/2025</t>
  </si>
  <si>
    <t>TXN-00305</t>
  </si>
  <si>
    <t>11/03/2025</t>
  </si>
  <si>
    <t>TXN-00975</t>
  </si>
  <si>
    <t>15/12/2025</t>
  </si>
  <si>
    <t>TXN-00627</t>
  </si>
  <si>
    <t>2025-02-03</t>
  </si>
  <si>
    <t>TXN-00597</t>
  </si>
  <si>
    <t>11 October 2025</t>
  </si>
  <si>
    <t>TXN-00971</t>
  </si>
  <si>
    <t>06-Mar-2025</t>
  </si>
  <si>
    <t>TXN-01051</t>
  </si>
  <si>
    <t>2025-04-09</t>
  </si>
  <si>
    <t>TXN-00886</t>
  </si>
  <si>
    <t>TXN-01062</t>
  </si>
  <si>
    <t>04-Oct-2025</t>
  </si>
  <si>
    <t>TXN-01442</t>
  </si>
  <si>
    <t>29.12.2025</t>
  </si>
  <si>
    <t>TXN-00482</t>
  </si>
  <si>
    <t>30-Oct-2025</t>
  </si>
  <si>
    <t>TXN-01013</t>
  </si>
  <si>
    <t>10.04.2025</t>
  </si>
  <si>
    <t>TXN-00661</t>
  </si>
  <si>
    <t>10-Oct-2025</t>
  </si>
  <si>
    <t>TXN-00009</t>
  </si>
  <si>
    <t>TXN-00583</t>
  </si>
  <si>
    <t>TXN-00053</t>
  </si>
  <si>
    <t>TXN-01308</t>
  </si>
  <si>
    <t>TXN-00952</t>
  </si>
  <si>
    <t>TXN-00406</t>
  </si>
  <si>
    <t>14 August 2025</t>
  </si>
  <si>
    <t>TXN-00866</t>
  </si>
  <si>
    <t>2025-06-02</t>
  </si>
  <si>
    <t>TXN-00590</t>
  </si>
  <si>
    <t>2025-09-11</t>
  </si>
  <si>
    <t>TXN-01060</t>
  </si>
  <si>
    <t>06 June 2025</t>
  </si>
  <si>
    <t>TXN-01010</t>
  </si>
  <si>
    <t>2025-06-08</t>
  </si>
  <si>
    <t>TXN-01145</t>
  </si>
  <si>
    <t>23 December 2025</t>
  </si>
  <si>
    <t>TXN-00668</t>
  </si>
  <si>
    <t>TXN-01034</t>
  </si>
  <si>
    <t>2025-03-16</t>
  </si>
  <si>
    <t>TXN-00407</t>
  </si>
  <si>
    <t>14-Oct-2025</t>
  </si>
  <si>
    <t>TXN-01073</t>
  </si>
  <si>
    <t>2025-10-06</t>
  </si>
  <si>
    <t>TXN-00630</t>
  </si>
  <si>
    <t>28 June 2025</t>
  </si>
  <si>
    <t>TXN-00575</t>
  </si>
  <si>
    <t>31-Mar-2025</t>
  </si>
  <si>
    <t>TXN-00659</t>
  </si>
  <si>
    <t>TXN-00375</t>
  </si>
  <si>
    <t>15.02.2025</t>
  </si>
  <si>
    <t>TXN-00526</t>
  </si>
  <si>
    <t>13.04.2025</t>
  </si>
  <si>
    <t>TXN-00150</t>
  </si>
  <si>
    <t>TXN-00843</t>
  </si>
  <si>
    <t>18.08.2025</t>
  </si>
  <si>
    <t>TXN-01101</t>
  </si>
  <si>
    <t>31-Oct-2025</t>
  </si>
  <si>
    <t>TXN-00532</t>
  </si>
  <si>
    <t>05.10.2025</t>
  </si>
  <si>
    <t>TXN-00554</t>
  </si>
  <si>
    <t>26 January 2025</t>
  </si>
  <si>
    <t>TXN-00498</t>
  </si>
  <si>
    <t>21-Jun-2025</t>
  </si>
  <si>
    <t>TXN-00694</t>
  </si>
  <si>
    <t>23 February 2025</t>
  </si>
  <si>
    <t xml:space="preserve">  NGOZI IBRAHIM   </t>
  </si>
  <si>
    <t>TXN-00534</t>
  </si>
  <si>
    <t>04-Jan-2025</t>
  </si>
  <si>
    <t>TXN-00217</t>
  </si>
  <si>
    <t>2025-08-31</t>
  </si>
  <si>
    <t>TXN-01325</t>
  </si>
  <si>
    <t>13-Jun-2025</t>
  </si>
  <si>
    <t>TXN-00946</t>
  </si>
  <si>
    <t>12-Aug-2025</t>
  </si>
  <si>
    <t>TXN-00404</t>
  </si>
  <si>
    <t>TXN-01219</t>
  </si>
  <si>
    <t>TXN-00856</t>
  </si>
  <si>
    <t>22-May-2025</t>
  </si>
  <si>
    <t>TXN-01288</t>
  </si>
  <si>
    <t>04-Jul-2025</t>
  </si>
  <si>
    <t>TXN-00108</t>
  </si>
  <si>
    <t>2025-09-02</t>
  </si>
  <si>
    <t>TXN-01305</t>
  </si>
  <si>
    <t>03/11/2025</t>
  </si>
  <si>
    <t>TXN-01188</t>
  </si>
  <si>
    <t>01/17/2025</t>
  </si>
  <si>
    <t>TXN-00772</t>
  </si>
  <si>
    <t>11/22/2025</t>
  </si>
  <si>
    <t>TXN-00491</t>
  </si>
  <si>
    <t>25-Jul-2025</t>
  </si>
  <si>
    <t>TXN-01275</t>
  </si>
  <si>
    <t>01/20/2025</t>
  </si>
  <si>
    <t>TXN-00619</t>
  </si>
  <si>
    <t>2025-11-01</t>
  </si>
  <si>
    <t>TXN-00586</t>
  </si>
  <si>
    <t>16/08/2025</t>
  </si>
  <si>
    <t>TXN-00990</t>
  </si>
  <si>
    <t>11/23/2025</t>
  </si>
  <si>
    <t>TXN-00253</t>
  </si>
  <si>
    <t>08.01.2025</t>
  </si>
  <si>
    <t>TXN-00794</t>
  </si>
  <si>
    <t>13.12.2025</t>
  </si>
  <si>
    <t>TXN-00759</t>
  </si>
  <si>
    <t>08/22/2025</t>
  </si>
  <si>
    <t>TXN-00109</t>
  </si>
  <si>
    <t>TXN-00400</t>
  </si>
  <si>
    <t>16.01.2025</t>
  </si>
  <si>
    <t>TXN-00288</t>
  </si>
  <si>
    <t>05 September 2025</t>
  </si>
  <si>
    <t>TXN-00908</t>
  </si>
  <si>
    <t>TXN-01270</t>
  </si>
  <si>
    <t>TXN-00785</t>
  </si>
  <si>
    <t>TXN-00233</t>
  </si>
  <si>
    <t>10/09/2025</t>
  </si>
  <si>
    <t>TXN-01412</t>
  </si>
  <si>
    <t>30 September 2025</t>
  </si>
  <si>
    <t>TXN-00633</t>
  </si>
  <si>
    <t>TXN-01307</t>
  </si>
  <si>
    <t>28.02.2025</t>
  </si>
  <si>
    <t>TXN-01424</t>
  </si>
  <si>
    <t>15 October 2025</t>
  </si>
  <si>
    <t>TXN-00592</t>
  </si>
  <si>
    <t>2025-05-25</t>
  </si>
  <si>
    <t>TXN-00651</t>
  </si>
  <si>
    <t>TXN-00877</t>
  </si>
  <si>
    <t>2025-02-04</t>
  </si>
  <si>
    <t>TXN-00688</t>
  </si>
  <si>
    <t>2025-07-11</t>
  </si>
  <si>
    <t>TXN-00134</t>
  </si>
  <si>
    <t>17-Aug-2025</t>
  </si>
  <si>
    <t>TXN-00073</t>
  </si>
  <si>
    <t>TXN-00621</t>
  </si>
  <si>
    <t>TXN-00698</t>
  </si>
  <si>
    <t>TXN-01160</t>
  </si>
  <si>
    <t>TXN-00470</t>
  </si>
  <si>
    <t>TXN-01317</t>
  </si>
  <si>
    <t>2025-08-22</t>
  </si>
  <si>
    <t>TXN-01207</t>
  </si>
  <si>
    <t>TXN-01459</t>
  </si>
  <si>
    <t>01/06/2025</t>
  </si>
  <si>
    <t>TXN-01494</t>
  </si>
  <si>
    <t>12.04.2025</t>
  </si>
  <si>
    <t>TXN-01356</t>
  </si>
  <si>
    <t>TXN-01431</t>
  </si>
  <si>
    <t>02/17/2025</t>
  </si>
  <si>
    <t>TXN-00610</t>
  </si>
  <si>
    <t>TXN-01468</t>
  </si>
  <si>
    <t>TXN-00727</t>
  </si>
  <si>
    <t>07-Sep-2025</t>
  </si>
  <si>
    <t xml:space="preserve">   Obinna Yusuf   </t>
  </si>
  <si>
    <t>TXN-01299</t>
  </si>
  <si>
    <t>2025-07-09</t>
  </si>
  <si>
    <t>TXN-00207</t>
  </si>
  <si>
    <t>TXN-00211</t>
  </si>
  <si>
    <t>03/24/2025</t>
  </si>
  <si>
    <t>TXN-00120</t>
  </si>
  <si>
    <t>28 March 2025</t>
  </si>
  <si>
    <t>TXN-01283</t>
  </si>
  <si>
    <t>TXN-00172</t>
  </si>
  <si>
    <t>10.09.2025</t>
  </si>
  <si>
    <t>TXN-00676</t>
  </si>
  <si>
    <t>TXN-00357</t>
  </si>
  <si>
    <t>TXN-00112</t>
  </si>
  <si>
    <t>2025-09-28</t>
  </si>
  <si>
    <t>TXN-00775</t>
  </si>
  <si>
    <t>07/18/2025</t>
  </si>
  <si>
    <t xml:space="preserve">  Ngozi Ibrahim   </t>
  </si>
  <si>
    <t>TXN-01155</t>
  </si>
  <si>
    <t>30 October 2025</t>
  </si>
  <si>
    <t>TXN-01014</t>
  </si>
  <si>
    <t>TXN-00585</t>
  </si>
  <si>
    <t>01 May 2025</t>
  </si>
  <si>
    <t>TXN-00544</t>
  </si>
  <si>
    <t>2025-07-03</t>
  </si>
  <si>
    <t>TXN-01197</t>
  </si>
  <si>
    <t>12/23/2025</t>
  </si>
  <si>
    <t>TXN-00584</t>
  </si>
  <si>
    <t>27-Sep-2025</t>
  </si>
  <si>
    <t>TXN-01050</t>
  </si>
  <si>
    <t>TXN-00001</t>
  </si>
  <si>
    <t>TXN-01020</t>
  </si>
  <si>
    <t>TXN-00913</t>
  </si>
  <si>
    <t>TXN-01303</t>
  </si>
  <si>
    <t>17.04.2025</t>
  </si>
  <si>
    <t>TXN-00700</t>
  </si>
  <si>
    <t>05/31/2025</t>
  </si>
  <si>
    <t>TXN-00786</t>
  </si>
  <si>
    <t>10/24/2025</t>
  </si>
  <si>
    <t>TXN-00907</t>
  </si>
  <si>
    <t>2025-01-02</t>
  </si>
  <si>
    <t>TXN-01443</t>
  </si>
  <si>
    <t>09/18/2025</t>
  </si>
  <si>
    <t>TXN-01304</t>
  </si>
  <si>
    <t>TXN-00994</t>
  </si>
  <si>
    <t>06/20/2025</t>
  </si>
  <si>
    <t>TXN-00422</t>
  </si>
  <si>
    <t>15.06.2025</t>
  </si>
  <si>
    <t>TXN-00479</t>
  </si>
  <si>
    <t>27 July 2025</t>
  </si>
  <si>
    <t>TXN-00957</t>
  </si>
  <si>
    <t>TXN-00777</t>
  </si>
  <si>
    <t>TXN-00313</t>
  </si>
  <si>
    <t>08/10/2025</t>
  </si>
  <si>
    <t>TXN-00958</t>
  </si>
  <si>
    <t>TXN-00976</t>
  </si>
  <si>
    <t>23.05.2025</t>
  </si>
  <si>
    <t>TXN-00227</t>
  </si>
  <si>
    <t>2025-01-12</t>
  </si>
  <si>
    <t>TXN-01370</t>
  </si>
  <si>
    <t>09-Jan-2025</t>
  </si>
  <si>
    <t>TXN-00878</t>
  </si>
  <si>
    <t>02/10/2025</t>
  </si>
  <si>
    <t>TXN-01417</t>
  </si>
  <si>
    <t>20 November 2025</t>
  </si>
  <si>
    <t>TXN-00460</t>
  </si>
  <si>
    <t>23/12/2025</t>
  </si>
  <si>
    <t>TXN-01225</t>
  </si>
  <si>
    <t>TXN-00193</t>
  </si>
  <si>
    <t>19 April 2025</t>
  </si>
  <si>
    <t>TXN-00697</t>
  </si>
  <si>
    <t>TXN-00914</t>
  </si>
  <si>
    <t>2025-12-05</t>
  </si>
  <si>
    <t>TXN-00091</t>
  </si>
  <si>
    <t>TXN-01074</t>
  </si>
  <si>
    <t>11/13/2025</t>
  </si>
  <si>
    <t>TXN-00614</t>
  </si>
  <si>
    <t>2025-02-12</t>
  </si>
  <si>
    <t>TXN-00508</t>
  </si>
  <si>
    <t>16.10.2025</t>
  </si>
  <si>
    <t>TXN-00889</t>
  </si>
  <si>
    <t>27 January 2025</t>
  </si>
  <si>
    <t>TXN-01268</t>
  </si>
  <si>
    <t>06/30/2025</t>
  </si>
  <si>
    <t>TXN-00454</t>
  </si>
  <si>
    <t>2025-07-12</t>
  </si>
  <si>
    <t>TXN-01411</t>
  </si>
  <si>
    <t>11.09.2025</t>
  </si>
  <si>
    <t>TXN-00578</t>
  </si>
  <si>
    <t>27-Dec-2025</t>
  </si>
  <si>
    <t>TXN-00362</t>
  </si>
  <si>
    <t>17/05/2025</t>
  </si>
  <si>
    <t xml:space="preserve">   ifeoma adeyemi   </t>
  </si>
  <si>
    <t>TXN-01392</t>
  </si>
  <si>
    <t>26 February 2025</t>
  </si>
  <si>
    <t>TXN-00755</t>
  </si>
  <si>
    <t>TXN-00334</t>
  </si>
  <si>
    <t>TXN-01100</t>
  </si>
  <si>
    <t>05/03/2025</t>
  </si>
  <si>
    <t>TXN-00901</t>
  </si>
  <si>
    <t>TXN-01420</t>
  </si>
  <si>
    <t>TXN-00374</t>
  </si>
  <si>
    <t>02 September 2025</t>
  </si>
  <si>
    <t>TXN-01022</t>
  </si>
  <si>
    <t xml:space="preserve">   benin city   </t>
  </si>
  <si>
    <t>TXN-01150</t>
  </si>
  <si>
    <t>05-Jul-2025</t>
  </si>
  <si>
    <t>TXN-00983</t>
  </si>
  <si>
    <t>TXN-00787</t>
  </si>
  <si>
    <t>TXN-00709</t>
  </si>
  <si>
    <t>2025-12-16</t>
  </si>
  <si>
    <t>TXN-00337</t>
  </si>
  <si>
    <t>2025-05-30</t>
  </si>
  <si>
    <t>TXN-00720</t>
  </si>
  <si>
    <t>TXN-01107</t>
  </si>
  <si>
    <t>15-Mar-2025</t>
  </si>
  <si>
    <t>TXN-00226</t>
  </si>
  <si>
    <t>28/04/2025</t>
  </si>
  <si>
    <t>TXN-00624</t>
  </si>
  <si>
    <t>TXN-00183</t>
  </si>
  <si>
    <t>01.11.2025</t>
  </si>
  <si>
    <t>TXN-00135</t>
  </si>
  <si>
    <t>28.06.2025</t>
  </si>
  <si>
    <t>TXN-01298</t>
  </si>
  <si>
    <t>26-Jul-2025</t>
  </si>
  <si>
    <t>TXN-01492</t>
  </si>
  <si>
    <t>TXN-00864</t>
  </si>
  <si>
    <t>07/23/2025</t>
  </si>
  <si>
    <t>TXN-00819</t>
  </si>
  <si>
    <t>12-Feb-2025</t>
  </si>
  <si>
    <t>TXN-00070</t>
  </si>
  <si>
    <t>08/26/2025</t>
  </si>
  <si>
    <t>TXN-00443</t>
  </si>
  <si>
    <t>TXN-00897</t>
  </si>
  <si>
    <t>24-May-2025</t>
  </si>
  <si>
    <t>TXN-01179</t>
  </si>
  <si>
    <t>2025-07-21</t>
  </si>
  <si>
    <t>TXN-00121</t>
  </si>
  <si>
    <t>TXN-01202</t>
  </si>
  <si>
    <t>TXN-00608</t>
  </si>
  <si>
    <t>23 June 2025</t>
  </si>
  <si>
    <t>TXN-00778</t>
  </si>
  <si>
    <t>TXN-01335</t>
  </si>
  <si>
    <t>13-Dec-2025</t>
  </si>
  <si>
    <t>TXN-00008</t>
  </si>
  <si>
    <t>TXN-00520</t>
  </si>
  <si>
    <t>TXN-00817</t>
  </si>
  <si>
    <t>11/01/2025</t>
  </si>
  <si>
    <t>TXN-00547</t>
  </si>
  <si>
    <t>22 June 2025</t>
  </si>
  <si>
    <t>TXN-00822</t>
  </si>
  <si>
    <t>TXN-01343</t>
  </si>
  <si>
    <t>2025-02-02</t>
  </si>
  <si>
    <t>TXN-00261</t>
  </si>
  <si>
    <t>TXN-00021</t>
  </si>
  <si>
    <t>TXN-00244</t>
  </si>
  <si>
    <t>21-Apr-2025</t>
  </si>
  <si>
    <t>TXN-01021</t>
  </si>
  <si>
    <t>22 November 2025</t>
  </si>
  <si>
    <t>TXN-00602</t>
  </si>
  <si>
    <t>08/16/2025</t>
  </si>
  <si>
    <t>TXN-00545</t>
  </si>
  <si>
    <t>2025-09-27</t>
  </si>
  <si>
    <t>TXN-01098</t>
  </si>
  <si>
    <t>21.02.2025</t>
  </si>
  <si>
    <t>TXN-00938</t>
  </si>
  <si>
    <t>03/06/2025</t>
  </si>
  <si>
    <t>TXN-00085</t>
  </si>
  <si>
    <t>11.11.2025</t>
  </si>
  <si>
    <t>TXN-01122</t>
  </si>
  <si>
    <t>06/03/2025</t>
  </si>
  <si>
    <t>TXN-00042</t>
  </si>
  <si>
    <t>18.06.2025</t>
  </si>
  <si>
    <t>TXN-01462</t>
  </si>
  <si>
    <t>TXN-00182</t>
  </si>
  <si>
    <t>2025-03-30</t>
  </si>
  <si>
    <t>TXN-01165</t>
  </si>
  <si>
    <t>02.01.2025</t>
  </si>
  <si>
    <t>TXN-00947</t>
  </si>
  <si>
    <t>2025-08-06</t>
  </si>
  <si>
    <t>TXN-01076</t>
  </si>
  <si>
    <t>08/18/2025</t>
  </si>
  <si>
    <t>TXN-00722</t>
  </si>
  <si>
    <t>TXN-00457</t>
  </si>
  <si>
    <t>2025-07-13</t>
  </si>
  <si>
    <t>TXN-00475</t>
  </si>
  <si>
    <t>TXN-00186</t>
  </si>
  <si>
    <t>TXN-00855</t>
  </si>
  <si>
    <t>09 April 2025</t>
  </si>
  <si>
    <t>TXN-00446</t>
  </si>
  <si>
    <t>TXN-01011</t>
  </si>
  <si>
    <t>08 July 2025</t>
  </si>
  <si>
    <t>TXN-01493</t>
  </si>
  <si>
    <t>22/10/2025</t>
  </si>
  <si>
    <t>TXN-00328</t>
  </si>
  <si>
    <t>TXN-01259</t>
  </si>
  <si>
    <t>TXN-00837</t>
  </si>
  <si>
    <t>29.04.2025</t>
  </si>
  <si>
    <t>TXN-00163</t>
  </si>
  <si>
    <t>18 December 2025</t>
  </si>
  <si>
    <t>TXN-01473</t>
  </si>
  <si>
    <t>18/04/2025</t>
  </si>
  <si>
    <t>TXN-00961</t>
  </si>
  <si>
    <t>2025-04-05</t>
  </si>
  <si>
    <t>TXN-00119</t>
  </si>
  <si>
    <t>16/03/2025</t>
  </si>
  <si>
    <t>TXN-00090</t>
  </si>
  <si>
    <t>2025-09-23</t>
  </si>
  <si>
    <t>TXN-01385</t>
  </si>
  <si>
    <t>TXN-00048</t>
  </si>
  <si>
    <t>12 June 2025</t>
  </si>
  <si>
    <t>TXN-00373</t>
  </si>
  <si>
    <t>21 August 2025</t>
  </si>
  <si>
    <t>TXN-00611</t>
  </si>
  <si>
    <t>13/02/2025</t>
  </si>
  <si>
    <t>TXN-00204</t>
  </si>
  <si>
    <t>2025-08-23</t>
  </si>
  <si>
    <t>TXN-00693</t>
  </si>
  <si>
    <t>23/11/2025</t>
  </si>
  <si>
    <t>segun chukwu</t>
  </si>
  <si>
    <t>TXN-00892</t>
  </si>
  <si>
    <t>2025-02-22</t>
  </si>
  <si>
    <t>TXN-00765</t>
  </si>
  <si>
    <t xml:space="preserve">   KELECHI NWOSU   </t>
  </si>
  <si>
    <t>TXN-00349</t>
  </si>
  <si>
    <t>02.08.2025</t>
  </si>
  <si>
    <t>TXN-00179</t>
  </si>
  <si>
    <t>02/24/2025</t>
  </si>
  <si>
    <t>TXN-00415</t>
  </si>
  <si>
    <t>14-Mar-2025</t>
  </si>
  <si>
    <t>TXN-01243</t>
  </si>
  <si>
    <t>06.03.2025</t>
  </si>
  <si>
    <t>TXN-00314</t>
  </si>
  <si>
    <t>TXN-01154</t>
  </si>
  <si>
    <t>08.10.2025</t>
  </si>
  <si>
    <t>TXN-00717</t>
  </si>
  <si>
    <t>04/04/2025</t>
  </si>
  <si>
    <t>TXN-00059</t>
  </si>
  <si>
    <t>27/09/2025</t>
  </si>
  <si>
    <t>TXN-00758</t>
  </si>
  <si>
    <t>08-Feb-2025</t>
  </si>
  <si>
    <t>TXN-00278</t>
  </si>
  <si>
    <t>TXN-01184</t>
  </si>
  <si>
    <t>TXN-00241</t>
  </si>
  <si>
    <t>21 July 2025</t>
  </si>
  <si>
    <t>TXN-01206</t>
  </si>
  <si>
    <t>20-Dec-2025</t>
  </si>
  <si>
    <t>TXN-00652</t>
  </si>
  <si>
    <t>31.03.2025</t>
  </si>
  <si>
    <t>TXN-01261</t>
  </si>
  <si>
    <t>TXN-01190</t>
  </si>
  <si>
    <t>23-Sep-2025</t>
  </si>
  <si>
    <t>TXN-00467</t>
  </si>
  <si>
    <t>TXN-00198</t>
  </si>
  <si>
    <t>TXN-00562</t>
  </si>
  <si>
    <t>11/16/2025</t>
  </si>
  <si>
    <t xml:space="preserve">   UCHE OKORO   </t>
  </si>
  <si>
    <t>TXN-00858</t>
  </si>
  <si>
    <t>TXN-00516</t>
  </si>
  <si>
    <t>29.08.2025</t>
  </si>
  <si>
    <t>TXN-00333</t>
  </si>
  <si>
    <t>29/09/2025</t>
  </si>
  <si>
    <t>TXN-01229</t>
  </si>
  <si>
    <t>TXN-01092</t>
  </si>
  <si>
    <t xml:space="preserve">  Mary Nnamdi   </t>
  </si>
  <si>
    <t>TXN-00677</t>
  </si>
  <si>
    <t>06-Nov-2025</t>
  </si>
  <si>
    <t>TXN-00137</t>
  </si>
  <si>
    <t>23/10/2025</t>
  </si>
  <si>
    <t>TXN-01201</t>
  </si>
  <si>
    <t>23 September 2025</t>
  </si>
  <si>
    <t>TXN-00714</t>
  </si>
  <si>
    <t>TXN-00251</t>
  </si>
  <si>
    <t>27.11.2025</t>
  </si>
  <si>
    <t>TXN-01109</t>
  </si>
  <si>
    <t>TXN-00164</t>
  </si>
  <si>
    <t>22.07.2025</t>
  </si>
  <si>
    <t>TXN-01252</t>
  </si>
  <si>
    <t>24 December 2025</t>
  </si>
  <si>
    <t>TXN-01005</t>
  </si>
  <si>
    <t>25.05.2025</t>
  </si>
  <si>
    <t>TXN-00726</t>
  </si>
  <si>
    <t>03.04.2025</t>
  </si>
  <si>
    <t>TXN-00167</t>
  </si>
  <si>
    <t>TXN-01064</t>
  </si>
  <si>
    <t>05.09.2025</t>
  </si>
  <si>
    <t>TXN-01001</t>
  </si>
  <si>
    <t>TXN-01338</t>
  </si>
  <si>
    <t xml:space="preserve">  CHINWE ETIM   </t>
  </si>
  <si>
    <t>TXN-00200</t>
  </si>
  <si>
    <t>10 August 2025</t>
  </si>
  <si>
    <t>TXN-00792</t>
  </si>
  <si>
    <t>08/25/2025</t>
  </si>
  <si>
    <t>TXN-00737</t>
  </si>
  <si>
    <t>2025-05-15</t>
  </si>
  <si>
    <t>TXN-01453</t>
  </si>
  <si>
    <t>TXN-01019</t>
  </si>
  <si>
    <t>TXN-01068</t>
  </si>
  <si>
    <t>12-Jul-2025</t>
  </si>
  <si>
    <t>TXN-00723</t>
  </si>
  <si>
    <t>11.01.2025</t>
  </si>
  <si>
    <t>TXN-00587</t>
  </si>
  <si>
    <t>07 August 2025</t>
  </si>
  <si>
    <t>TXN-00631</t>
  </si>
  <si>
    <t>22.04.2025</t>
  </si>
  <si>
    <t>TXN-00418</t>
  </si>
  <si>
    <t>07/31/2025</t>
  </si>
  <si>
    <t>TXN-00826</t>
  </si>
  <si>
    <t>TXN-00625</t>
  </si>
  <si>
    <t>08/30/2025</t>
  </si>
  <si>
    <t>TXN-01376</t>
  </si>
  <si>
    <t>03.09.2025</t>
  </si>
  <si>
    <t>TXN-01031</t>
  </si>
  <si>
    <t>TXN-00838</t>
  </si>
  <si>
    <t>TXN-00326</t>
  </si>
  <si>
    <t>TXN-00007</t>
  </si>
  <si>
    <t>TXN-01271</t>
  </si>
  <si>
    <t>23.04.2025</t>
  </si>
  <si>
    <t>TXN-00122</t>
  </si>
  <si>
    <t>TXN-01383</t>
  </si>
  <si>
    <t>2025-01-11</t>
  </si>
  <si>
    <t>TXN-00303</t>
  </si>
  <si>
    <t>TXN-00133</t>
  </si>
  <si>
    <t>2025-02-25</t>
  </si>
  <si>
    <t>TXN-00601</t>
  </si>
  <si>
    <t>28-May-2025</t>
  </si>
  <si>
    <t>TXN-00004</t>
  </si>
  <si>
    <t>TXN-01247</t>
  </si>
  <si>
    <t>21.11.2025</t>
  </si>
  <si>
    <t>TXN-01388</t>
  </si>
  <si>
    <t>04 July 2025</t>
  </si>
  <si>
    <t>TXN-01373</t>
  </si>
  <si>
    <t>06/08/2025</t>
  </si>
  <si>
    <t>TXN-01029</t>
  </si>
  <si>
    <t>22-Jul-2025</t>
  </si>
  <si>
    <t>TXN-00969</t>
  </si>
  <si>
    <t>05 October 2025</t>
  </si>
  <si>
    <t>TXN-00147</t>
  </si>
  <si>
    <t>10 July 2025</t>
  </si>
  <si>
    <t>TXN-00307</t>
  </si>
  <si>
    <t>TXN-00417</t>
  </si>
  <si>
    <t>22-Nov-2025</t>
  </si>
  <si>
    <t>TXN-01330</t>
  </si>
  <si>
    <t>TXN-01067</t>
  </si>
  <si>
    <t>29/07/2025</t>
  </si>
  <si>
    <t>TXN-01413</t>
  </si>
  <si>
    <t>TXN-00747</t>
  </si>
  <si>
    <t>11/06/2025</t>
  </si>
  <si>
    <t>TXN-00338</t>
  </si>
  <si>
    <t>2025-05-14</t>
  </si>
  <si>
    <t>TXN-00103</t>
  </si>
  <si>
    <t>TXN-00029</t>
  </si>
  <si>
    <t>2025-01-16</t>
  </si>
  <si>
    <t>TXN-00566</t>
  </si>
  <si>
    <t>01/15/2025</t>
  </si>
  <si>
    <t>TXN-00340</t>
  </si>
  <si>
    <t>2025-06-13</t>
  </si>
  <si>
    <t>TXN-00753</t>
  </si>
  <si>
    <t>TXN-00808</t>
  </si>
  <si>
    <t>TXN-00298</t>
  </si>
  <si>
    <t>TXN-00295</t>
  </si>
  <si>
    <t>24 September 2025</t>
  </si>
  <si>
    <t>TXN-01491</t>
  </si>
  <si>
    <t>31.10.2025</t>
  </si>
  <si>
    <t>TXN-00703</t>
  </si>
  <si>
    <t>TXN-01419</t>
  </si>
  <si>
    <t>13/09/2025</t>
  </si>
  <si>
    <t>TXN-00005</t>
  </si>
  <si>
    <t>02/11/2025</t>
  </si>
  <si>
    <t>TXN-00595</t>
  </si>
  <si>
    <t>TXN-01404</t>
  </si>
  <si>
    <t>02 October 2025</t>
  </si>
  <si>
    <t>TXN-01175</t>
  </si>
  <si>
    <t>2025-04-17</t>
  </si>
  <si>
    <t>TXN-01340</t>
  </si>
  <si>
    <t>TXN-00102</t>
  </si>
  <si>
    <t>22-Jan-2025</t>
  </si>
  <si>
    <t>TXN-00399</t>
  </si>
  <si>
    <t>TXN-00020</t>
  </si>
  <si>
    <t>TXN-01033</t>
  </si>
  <si>
    <t>07-Feb-2025</t>
  </si>
  <si>
    <t>TXN-01132</t>
  </si>
  <si>
    <t>24.12.2025</t>
  </si>
  <si>
    <t>TXN-01128</t>
  </si>
  <si>
    <t>2025-11-05</t>
  </si>
  <si>
    <t>TXN-01244</t>
  </si>
  <si>
    <t>07.03.2025</t>
  </si>
  <si>
    <t>TXN-00766</t>
  </si>
  <si>
    <t>2025-03-03</t>
  </si>
  <si>
    <t>TXN-00521</t>
  </si>
  <si>
    <t>TXN-01416</t>
  </si>
  <si>
    <t>2025-06-11</t>
  </si>
  <si>
    <t>TXN-00423</t>
  </si>
  <si>
    <t>26 April 2025</t>
  </si>
  <si>
    <t>TXN-00510</t>
  </si>
  <si>
    <t>TXN-00019</t>
  </si>
  <si>
    <t>29 June 2025</t>
  </si>
  <si>
    <t>TXN-00626</t>
  </si>
  <si>
    <t>10/06/2025</t>
  </si>
  <si>
    <t>TXN-00966</t>
  </si>
  <si>
    <t>23.03.2025</t>
  </si>
  <si>
    <t>TXN-00790</t>
  </si>
  <si>
    <t>2025-12-29</t>
  </si>
  <si>
    <t>TXN-00874</t>
  </si>
  <si>
    <t>TXN-00865</t>
  </si>
  <si>
    <t>TXN-00254</t>
  </si>
  <si>
    <t>09.05.2025</t>
  </si>
  <si>
    <t>TXN-01233</t>
  </si>
  <si>
    <t>TXN-00812</t>
  </si>
  <si>
    <t>09/20/2025</t>
  </si>
  <si>
    <t>TXN-00852</t>
  </si>
  <si>
    <t>TXN-00230</t>
  </si>
  <si>
    <t>28.04.2025</t>
  </si>
  <si>
    <t>TXN-00062</t>
  </si>
  <si>
    <t>TXN-00290</t>
  </si>
  <si>
    <t>11/05/2025</t>
  </si>
  <si>
    <t>TXN-01256</t>
  </si>
  <si>
    <t>2025-03-20</t>
  </si>
  <si>
    <t>TXN-00235</t>
  </si>
  <si>
    <t>2025-11-11</t>
  </si>
  <si>
    <t>TXN-00420</t>
  </si>
  <si>
    <t>TXN-00678</t>
  </si>
  <si>
    <t>TXN-00936</t>
  </si>
  <si>
    <t>14-Jan-2025</t>
  </si>
  <si>
    <t>TXN-00405</t>
  </si>
  <si>
    <t>04.07.2025</t>
  </si>
  <si>
    <t>TXN-00563</t>
  </si>
  <si>
    <t>2025-05-09</t>
  </si>
  <si>
    <t>TXN-00292</t>
  </si>
  <si>
    <t>TXN-00557</t>
  </si>
  <si>
    <t>TXN-01191</t>
  </si>
  <si>
    <t>11-Jan-2025</t>
  </si>
  <si>
    <t>TXN-01106</t>
  </si>
  <si>
    <t>TXN-01409</t>
  </si>
  <si>
    <t>TXN-01476</t>
  </si>
  <si>
    <t>06-Aug-2025</t>
  </si>
  <si>
    <t>TXN-00079</t>
  </si>
  <si>
    <t>TXN-01395</t>
  </si>
  <si>
    <t>TXN-01260</t>
  </si>
  <si>
    <t>21-Oct-2025</t>
  </si>
  <si>
    <t>TXN-00265</t>
  </si>
  <si>
    <t>TXN-00276</t>
  </si>
  <si>
    <t>16 April 2025</t>
  </si>
  <si>
    <t>TXN-00926</t>
  </si>
  <si>
    <t>16 October 2025</t>
  </si>
  <si>
    <t>TXN-00022</t>
  </si>
  <si>
    <t>27.08.2025</t>
  </si>
  <si>
    <t>TXN-00857</t>
  </si>
  <si>
    <t>TXN-00430</t>
  </si>
  <si>
    <t>16.04.2025</t>
  </si>
  <si>
    <t>TXN-00027</t>
  </si>
  <si>
    <t>TXN-00098</t>
  </si>
  <si>
    <t>12/29/2025</t>
  </si>
  <si>
    <t>TXN-01140</t>
  </si>
  <si>
    <t>TXN-00355</t>
  </si>
  <si>
    <t>TXN-01242</t>
  </si>
  <si>
    <t>TXN-01072</t>
  </si>
  <si>
    <t>06 December 2025</t>
  </si>
  <si>
    <t>TXN-00264</t>
  </si>
  <si>
    <t>TXN-00525</t>
  </si>
  <si>
    <t>23-Feb-2025</t>
  </si>
  <si>
    <t>TXN-01495</t>
  </si>
  <si>
    <t>TXN-00236</t>
  </si>
  <si>
    <t>27-Jun-2025</t>
  </si>
  <si>
    <t>TXN-01052</t>
  </si>
  <si>
    <t>TXN-00067</t>
  </si>
  <si>
    <t>TXN-00166</t>
  </si>
  <si>
    <t>16-Jan-2025</t>
  </si>
  <si>
    <t>TXN-00745</t>
  </si>
  <si>
    <t>TXN-00038</t>
  </si>
  <si>
    <t>06/06/2025</t>
  </si>
  <si>
    <t>TXN-00040</t>
  </si>
  <si>
    <t>TXN-00188</t>
  </si>
  <si>
    <t>TXN-00680</t>
  </si>
  <si>
    <t>2025-12-09</t>
  </si>
  <si>
    <t>TXN-01414</t>
  </si>
  <si>
    <t>2025-11-03</t>
  </si>
  <si>
    <t>TXN-00671</t>
  </si>
  <si>
    <t>TXN-00322</t>
  </si>
  <si>
    <t>09/12/2025</t>
  </si>
  <si>
    <t>TXN-01364</t>
  </si>
  <si>
    <t>TXN-00669</t>
  </si>
  <si>
    <t>29 January 2025</t>
  </si>
  <si>
    <t>TXN-00811</t>
  </si>
  <si>
    <t>2025-08-19</t>
  </si>
  <si>
    <t>TXN-00429</t>
  </si>
  <si>
    <t>TXN-00881</t>
  </si>
  <si>
    <t>03/29/2025</t>
  </si>
  <si>
    <t>TXN-01004</t>
  </si>
  <si>
    <t>01 October 2025</t>
  </si>
  <si>
    <t>TXN-01433</t>
  </si>
  <si>
    <t>2025-05-28</t>
  </si>
  <si>
    <t>TXN-00895</t>
  </si>
  <si>
    <t>24/01/2025</t>
  </si>
  <si>
    <t>TXN-00143</t>
  </si>
  <si>
    <t>TXN-00519</t>
  </si>
  <si>
    <t>TXN-00963</t>
  </si>
  <si>
    <t>08.06.2025</t>
  </si>
  <si>
    <t>TXN-00283</t>
  </si>
  <si>
    <t>09/19/2025</t>
  </si>
  <si>
    <t>TXN-00605</t>
  </si>
  <si>
    <t>2025-12-30</t>
  </si>
  <si>
    <t>TXN-01194</t>
  </si>
  <si>
    <t>12 January 2025</t>
  </si>
  <si>
    <t>TXN-00920</t>
  </si>
  <si>
    <t>2025-02-24</t>
  </si>
  <si>
    <t>TXN-01162</t>
  </si>
  <si>
    <t>2025-10-04</t>
  </si>
  <si>
    <t>TXN-01185</t>
  </si>
  <si>
    <t>TXN-00274</t>
  </si>
  <si>
    <t>2025-01-21</t>
  </si>
  <si>
    <t>TXN-01120</t>
  </si>
  <si>
    <t>01/02/2025</t>
  </si>
  <si>
    <t>TXN-00006</t>
  </si>
  <si>
    <t>2025-09-14</t>
  </si>
  <si>
    <t>TXN-00377</t>
  </si>
  <si>
    <t xml:space="preserve">  OBINNA YUSUF   </t>
  </si>
  <si>
    <t>TXN-01267</t>
  </si>
  <si>
    <t>06 February 2025</t>
  </si>
  <si>
    <t>TXN-01483</t>
  </si>
  <si>
    <t>23.07.2025</t>
  </si>
  <si>
    <t>TXN-00596</t>
  </si>
  <si>
    <t>07-Nov-2025</t>
  </si>
  <si>
    <t>TXN-00724</t>
  </si>
  <si>
    <t>22-Jun-2025</t>
  </si>
  <si>
    <t>TXN-00875</t>
  </si>
  <si>
    <t>26.10.2025</t>
  </si>
  <si>
    <t>TXN-00471</t>
  </si>
  <si>
    <t>TXN-00904</t>
  </si>
  <si>
    <t>TXN-01210</t>
  </si>
  <si>
    <t>08/19/2025</t>
  </si>
  <si>
    <t>TXN-01377</t>
  </si>
  <si>
    <t>2025-10-31</t>
  </si>
  <si>
    <t>TXN-00416</t>
  </si>
  <si>
    <t>TXN-01075</t>
  </si>
  <si>
    <t>14.12.2025</t>
  </si>
  <si>
    <t>TXN-01069</t>
  </si>
  <si>
    <t>TXN-00967</t>
  </si>
  <si>
    <t>TXN-00081</t>
  </si>
  <si>
    <t>TXN-00351</t>
  </si>
  <si>
    <t>29/08/2025</t>
  </si>
  <si>
    <t>TXN-01302</t>
  </si>
  <si>
    <t>06/01/2025</t>
  </si>
  <si>
    <t>TXN-00956</t>
  </si>
  <si>
    <t>TXN-01048</t>
  </si>
  <si>
    <t>TXN-01361</t>
  </si>
  <si>
    <t>01.09.2025</t>
  </si>
  <si>
    <t>TXN-00518</t>
  </si>
  <si>
    <t>TXN-00341</t>
  </si>
  <si>
    <t>TXN-01168</t>
  </si>
  <si>
    <t>25-Mar-2025</t>
  </si>
  <si>
    <t>TXN-01041</t>
  </si>
  <si>
    <t>17-Apr-2025</t>
  </si>
  <si>
    <t>TXN-00066</t>
  </si>
  <si>
    <t>27 September 2025</t>
  </si>
  <si>
    <t>TXN-00511</t>
  </si>
  <si>
    <t>TXN-01310</t>
  </si>
  <si>
    <t>TXN-00741</t>
  </si>
  <si>
    <t>13-Mar-2025</t>
  </si>
  <si>
    <t>TXN-00088</t>
  </si>
  <si>
    <t>30/12/2025</t>
  </si>
  <si>
    <t>TXN-01113</t>
  </si>
  <si>
    <t>2025-01-08</t>
  </si>
  <si>
    <t>TXN-00030</t>
  </si>
  <si>
    <t>TXN-00063</t>
  </si>
  <si>
    <t>30/06/2025</t>
  </si>
  <si>
    <t>TXN-00426</t>
  </si>
  <si>
    <t xml:space="preserve">  TUNDE BALOGUN   </t>
  </si>
  <si>
    <t>TXN-00421</t>
  </si>
  <si>
    <t>TXN-01451</t>
  </si>
  <si>
    <t>2025-10-08</t>
  </si>
  <si>
    <t>TXN-00598</t>
  </si>
  <si>
    <t>TXN-01138</t>
  </si>
  <si>
    <t>TXN-00748</t>
  </si>
  <si>
    <t>TXN-00329</t>
  </si>
  <si>
    <t>2025-05-24</t>
  </si>
  <si>
    <t>TXN-00214</t>
  </si>
  <si>
    <t>06/14/2025</t>
  </si>
  <si>
    <t>TXN-00883</t>
  </si>
  <si>
    <t>TXN-00949</t>
  </si>
  <si>
    <t>TXN-00805</t>
  </si>
  <si>
    <t>TXN-00728</t>
  </si>
  <si>
    <t>TXN-00304</t>
  </si>
  <si>
    <t>2025-10-07</t>
  </si>
  <si>
    <t>TXN-00872</t>
  </si>
  <si>
    <t>TXN-01081</t>
  </si>
  <si>
    <t>02 May 2025</t>
  </si>
  <si>
    <t>TXN-00448</t>
  </si>
  <si>
    <t>TXN-00025</t>
  </si>
  <si>
    <t>TXN-00934</t>
  </si>
  <si>
    <t>TXN-00802</t>
  </si>
  <si>
    <t>TXN-01193</t>
  </si>
  <si>
    <t>2025-06-18</t>
  </si>
  <si>
    <t>TXN-01475</t>
  </si>
  <si>
    <t>05/21/2025</t>
  </si>
  <si>
    <t>TXN-00132</t>
  </si>
  <si>
    <t>TXN-01339</t>
  </si>
  <si>
    <t>TXN-01222</t>
  </si>
  <si>
    <t>TXN-00552</t>
  </si>
  <si>
    <t>TXN-00925</t>
  </si>
  <si>
    <t>TXN-00522</t>
  </si>
  <si>
    <t>21 January 2025</t>
  </si>
  <si>
    <t>TXN-00300</t>
  </si>
  <si>
    <t>TXN-01156</t>
  </si>
  <si>
    <t>02.11.2025</t>
  </si>
  <si>
    <t>TXN-01477</t>
  </si>
  <si>
    <t>TXN-00710</t>
  </si>
  <si>
    <t>TXN-00647</t>
  </si>
  <si>
    <t>12/05/2025</t>
  </si>
  <si>
    <t>TXN-01002</t>
  </si>
  <si>
    <t>02/12/2025</t>
  </si>
  <si>
    <t>TXN-00736</t>
  </si>
  <si>
    <t>TXN-00401</t>
  </si>
  <si>
    <t>03.08.2025</t>
  </si>
  <si>
    <t>TXN-01170</t>
  </si>
  <si>
    <t>TXN-00933</t>
  </si>
  <si>
    <t>03/22/2025</t>
  </si>
  <si>
    <t>TXN-00960</t>
  </si>
  <si>
    <t>27 February 2025</t>
  </si>
  <si>
    <t>TXN-01003</t>
  </si>
  <si>
    <t>10.03.2025</t>
  </si>
  <si>
    <t>TXN-01432</t>
  </si>
  <si>
    <t>TXN-00706</t>
  </si>
  <si>
    <t>TXN-01446</t>
  </si>
  <si>
    <t>13-Jan-2025</t>
  </si>
  <si>
    <t>TXN-01263</t>
  </si>
  <si>
    <t>TXN-00014</t>
  </si>
  <si>
    <t>02/07/2025</t>
  </si>
  <si>
    <t>TXN-01097</t>
  </si>
  <si>
    <t>27/12/2025</t>
  </si>
  <si>
    <t>TXN-00149</t>
  </si>
  <si>
    <t>TXN-00609</t>
  </si>
  <si>
    <t>TXN-01042</t>
  </si>
  <si>
    <t>2025-04-13</t>
  </si>
  <si>
    <t>TXN-00664</t>
  </si>
  <si>
    <t>TXN-00390</t>
  </si>
  <si>
    <t>TXN-00299</t>
  </si>
  <si>
    <t xml:space="preserve">  Kelechi Nwosu   </t>
  </si>
  <si>
    <t>TXN-01497</t>
  </si>
  <si>
    <t>09.12.2025</t>
  </si>
  <si>
    <t>TXN-00047</t>
  </si>
  <si>
    <t>TXN-01400</t>
  </si>
  <si>
    <t>TXN-00813</t>
  </si>
  <si>
    <t>2025-04-19</t>
  </si>
  <si>
    <t>TXN-00366</t>
  </si>
  <si>
    <t>11.08.2025</t>
  </si>
  <si>
    <t>TXN-00845</t>
  </si>
  <si>
    <t>TXN-01296</t>
  </si>
  <si>
    <t>21.06.2025</t>
  </si>
  <si>
    <t>TXN-00345</t>
  </si>
  <si>
    <t>TXN-00959</t>
  </si>
  <si>
    <t>10.05.2025</t>
  </si>
  <si>
    <t xml:space="preserve">  SEGUN CHUKWU   </t>
  </si>
  <si>
    <t>TXN-01500</t>
  </si>
  <si>
    <t>19/09/2025</t>
  </si>
  <si>
    <t>TXN-01458</t>
  </si>
  <si>
    <t>TXN-00546</t>
  </si>
  <si>
    <t>TXN-00033</t>
  </si>
  <si>
    <t>13-May-2025</t>
  </si>
  <si>
    <t>TXN-01486</t>
  </si>
  <si>
    <t>22.06.2025</t>
  </si>
  <si>
    <t>TXN-00201</t>
  </si>
  <si>
    <t>2025-09-17</t>
  </si>
  <si>
    <t>TXN-01182</t>
  </si>
  <si>
    <t>TXN-00730</t>
  </si>
  <si>
    <t xml:space="preserve">  PETER ADEKUNLE   </t>
  </si>
  <si>
    <t>TXN-00352</t>
  </si>
  <si>
    <t>2025-06-30</t>
  </si>
  <si>
    <t>TXN-00107</t>
  </si>
  <si>
    <t>TXN-01223</t>
  </si>
  <si>
    <t>TXN-01319</t>
  </si>
  <si>
    <t>TXN-01460</t>
  </si>
  <si>
    <t>TXN-00342</t>
  </si>
  <si>
    <t>20.09.2025</t>
  </si>
  <si>
    <t>TXN-01440</t>
  </si>
  <si>
    <t>TXN-00115</t>
  </si>
  <si>
    <t>17 November 2025</t>
  </si>
  <si>
    <t>TXN-01217</t>
  </si>
  <si>
    <t>2025-01-24</t>
  </si>
  <si>
    <t>TXN-01441</t>
  </si>
  <si>
    <t>TXN-01326</t>
  </si>
  <si>
    <t>TXN-00684</t>
  </si>
  <si>
    <t>TXN-00175</t>
  </si>
  <si>
    <t>TXN-00981</t>
  </si>
  <si>
    <t>TXN-01024</t>
  </si>
  <si>
    <t>23 October 2025</t>
  </si>
  <si>
    <t>TXN-01368</t>
  </si>
  <si>
    <t>TXN-00657</t>
  </si>
  <si>
    <t>TXN-01467</t>
  </si>
  <si>
    <t>19.08.2025</t>
  </si>
  <si>
    <t>TXN-01065</t>
  </si>
  <si>
    <t>21 March 2025</t>
  </si>
  <si>
    <t>TXN-00050</t>
  </si>
  <si>
    <t>25 August 2025</t>
  </si>
  <si>
    <t>TXN-00528</t>
  </si>
  <si>
    <t>TXN-00873</t>
  </si>
  <si>
    <t>18-Sep-2025</t>
  </si>
  <si>
    <t>TXN-00095</t>
  </si>
  <si>
    <t>26-Jan-2025</t>
  </si>
  <si>
    <t>TXN-00453</t>
  </si>
  <si>
    <t>11/08/2025</t>
  </si>
  <si>
    <t>TXN-00456</t>
  </si>
  <si>
    <t>05/01/2025</t>
  </si>
  <si>
    <t>TXN-00634</t>
  </si>
  <si>
    <t>2025-10-18</t>
  </si>
  <si>
    <t>TXN-00153</t>
  </si>
  <si>
    <t>08 June 2025</t>
  </si>
  <si>
    <t>TXN-00238</t>
  </si>
  <si>
    <t>TXN-00232</t>
  </si>
  <si>
    <t>10/10/2025</t>
  </si>
  <si>
    <t>TXN-01039</t>
  </si>
  <si>
    <t xml:space="preserve">  UCHE OKORO   </t>
  </si>
  <si>
    <t>TXN-00891</t>
  </si>
  <si>
    <t>24.06.2025</t>
  </si>
  <si>
    <t>TXN-01111</t>
  </si>
  <si>
    <t>2025-03-29</t>
  </si>
  <si>
    <t xml:space="preserve">   Ngozi Ibrahim   </t>
  </si>
  <si>
    <t>TXN-00880</t>
  </si>
  <si>
    <t>22.02.2025</t>
  </si>
  <si>
    <t>TXN-00509</t>
  </si>
  <si>
    <t>2025-01-01</t>
  </si>
  <si>
    <t>TXN-00571</t>
  </si>
  <si>
    <t>TXN-01066</t>
  </si>
  <si>
    <t>TXN-00618</t>
  </si>
  <si>
    <t>03/26/2025</t>
  </si>
  <si>
    <t>TXN-01379</t>
  </si>
  <si>
    <t>TXN-00527</t>
  </si>
  <si>
    <t>01-Feb-2025</t>
  </si>
  <si>
    <t>TXN-00849</t>
  </si>
  <si>
    <t>14.07.2025</t>
  </si>
  <si>
    <t>TXN-00379</t>
  </si>
  <si>
    <t>TXN-00642</t>
  </si>
  <si>
    <t>TXN-00382</t>
  </si>
  <si>
    <t>TXN-00339</t>
  </si>
  <si>
    <t>2025-10-22</t>
  </si>
  <si>
    <t xml:space="preserve">  Ade Abubakar   </t>
  </si>
  <si>
    <t>TXN-00658</t>
  </si>
  <si>
    <t>TXN-01240</t>
  </si>
  <si>
    <t>13/05/2025</t>
  </si>
  <si>
    <t>TXN-00533</t>
  </si>
  <si>
    <t>TXN-01398</t>
  </si>
  <si>
    <t>13.07.2025</t>
  </si>
  <si>
    <t>TXN-00945</t>
  </si>
  <si>
    <t>26/01/2025</t>
  </si>
  <si>
    <t>TXN-00493</t>
  </si>
  <si>
    <t>TXN-01234</t>
  </si>
  <si>
    <t>2025-08-04</t>
  </si>
  <si>
    <t>TXN-00780</t>
  </si>
  <si>
    <t>2025-11-10</t>
  </si>
  <si>
    <t>TXN-00359</t>
  </si>
  <si>
    <t>19/01/2025</t>
  </si>
  <si>
    <t>TXN-01418</t>
  </si>
  <si>
    <t>TXN-01498</t>
  </si>
  <si>
    <t>TXN-00824</t>
  </si>
  <si>
    <t>TXN-00306</t>
  </si>
  <si>
    <t>TXN-01093</t>
  </si>
  <si>
    <t>23.02.2025</t>
  </si>
  <si>
    <t>TXN-01316</t>
  </si>
  <si>
    <t>30/01/2025</t>
  </si>
  <si>
    <t>TXN-00704</t>
  </si>
  <si>
    <t>2025-12-28</t>
  </si>
  <si>
    <t>TXN-00368</t>
  </si>
  <si>
    <t>05-Nov-2025</t>
  </si>
  <si>
    <t>TXN-00468</t>
  </si>
  <si>
    <t>2025-12-31</t>
  </si>
  <si>
    <t xml:space="preserve">   Funmi Eze   </t>
  </si>
  <si>
    <t>TXN-01171</t>
  </si>
  <si>
    <t xml:space="preserve">  kelechi nwosu   </t>
  </si>
  <si>
    <t>TXN-00139</t>
  </si>
  <si>
    <t>TXN-01183</t>
  </si>
  <si>
    <t>25 May 2025</t>
  </si>
  <si>
    <t>TXN-00462</t>
  </si>
  <si>
    <t>25 February 2025</t>
  </si>
  <si>
    <t>TXN-00302</t>
  </si>
  <si>
    <t>17 March 2025</t>
  </si>
  <si>
    <t>TXN-00031</t>
  </si>
  <si>
    <t>02/05/2025</t>
  </si>
  <si>
    <t>TXN-01464</t>
  </si>
  <si>
    <t>21 October 2025</t>
  </si>
  <si>
    <t>TXN-00890</t>
  </si>
  <si>
    <t>TXN-01445</t>
  </si>
  <si>
    <t>17-Dec-2025</t>
  </si>
  <si>
    <t>TXN-00848</t>
  </si>
  <si>
    <t>16 September 2025</t>
  </si>
  <si>
    <t>TXN-00136</t>
  </si>
  <si>
    <t>14.10.2025</t>
  </si>
  <si>
    <t>TXN-01211</t>
  </si>
  <si>
    <t xml:space="preserve">  BENIN CITY   </t>
  </si>
  <si>
    <t>TXN-01249</t>
  </si>
  <si>
    <t>04/24/2025</t>
  </si>
  <si>
    <t>TXN-01282</t>
  </si>
  <si>
    <t>06 August 2025</t>
  </si>
  <si>
    <t>TXN-00649</t>
  </si>
  <si>
    <t>TXN-00388</t>
  </si>
  <si>
    <t>31/07/2025</t>
  </si>
  <si>
    <t>TXN-01490</t>
  </si>
  <si>
    <t>TXN-00868</t>
  </si>
  <si>
    <t>02/15/2025</t>
  </si>
  <si>
    <t>TXN-00489</t>
  </si>
  <si>
    <t>31/03/2025</t>
  </si>
  <si>
    <t>TXN-01444</t>
  </si>
  <si>
    <t>TXN-00894</t>
  </si>
  <si>
    <t>07/06/2025</t>
  </si>
  <si>
    <t>TXN-01286</t>
  </si>
  <si>
    <t>26.11.2025</t>
  </si>
  <si>
    <t>TXN-00239</t>
  </si>
  <si>
    <t>TXN-00537</t>
  </si>
  <si>
    <t>TXN-00847</t>
  </si>
  <si>
    <t>TXN-00389</t>
  </si>
  <si>
    <t>06/10/2025</t>
  </si>
  <si>
    <t>TXN-00319</t>
  </si>
  <si>
    <t>16 July 2025</t>
  </si>
  <si>
    <t>TXN-00060</t>
  </si>
  <si>
    <t>18/12/2025</t>
  </si>
  <si>
    <t>TXN-00458</t>
  </si>
  <si>
    <t>26-Aug-2025</t>
  </si>
  <si>
    <t>TXN-01285</t>
  </si>
  <si>
    <t>02.02.2025</t>
  </si>
  <si>
    <t>TXN-01290</t>
  </si>
  <si>
    <t>05/05/2025</t>
  </si>
  <si>
    <t>TXN-00130</t>
  </si>
  <si>
    <t>14.11.2025</t>
  </si>
  <si>
    <t>TXN-00985</t>
  </si>
  <si>
    <t>20.04.2025</t>
  </si>
  <si>
    <t>TXN-00589</t>
  </si>
  <si>
    <t>16.08.2025</t>
  </si>
  <si>
    <t>TXN-01399</t>
  </si>
  <si>
    <t>26/04/2025</t>
  </si>
  <si>
    <t>TXN-01482</t>
  </si>
  <si>
    <t>14 June 2025</t>
  </si>
  <si>
    <t>TXN-01362</t>
  </si>
  <si>
    <t>TXN-00437</t>
  </si>
  <si>
    <t>TXN-00842</t>
  </si>
  <si>
    <t>TXN-00043</t>
  </si>
  <si>
    <t>15.11.2025</t>
  </si>
  <si>
    <t>TXN-01354</t>
  </si>
  <si>
    <t>16/09/2025</t>
  </si>
  <si>
    <t>TXN-00279</t>
  </si>
  <si>
    <t>TXN-01121</t>
  </si>
  <si>
    <t>24/10/2025</t>
  </si>
  <si>
    <t>TXN-01087</t>
  </si>
  <si>
    <t>14 February 2025</t>
  </si>
  <si>
    <t>TXN-00148</t>
  </si>
  <si>
    <t>05 August 2025</t>
  </si>
  <si>
    <t>TXN-01394</t>
  </si>
  <si>
    <t>TXN-00284</t>
  </si>
  <si>
    <t>TXN-01241</t>
  </si>
  <si>
    <t>TXN-00144</t>
  </si>
  <si>
    <t>TXN-00859</t>
  </si>
  <si>
    <t>10 October 2025</t>
  </si>
  <si>
    <t>TXN-00650</t>
  </si>
  <si>
    <t>TXN-00744</t>
  </si>
  <si>
    <t>TXN-00846</t>
  </si>
  <si>
    <t>16.11.2025</t>
  </si>
  <si>
    <t>TXN-01331</t>
  </si>
  <si>
    <t>TXN-00502</t>
  </si>
  <si>
    <t>TXN-01415</t>
  </si>
  <si>
    <t>TXN-00955</t>
  </si>
  <si>
    <t>TXN-01012</t>
  </si>
  <si>
    <t>25/01/2025</t>
  </si>
  <si>
    <t>TXN-00256</t>
  </si>
  <si>
    <t>TXN-01084</t>
  </si>
  <si>
    <t>13-Apr-2025</t>
  </si>
  <si>
    <t>TXN-00538</t>
  </si>
  <si>
    <t>14 May 2025</t>
  </si>
  <si>
    <t>TXN-00541</t>
  </si>
  <si>
    <t>2025-03-12</t>
  </si>
  <si>
    <t>TXN-00126</t>
  </si>
  <si>
    <t>TXN-00151</t>
  </si>
  <si>
    <t>TXN-00447</t>
  </si>
  <si>
    <t>17 June 2025</t>
  </si>
  <si>
    <t>TXN-00403</t>
  </si>
  <si>
    <t>TXN-00262</t>
  </si>
  <si>
    <t>TXN-00980</t>
  </si>
  <si>
    <t>TXN-00830</t>
  </si>
  <si>
    <t>2025-11-30</t>
  </si>
  <si>
    <t>TXN-01149</t>
  </si>
  <si>
    <t>04-Mar-2025</t>
  </si>
  <si>
    <t>TXN-00105</t>
  </si>
  <si>
    <t>TXN-01279</t>
  </si>
  <si>
    <t>03-Jun-2025</t>
  </si>
  <si>
    <t>TXN-01174</t>
  </si>
  <si>
    <t>TXN-00769</t>
  </si>
  <si>
    <t>TXN-01088</t>
  </si>
  <si>
    <t>01/27/2025</t>
  </si>
  <si>
    <t>TXN-00396</t>
  </si>
  <si>
    <t>2025-12-13</t>
  </si>
  <si>
    <t>TXN-01342</t>
  </si>
  <si>
    <t>TXN-00287</t>
  </si>
  <si>
    <t>TXN-01049</t>
  </si>
  <si>
    <t>TXN-01139</t>
  </si>
  <si>
    <t>TXN-00097</t>
  </si>
  <si>
    <t>TXN-00474</t>
  </si>
  <si>
    <t>02.04.2025</t>
  </si>
  <si>
    <t>TXN-00180</t>
  </si>
  <si>
    <t>TXN-00286</t>
  </si>
  <si>
    <t>TXN-00168</t>
  </si>
  <si>
    <t>01/11/2025</t>
  </si>
  <si>
    <t>TXN-01054</t>
  </si>
  <si>
    <t>01-Dec-2025</t>
  </si>
  <si>
    <t>TXN-01277</t>
  </si>
  <si>
    <t>20 August 2025</t>
  </si>
  <si>
    <t>TXN-00517</t>
  </si>
  <si>
    <t>10/20/2025</t>
  </si>
  <si>
    <t>TXN-00529</t>
  </si>
  <si>
    <t>01 July 2025</t>
  </si>
  <si>
    <t>TXN-01151</t>
  </si>
  <si>
    <t>14/03/2025</t>
  </si>
  <si>
    <t>TXN-00395</t>
  </si>
  <si>
    <t>2025-08-30</t>
  </si>
  <si>
    <t>TXN-00942</t>
  </si>
  <si>
    <t>TXN-01199</t>
  </si>
  <si>
    <t>27 August 2025</t>
  </si>
  <si>
    <t>TXN-00145</t>
  </si>
  <si>
    <t>23 August 2025</t>
  </si>
  <si>
    <t>TXN-00851</t>
  </si>
  <si>
    <t>TXN-00152</t>
  </si>
  <si>
    <t>TXN-00869</t>
  </si>
  <si>
    <t>TXN-00670</t>
  </si>
  <si>
    <t>2025-08-13</t>
  </si>
  <si>
    <t>TXN-00171</t>
  </si>
  <si>
    <t>TXN-01367</t>
  </si>
  <si>
    <t>23-Apr-2025</t>
  </si>
  <si>
    <t>TXN-00228</t>
  </si>
  <si>
    <t>2025-09-04</t>
  </si>
  <si>
    <t>TXN-00165</t>
  </si>
  <si>
    <t>TXN-01366</t>
  </si>
  <si>
    <t>TXN-00099</t>
  </si>
  <si>
    <t>26 September 2025</t>
  </si>
  <si>
    <t>TXN-00015</t>
  </si>
  <si>
    <t>TXN-00110</t>
  </si>
  <si>
    <t>TXN-00798</t>
  </si>
  <si>
    <t>TXN-00356</t>
  </si>
  <si>
    <t>04/13/2025</t>
  </si>
  <si>
    <t>TXN-01273</t>
  </si>
  <si>
    <t>15-Dec-2025</t>
  </si>
  <si>
    <t>TXN-01480</t>
  </si>
  <si>
    <t>TXN-00113</t>
  </si>
  <si>
    <t>17 January 2025</t>
  </si>
  <si>
    <t>TXN-01329</t>
  </si>
  <si>
    <t>TXN-01238</t>
  </si>
  <si>
    <t>TXN-00259</t>
  </si>
  <si>
    <t>TXN-00660</t>
  </si>
  <si>
    <t>TXN-00742</t>
  </si>
  <si>
    <t>TXN-00310</t>
  </si>
  <si>
    <t>TXN-01195</t>
  </si>
  <si>
    <t>TXN-00815</t>
  </si>
  <si>
    <t>12/09/2025</t>
  </si>
  <si>
    <t>TXN-00810</t>
  </si>
  <si>
    <t>TXN-01108</t>
  </si>
  <si>
    <t>29/05/2025</t>
  </si>
  <si>
    <t>TXN-00203</t>
  </si>
  <si>
    <t>TXN-00974</t>
  </si>
  <si>
    <t>TXN-00271</t>
  </si>
  <si>
    <t>TXN-01479</t>
  </si>
  <si>
    <t>21/05/2025</t>
  </si>
  <si>
    <t>TXN-00514</t>
  </si>
  <si>
    <t>31.05.2025</t>
  </si>
  <si>
    <t>TXN-00487</t>
  </si>
  <si>
    <t>TXN-01228</t>
  </si>
  <si>
    <t>2025-07-06</t>
  </si>
  <si>
    <t>TXN-00473</t>
  </si>
  <si>
    <t>TXN-00011</t>
  </si>
  <si>
    <t>TXN-00996</t>
  </si>
  <si>
    <t>11-Nov-2025</t>
  </si>
  <si>
    <t>TXN-00739</t>
  </si>
  <si>
    <t>06/13/2025</t>
  </si>
  <si>
    <t>TXN-00672</t>
  </si>
  <si>
    <t>TXN-01323</t>
  </si>
  <si>
    <t>TXN-01287</t>
  </si>
  <si>
    <t>TXN-01358</t>
  </si>
  <si>
    <t>28 August 2025</t>
  </si>
  <si>
    <t>TXN-00607</t>
  </si>
  <si>
    <t>04.11.2025</t>
  </si>
  <si>
    <t>TXN-00209</t>
  </si>
  <si>
    <t>TXN-00032</t>
  </si>
  <si>
    <t>TXN-00918</t>
  </si>
  <si>
    <t>2025-07-31</t>
  </si>
  <si>
    <t>TXN-01221</t>
  </si>
  <si>
    <t>TXN-01422</t>
  </si>
  <si>
    <t>TXN-01096</t>
  </si>
  <si>
    <t>25 June 2025</t>
  </si>
  <si>
    <t>TXN-01214</t>
  </si>
  <si>
    <t>08/08/2025</t>
  </si>
  <si>
    <t>TXN-00428</t>
  </si>
  <si>
    <t>TXN-00821</t>
  </si>
  <si>
    <t>18-Jul-2025</t>
  </si>
  <si>
    <t>TXN-00620</t>
  </si>
  <si>
    <t>TXN-01436</t>
  </si>
  <si>
    <t>22/08/2025</t>
  </si>
  <si>
    <t>TXN-00539</t>
  </si>
  <si>
    <t>20/07/2025</t>
  </si>
  <si>
    <t>TXN-00760</t>
  </si>
  <si>
    <t>TXN-00385</t>
  </si>
  <si>
    <t>TXN-01255</t>
  </si>
  <si>
    <t>TXN-01142</t>
  </si>
  <si>
    <t>12.11.2025</t>
  </si>
  <si>
    <t>TXN-01204</t>
  </si>
  <si>
    <t>TXN-01429</t>
  </si>
  <si>
    <t>TXN-00806</t>
  </si>
  <si>
    <t>14 December 2025</t>
  </si>
  <si>
    <t>TXN-00051</t>
  </si>
  <si>
    <t>05/09/2025</t>
  </si>
  <si>
    <t>TXN-00695</t>
  </si>
  <si>
    <t>TXN-00280</t>
  </si>
  <si>
    <t>01/22/2025</t>
  </si>
  <si>
    <t>TXN-00796</t>
  </si>
  <si>
    <t>TXN-00249</t>
  </si>
  <si>
    <t>10/30/2025</t>
  </si>
  <si>
    <t>TXN-00243</t>
  </si>
  <si>
    <t>16 March 2025</t>
  </si>
  <si>
    <t>TXN-00257</t>
  </si>
  <si>
    <t>2025-09-07</t>
  </si>
  <si>
    <t>TXN-01245</t>
  </si>
  <si>
    <t>02.05.2025</t>
  </si>
  <si>
    <t>TXN-00948</t>
  </si>
  <si>
    <t>TXN-00655</t>
  </si>
  <si>
    <t>07.07.2025</t>
  </si>
  <si>
    <t>TXN-00208</t>
  </si>
  <si>
    <t>TXN-01313</t>
  </si>
  <si>
    <t>12.08.2025</t>
  </si>
  <si>
    <t>TXN-01146</t>
  </si>
  <si>
    <t>22-Mar-2025</t>
  </si>
  <si>
    <t>TXN-00746</t>
  </si>
  <si>
    <t>TXN-00749</t>
  </si>
  <si>
    <t>12 April 2025</t>
  </si>
  <si>
    <t>TXN-00013</t>
  </si>
  <si>
    <t>TXN-00882</t>
  </si>
  <si>
    <t>TXN-00069</t>
  </si>
  <si>
    <t>TXN-00902</t>
  </si>
  <si>
    <t>TXN-00800</t>
  </si>
  <si>
    <t>05/06/2025</t>
  </si>
  <si>
    <t>TXN-01248</t>
  </si>
  <si>
    <t>TXN-00987</t>
  </si>
  <si>
    <t>13.08.2025</t>
  </si>
  <si>
    <t>TXN-00255</t>
  </si>
  <si>
    <t>TXN-00412</t>
  </si>
  <si>
    <t>15-Jul-2025</t>
  </si>
  <si>
    <t>TXN-01181</t>
  </si>
  <si>
    <t>TXN-00561</t>
  </si>
  <si>
    <t>TXN-00495</t>
  </si>
  <si>
    <t>28-Feb-2025</t>
  </si>
  <si>
    <t>TXN-00161</t>
  </si>
  <si>
    <t>TXN-00535</t>
  </si>
  <si>
    <t>TXN-00190</t>
  </si>
  <si>
    <t>11 June 2025</t>
  </si>
  <si>
    <t>TXN-00929</t>
  </si>
  <si>
    <t>TXN-01134</t>
  </si>
  <si>
    <t>TXN-00795</t>
  </si>
  <si>
    <t>04-Nov-2025</t>
  </si>
  <si>
    <t>TXN-01350</t>
  </si>
  <si>
    <t>TXN-00982</t>
  </si>
  <si>
    <t>TXN-00315</t>
  </si>
  <si>
    <t>22.05.2025</t>
  </si>
  <si>
    <t>TXN-01274</t>
  </si>
  <si>
    <t>23/02/2025</t>
  </si>
  <si>
    <t>TXN-00499</t>
  </si>
  <si>
    <t>08 March 2025</t>
  </si>
  <si>
    <t>TXN-01355</t>
  </si>
  <si>
    <t>TXN-00675</t>
  </si>
  <si>
    <t>10/01/2025</t>
  </si>
  <si>
    <t>TXN-00771</t>
  </si>
  <si>
    <t>28 April 2025</t>
  </si>
  <si>
    <t>TXN-01078</t>
  </si>
  <si>
    <t>15-Jun-2025</t>
  </si>
  <si>
    <t>TXN-00715</t>
  </si>
  <si>
    <t>2025-07-19</t>
  </si>
  <si>
    <t>TXN-01148</t>
  </si>
  <si>
    <t>TXN-00402</t>
  </si>
  <si>
    <t>24-Dec-2025</t>
  </si>
  <si>
    <t>TXN-00312</t>
  </si>
  <si>
    <t>TXN-01481</t>
  </si>
  <si>
    <t>TXN-01015</t>
  </si>
  <si>
    <t>2025-03-04</t>
  </si>
  <si>
    <t>TXN-01038</t>
  </si>
  <si>
    <t>28-Dec-2025</t>
  </si>
  <si>
    <t>TXN-00560</t>
  </si>
  <si>
    <t>2025-07-04</t>
  </si>
  <si>
    <t>TXN-00317</t>
  </si>
  <si>
    <t>07.12.2025</t>
  </si>
  <si>
    <t>TXN-00876</t>
  </si>
  <si>
    <t>30 July 2025</t>
  </si>
  <si>
    <t>TXN-00622</t>
  </si>
  <si>
    <t>TXN-01164</t>
  </si>
  <si>
    <t>27-Nov-2025</t>
  </si>
  <si>
    <t>TXN-00444</t>
  </si>
  <si>
    <t>19.10.2025</t>
  </si>
  <si>
    <t>TXN-00931</t>
  </si>
  <si>
    <t>TXN-00213</t>
  </si>
  <si>
    <t>11/25/2025</t>
  </si>
  <si>
    <t>TXN-00483</t>
  </si>
  <si>
    <t>TXN-00935</t>
  </si>
  <si>
    <t>08/24/2025</t>
  </si>
  <si>
    <t>TXN-01327</t>
  </si>
  <si>
    <t>24-Jul-2025</t>
  </si>
  <si>
    <t>TXN-00979</t>
  </si>
  <si>
    <t>19-Jun-2025</t>
  </si>
  <si>
    <t>TXN-01257</t>
  </si>
  <si>
    <t>12.06.2025</t>
  </si>
  <si>
    <t xml:space="preserve">   chidera bello   </t>
  </si>
  <si>
    <t>TXN-00229</t>
  </si>
  <si>
    <t>03/18/2025</t>
  </si>
  <si>
    <t>TXN-01470</t>
  </si>
  <si>
    <t>04/20/2025</t>
  </si>
  <si>
    <t>TXN-00791</t>
  </si>
  <si>
    <t>TXN-01474</t>
  </si>
  <si>
    <t>03-Sep-2025</t>
  </si>
  <si>
    <t>TXN-00440</t>
  </si>
  <si>
    <t>06/16/2025</t>
  </si>
  <si>
    <t>TXN-00713</t>
  </si>
  <si>
    <t>TXN-00828</t>
  </si>
  <si>
    <t>TXN-01284</t>
  </si>
  <si>
    <t>TXN-00788</t>
  </si>
  <si>
    <t>2025-05-21</t>
  </si>
  <si>
    <t>TXN-00369</t>
  </si>
  <si>
    <t>TXN-01196</t>
  </si>
  <si>
    <t>26-Dec-2025</t>
  </si>
  <si>
    <t>TXN-01200</t>
  </si>
  <si>
    <t>TXN-01423</t>
  </si>
  <si>
    <t>TXN-01265</t>
  </si>
  <si>
    <t>06/24/2025</t>
  </si>
  <si>
    <t>TXN-00638</t>
  </si>
  <si>
    <t>TXN-00114</t>
  </si>
  <si>
    <t>TXN-00003</t>
  </si>
  <si>
    <t>TXN-00500</t>
  </si>
  <si>
    <t>TXN-00738</t>
  </si>
  <si>
    <t>09-May-2025</t>
  </si>
  <si>
    <t xml:space="preserve">   PETER ADEKUNLE   </t>
  </si>
  <si>
    <t>TXN-00480</t>
  </si>
  <si>
    <t xml:space="preserve">  ADE ABUBAKAR   </t>
  </si>
  <si>
    <t>TXN-01489</t>
  </si>
  <si>
    <t>TXN-00433</t>
  </si>
  <si>
    <t>TXN-00055</t>
  </si>
  <si>
    <t>2025-11-09</t>
  </si>
  <si>
    <t>TXN-01393</t>
  </si>
  <si>
    <t>TXN-00984</t>
  </si>
  <si>
    <t>26/11/2025</t>
  </si>
  <si>
    <t>TXN-00224</t>
  </si>
  <si>
    <t>TXN-01163</t>
  </si>
  <si>
    <t>2025-12-25</t>
  </si>
  <si>
    <t>TXN-00469</t>
  </si>
  <si>
    <t>TXN-00332</t>
  </si>
  <si>
    <t>TXN-00767</t>
  </si>
  <si>
    <t>TXN-00702</t>
  </si>
  <si>
    <t>TXN-01437</t>
  </si>
  <si>
    <t>TXN-00834</t>
  </si>
  <si>
    <t>20 May 2025</t>
  </si>
  <si>
    <t>Column</t>
  </si>
  <si>
    <t>Description</t>
  </si>
  <si>
    <t>Unique identifier for each sales transaction</t>
  </si>
  <si>
    <t>Date the transaction occurred (formats are inconsistent — needs cleaning)</t>
  </si>
  <si>
    <t>GreenLeaf Retail branch/store location</t>
  </si>
  <si>
    <t>Geopolitical region the branch belongs to</t>
  </si>
  <si>
    <t>Category of the product sold</t>
  </si>
  <si>
    <t>Specific product sold</t>
  </si>
  <si>
    <t>Number of units sold in the transaction</t>
  </si>
  <si>
    <t>Price per unit in Naira</t>
  </si>
  <si>
    <t>Discount applied to the transaction, if any</t>
  </si>
  <si>
    <t>Total value of the transaction after discount</t>
  </si>
  <si>
    <t>How the customer paid</t>
  </si>
  <si>
    <t>Staff member who processed the sale</t>
  </si>
  <si>
    <t>Whether the customer is new or returning</t>
  </si>
  <si>
    <t>Gross Sales (NGN)</t>
  </si>
  <si>
    <t>Discount Amount(NGN)</t>
  </si>
  <si>
    <t>Row Labels</t>
  </si>
  <si>
    <t>Grand Total</t>
  </si>
  <si>
    <t>Sum of Total Sales (NGN)</t>
  </si>
  <si>
    <t>Objective 1</t>
  </si>
  <si>
    <t>Objective 2</t>
  </si>
  <si>
    <t>Objective 3</t>
  </si>
  <si>
    <t>KPIs</t>
  </si>
  <si>
    <t>Total_Sales (NGN)</t>
  </si>
  <si>
    <t>Total Discount (NGN)</t>
  </si>
  <si>
    <t>Total Discount (%)</t>
  </si>
  <si>
    <t>Total Quantity Sold</t>
  </si>
  <si>
    <t>Total Transactions</t>
  </si>
  <si>
    <t>CHARTS</t>
  </si>
  <si>
    <t>Total Sales by Branch</t>
  </si>
  <si>
    <t>Discount  by Branch</t>
  </si>
  <si>
    <t>Discount(NGN)</t>
  </si>
  <si>
    <t>Sales by Category</t>
  </si>
  <si>
    <t>Monthly Sales Trend</t>
  </si>
  <si>
    <t>Month</t>
  </si>
  <si>
    <t>Year</t>
  </si>
  <si>
    <t>October</t>
  </si>
  <si>
    <t>January</t>
  </si>
  <si>
    <t>June</t>
  </si>
  <si>
    <t>September</t>
  </si>
  <si>
    <t>November</t>
  </si>
  <si>
    <t>April</t>
  </si>
  <si>
    <t>July</t>
  </si>
  <si>
    <t>August</t>
  </si>
  <si>
    <t>March</t>
  </si>
  <si>
    <t>February</t>
  </si>
  <si>
    <t>December</t>
  </si>
  <si>
    <t>May</t>
  </si>
  <si>
    <t>Count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</si>
</sst>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46A]* #,##0_-;\-[$₦-46A]* #,##0_-;_-[$₦-46A]* &quot;-&quot;??_-;_-@_-"/>
    <numFmt numFmtId="165" formatCode="_(* #,##0_);_(* \(#,##0\);_(* &quot;-&quot;??_);_(@_)"/>
    <numFmt numFmtId="166" formatCode="_-[$₦-46A]* #,##0.00_-;\-[$₦-46A]* #,##0.00_-;_-[$₦-46A]* &quot;-&quot;??_-;_-@_-"/>
  </numFmts>
  <fonts count="8" x14ac:knownFonts="1">
    <font>
      <sz val="11"/>
      <color theme="1"/>
      <name val="Calibri"/>
      <family val="2"/>
      <charset val="1"/>
    </font>
    <font>
      <b/>
      <sz val="11"/>
      <color rgb="FFFFFFFF"/>
      <name val="Arial"/>
      <family val="2"/>
    </font>
    <font>
      <sz val="10"/>
      <name val="Arial"/>
      <family val="2"/>
    </font>
    <font>
      <b/>
      <sz val="11"/>
      <color theme="1"/>
      <name val="Calibri"/>
      <family val="2"/>
    </font>
    <font>
      <b/>
      <sz val="14"/>
      <color theme="1"/>
      <name val="Calibri"/>
      <family val="2"/>
    </font>
    <font>
      <b/>
      <sz val="18"/>
      <color theme="1"/>
      <name val="Calibri"/>
      <family val="2"/>
    </font>
    <font>
      <b/>
      <sz val="20"/>
      <color theme="1"/>
      <name val="Calibri"/>
      <family val="2"/>
    </font>
    <font>
      <sz val="11"/>
      <color theme="1"/>
      <name val="Calibri"/>
      <family val="2"/>
      <charset val="1"/>
    </font>
  </fonts>
  <fills count="5">
    <fill>
      <patternFill patternType="none"/>
    </fill>
    <fill>
      <patternFill patternType="gray125"/>
    </fill>
    <fill>
      <patternFill patternType="solid">
        <fgColor rgb="FF2E5E4E"/>
        <bgColor rgb="FF008080"/>
      </patternFill>
    </fill>
    <fill>
      <patternFill patternType="solid">
        <fgColor theme="4" tint="0.79998168889431442"/>
        <bgColor indexed="64"/>
      </patternFill>
    </fill>
    <fill>
      <patternFill patternType="solid">
        <fgColor rgb="FFE5E7E9"/>
        <bgColor indexed="64"/>
      </patternFill>
    </fill>
  </fills>
  <borders count="1">
    <border>
      <left/>
      <right/>
      <top/>
      <bottom/>
      <diagonal/>
    </border>
  </borders>
  <cellStyleXfs count="2">
    <xf numFmtId="0" fontId="0" fillId="0" borderId="0"/>
    <xf numFmtId="43" fontId="7" fillId="0" borderId="0" applyFont="0" applyFill="0" applyBorder="0" applyAlignment="0" applyProtection="0"/>
  </cellStyleXfs>
  <cellXfs count="26">
    <xf numFmtId="0" fontId="0" fillId="0" borderId="0" xfId="0"/>
    <xf numFmtId="0" fontId="1" fillId="2" borderId="0" xfId="0" applyFont="1" applyFill="1" applyAlignment="1">
      <alignment horizontal="center" vertical="center"/>
    </xf>
    <xf numFmtId="0" fontId="2" fillId="0" borderId="0" xfId="0" applyFont="1"/>
    <xf numFmtId="0" fontId="1" fillId="2" borderId="0" xfId="0" applyFont="1" applyFill="1"/>
    <xf numFmtId="49" fontId="1" fillId="2" borderId="0" xfId="0" applyNumberFormat="1" applyFont="1" applyFill="1" applyAlignment="1">
      <alignment horizontal="center" vertical="center"/>
    </xf>
    <xf numFmtId="49" fontId="2" fillId="0" borderId="0" xfId="0" applyNumberFormat="1" applyFont="1"/>
    <xf numFmtId="49" fontId="0" fillId="0" borderId="0" xfId="0" applyNumberFormat="1"/>
    <xf numFmtId="14" fontId="2" fillId="0" borderId="0" xfId="0" applyNumberFormat="1" applyFont="1"/>
    <xf numFmtId="2" fontId="2" fillId="0" borderId="0" xfId="0" applyNumberFormat="1" applyFon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0" fontId="0" fillId="0" borderId="0" xfId="0" applyNumberFormat="1"/>
    <xf numFmtId="0" fontId="3" fillId="0" borderId="0" xfId="0" applyFont="1"/>
    <xf numFmtId="0" fontId="4" fillId="0" borderId="0" xfId="0" applyFont="1"/>
    <xf numFmtId="9" fontId="0" fillId="0" borderId="0" xfId="0" applyNumberFormat="1"/>
    <xf numFmtId="165" fontId="0" fillId="0" borderId="0" xfId="0" applyNumberFormat="1"/>
    <xf numFmtId="0" fontId="3" fillId="0" borderId="0" xfId="0" applyFont="1" applyAlignment="1">
      <alignment horizontal="left"/>
    </xf>
    <xf numFmtId="0" fontId="0" fillId="4" borderId="0" xfId="0" applyFill="1"/>
    <xf numFmtId="166" fontId="0" fillId="0" borderId="0" xfId="0" applyNumberFormat="1"/>
    <xf numFmtId="0" fontId="0" fillId="0" borderId="0" xfId="0" applyAlignment="1">
      <alignment horizontal="left" indent="1"/>
    </xf>
    <xf numFmtId="165" fontId="0" fillId="3" borderId="0" xfId="1" applyNumberFormat="1" applyFont="1" applyFill="1"/>
    <xf numFmtId="0" fontId="5" fillId="0" borderId="0" xfId="0" applyFont="1" applyAlignment="1">
      <alignment horizontal="center"/>
    </xf>
    <xf numFmtId="0" fontId="6" fillId="0" borderId="0" xfId="0" applyFont="1" applyAlignment="1">
      <alignment horizontal="center"/>
    </xf>
    <xf numFmtId="43" fontId="2" fillId="0" borderId="0" xfId="1" applyFont="1"/>
  </cellXfs>
  <cellStyles count="2">
    <cellStyle name="Comma" xfId="1" builtinId="3"/>
    <cellStyle name="Normal" xfId="0" builtinId="0"/>
  </cellStyles>
  <dxfs count="180">
    <dxf>
      <numFmt numFmtId="164" formatCode="_-[$₦-46A]* #,##0_-;\-[$₦-46A]* #,##0_-;_-[$₦-46A]* &quot;-&quot;??_-;_-@_-"/>
    </dxf>
    <dxf>
      <numFmt numFmtId="165" formatCode="_(* #,##0_);_(* \(#,##0\);_(* &quot;-&quot;??_);_(@_)"/>
    </dxf>
    <dxf>
      <numFmt numFmtId="166" formatCode="_-[$₦-46A]* #,##0.00_-;\-[$₦-46A]* #,##0.00_-;_-[$₦-46A]* &quot;-&quot;??_-;_-@_-"/>
    </dxf>
    <dxf>
      <numFmt numFmtId="164" formatCode="_-[$₦-46A]* #,##0_-;\-[$₦-46A]* #,##0_-;_-[$₦-46A]* &quot;-&quot;??_-;_-@_-"/>
    </dxf>
    <dxf>
      <numFmt numFmtId="164" formatCode="_-[$₦-46A]* #,##0_-;\-[$₦-46A]* #,##0_-;_-[$₦-46A]* &quot;-&quot;??_-;_-@_-"/>
    </dxf>
    <dxf>
      <numFmt numFmtId="164" formatCode="_-[$₦-46A]* #,##0_-;\-[$₦-46A]* #,##0_-;_-[$₦-46A]* &quot;-&quot;??_-;_-@_-"/>
    </dxf>
    <dxf>
      <numFmt numFmtId="1" formatCode="0"/>
    </dxf>
    <dxf>
      <numFmt numFmtId="1" formatCode="0"/>
    </dxf>
    <dxf>
      <numFmt numFmtId="165" formatCode="_(* #,##0_);_(* \(#,##0\);_(* &quot;-&quot;??_);_(@_)"/>
    </dxf>
    <dxf>
      <numFmt numFmtId="164" formatCode="_-[$₦-46A]* #,##0_-;\-[$₦-46A]* #,##0_-;_-[$₦-46A]* &quot;-&quot;??_-;_-@_-"/>
    </dxf>
    <dxf>
      <numFmt numFmtId="1" formatCode="0"/>
    </dxf>
    <dxf>
      <numFmt numFmtId="1" formatCode="0"/>
    </dxf>
    <dxf>
      <numFmt numFmtId="165" formatCode="_(* #,##0_);_(* \(#,##0\);_(* &quot;-&quot;??_);_(@_)"/>
    </dxf>
    <dxf>
      <numFmt numFmtId="1" formatCode="0"/>
    </dxf>
    <dxf>
      <numFmt numFmtId="1" formatCode="0"/>
    </dxf>
    <dxf>
      <numFmt numFmtId="165" formatCode="_(* #,##0_);_(* \(#,##0\);_(* &quot;-&quot;??_);_(@_)"/>
    </dxf>
    <dxf>
      <numFmt numFmtId="13" formatCode="0%"/>
    </dxf>
    <dxf>
      <numFmt numFmtId="13" formatCode="0%"/>
    </dxf>
    <dxf>
      <numFmt numFmtId="13" formatCode="0%"/>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64" formatCode="_-[$₦-46A]* #,##0_-;\-[$₦-46A]* #,##0_-;_-[$₦-46A]* &quot;-&quot;??_-;_-@_-"/>
    </dxf>
    <dxf>
      <numFmt numFmtId="165" formatCode="_(* #,##0_);_(* \(#,##0\);_(* &quot;-&quot;??_);_(@_)"/>
    </dxf>
    <dxf>
      <numFmt numFmtId="166" formatCode="_-[$₦-46A]* #,##0.00_-;\-[$₦-46A]* #,##0.00_-;_-[$₦-46A]* &quot;-&quot;??_-;_-@_-"/>
    </dxf>
    <dxf>
      <numFmt numFmtId="164" formatCode="_-[$₦-46A]* #,##0_-;\-[$₦-46A]* #,##0_-;_-[$₦-46A]* &quot;-&quot;??_-;_-@_-"/>
    </dxf>
    <dxf>
      <numFmt numFmtId="164" formatCode="_-[$₦-46A]* #,##0_-;\-[$₦-46A]* #,##0_-;_-[$₦-46A]* &quot;-&quot;??_-;_-@_-"/>
    </dxf>
    <dxf>
      <numFmt numFmtId="164" formatCode="_-[$₦-46A]* #,##0_-;\-[$₦-46A]* #,##0_-;_-[$₦-46A]* &quot;-&quot;??_-;_-@_-"/>
    </dxf>
    <dxf>
      <numFmt numFmtId="1" formatCode="0"/>
    </dxf>
    <dxf>
      <numFmt numFmtId="1" formatCode="0"/>
    </dxf>
    <dxf>
      <numFmt numFmtId="165" formatCode="_(* #,##0_);_(* \(#,##0\);_(* &quot;-&quot;??_);_(@_)"/>
    </dxf>
    <dxf>
      <numFmt numFmtId="164" formatCode="_-[$₦-46A]* #,##0_-;\-[$₦-46A]* #,##0_-;_-[$₦-46A]* &quot;-&quot;??_-;_-@_-"/>
    </dxf>
    <dxf>
      <numFmt numFmtId="1" formatCode="0"/>
    </dxf>
    <dxf>
      <numFmt numFmtId="1" formatCode="0"/>
    </dxf>
    <dxf>
      <numFmt numFmtId="165" formatCode="_(* #,##0_);_(* \(#,##0\);_(* &quot;-&quot;??_);_(@_)"/>
    </dxf>
    <dxf>
      <numFmt numFmtId="1" formatCode="0"/>
    </dxf>
    <dxf>
      <numFmt numFmtId="1" formatCode="0"/>
    </dxf>
    <dxf>
      <numFmt numFmtId="165" formatCode="_(* #,##0_);_(* \(#,##0\);_(* &quot;-&quot;??_);_(@_)"/>
    </dxf>
    <dxf>
      <numFmt numFmtId="13" formatCode="0%"/>
    </dxf>
    <dxf>
      <numFmt numFmtId="13" formatCode="0%"/>
    </dxf>
    <dxf>
      <numFmt numFmtId="13" formatCode="0%"/>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 formatCode="0"/>
    </dxf>
    <dxf>
      <numFmt numFmtId="1" formatCode="0"/>
    </dxf>
    <dxf>
      <numFmt numFmtId="165" formatCode="_(* #,##0_);_(* \(#,##0\);_(* &quot;-&quot;??_);_(@_)"/>
    </dxf>
    <dxf>
      <numFmt numFmtId="1" formatCode="0"/>
    </dxf>
    <dxf>
      <numFmt numFmtId="1" formatCode="0"/>
    </dxf>
    <dxf>
      <numFmt numFmtId="165" formatCode="_(* #,##0_);_(* \(#,##0\);_(* &quot;-&quot;??_);_(@_)"/>
    </dxf>
    <dxf>
      <numFmt numFmtId="164" formatCode="_-[$₦-46A]* #,##0_-;\-[$₦-46A]* #,##0_-;_-[$₦-46A]* &quot;-&quot;??_-;_-@_-"/>
    </dxf>
    <dxf>
      <numFmt numFmtId="165" formatCode="_(* #,##0_);_(* \(#,##0\);_(* &quot;-&quot;??_);_(@_)"/>
    </dxf>
    <dxf>
      <numFmt numFmtId="166" formatCode="_-[$₦-46A]* #,##0.00_-;\-[$₦-46A]* #,##0.00_-;_-[$₦-46A]* &quot;-&quot;??_-;_-@_-"/>
    </dxf>
    <dxf>
      <numFmt numFmtId="164" formatCode="_-[$₦-46A]* #,##0_-;\-[$₦-46A]* #,##0_-;_-[$₦-46A]* &quot;-&quot;??_-;_-@_-"/>
    </dxf>
    <dxf>
      <numFmt numFmtId="164" formatCode="_-[$₦-46A]* #,##0_-;\-[$₦-46A]* #,##0_-;_-[$₦-46A]* &quot;-&quot;??_-;_-@_-"/>
    </dxf>
    <dxf>
      <numFmt numFmtId="164" formatCode="_-[$₦-46A]* #,##0_-;\-[$₦-46A]* #,##0_-;_-[$₦-46A]* &quot;-&quot;??_-;_-@_-"/>
    </dxf>
    <dxf>
      <numFmt numFmtId="1" formatCode="0"/>
    </dxf>
    <dxf>
      <numFmt numFmtId="1" formatCode="0"/>
    </dxf>
    <dxf>
      <numFmt numFmtId="165" formatCode="_(* #,##0_);_(* \(#,##0\);_(* &quot;-&quot;??_);_(@_)"/>
    </dxf>
    <dxf>
      <numFmt numFmtId="164" formatCode="_-[$₦-46A]* #,##0_-;\-[$₦-46A]* #,##0_-;_-[$₦-46A]* &quot;-&quot;??_-;_-@_-"/>
    </dxf>
    <dxf>
      <numFmt numFmtId="1" formatCode="0"/>
    </dxf>
    <dxf>
      <numFmt numFmtId="1" formatCode="0"/>
    </dxf>
    <dxf>
      <numFmt numFmtId="165" formatCode="_(* #,##0_);_(* \(#,##0\);_(* &quot;-&quot;??_);_(@_)"/>
    </dxf>
    <dxf>
      <numFmt numFmtId="1" formatCode="0"/>
    </dxf>
    <dxf>
      <numFmt numFmtId="1" formatCode="0"/>
    </dxf>
    <dxf>
      <numFmt numFmtId="165" formatCode="_(* #,##0_);_(* \(#,##0\);_(* &quot;-&quot;??_);_(@_)"/>
    </dxf>
    <dxf>
      <numFmt numFmtId="13" formatCode="0%"/>
    </dxf>
    <dxf>
      <numFmt numFmtId="13" formatCode="0%"/>
    </dxf>
    <dxf>
      <numFmt numFmtId="13" formatCode="0%"/>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67" formatCode="0.0%"/>
    </dxf>
    <dxf>
      <numFmt numFmtId="13" formatCode="0%"/>
    </dxf>
    <dxf>
      <numFmt numFmtId="13" formatCode="0%"/>
    </dxf>
    <dxf>
      <numFmt numFmtId="13" formatCode="0%"/>
    </dxf>
    <dxf>
      <numFmt numFmtId="167" formatCode="0.0%"/>
    </dxf>
    <dxf>
      <numFmt numFmtId="14" formatCode="0.00%"/>
    </dxf>
    <dxf>
      <numFmt numFmtId="13" formatCode="0%"/>
    </dxf>
    <dxf>
      <numFmt numFmtId="13" formatCode="0%"/>
    </dxf>
    <dxf>
      <numFmt numFmtId="14" formatCode="0.00%"/>
    </dxf>
    <dxf>
      <numFmt numFmtId="167" formatCode="0.0%"/>
    </dxf>
    <dxf>
      <numFmt numFmtId="13" formatCode="0%"/>
    </dxf>
    <dxf>
      <numFmt numFmtId="13" formatCode="0%"/>
    </dxf>
    <dxf>
      <numFmt numFmtId="167" formatCode="0.0%"/>
    </dxf>
    <dxf>
      <numFmt numFmtId="13" formatCode="0%"/>
    </dxf>
    <dxf>
      <numFmt numFmtId="13" formatCode="0%"/>
    </dxf>
    <dxf>
      <numFmt numFmtId="13" formatCode="0%"/>
    </dxf>
    <dxf>
      <numFmt numFmtId="13" formatCode="0%"/>
    </dxf>
    <dxf>
      <fill>
        <patternFill>
          <bgColor rgb="FFC00000"/>
        </patternFill>
      </fill>
    </dxf>
    <dxf>
      <numFmt numFmtId="13" formatCode="0%"/>
    </dxf>
    <dxf>
      <numFmt numFmtId="13" formatCode="0%"/>
    </dxf>
    <dxf>
      <numFmt numFmtId="165" formatCode="_(* #,##0_);_(* \(#,##0\);_(* &quot;-&quot;??_);_(@_)"/>
    </dxf>
    <dxf>
      <numFmt numFmtId="1" formatCode="0"/>
    </dxf>
    <dxf>
      <numFmt numFmtId="1" formatCode="0"/>
    </dxf>
    <dxf>
      <numFmt numFmtId="165" formatCode="_(* #,##0_);_(* \(#,##0\);_(* &quot;-&quot;??_);_(@_)"/>
    </dxf>
    <dxf>
      <numFmt numFmtId="1" formatCode="0"/>
    </dxf>
    <dxf>
      <numFmt numFmtId="1" formatCode="0"/>
    </dxf>
    <dxf>
      <numFmt numFmtId="164" formatCode="_-[$₦-46A]* #,##0_-;\-[$₦-46A]* #,##0_-;_-[$₦-46A]* &quot;-&quot;??_-;_-@_-"/>
    </dxf>
    <dxf>
      <numFmt numFmtId="165" formatCode="_(* #,##0_);_(* \(#,##0\);_(* &quot;-&quot;??_);_(@_)"/>
    </dxf>
    <dxf>
      <numFmt numFmtId="1" formatCode="0"/>
    </dxf>
    <dxf>
      <numFmt numFmtId="1" formatCode="0"/>
    </dxf>
    <dxf>
      <numFmt numFmtId="164" formatCode="_-[$₦-46A]* #,##0_-;\-[$₦-46A]* #,##0_-;_-[$₦-46A]* &quot;-&quot;??_-;_-@_-"/>
    </dxf>
    <dxf>
      <numFmt numFmtId="164" formatCode="_-[$₦-46A]* #,##0_-;\-[$₦-46A]* #,##0_-;_-[$₦-46A]* &quot;-&quot;??_-;_-@_-"/>
    </dxf>
    <dxf>
      <numFmt numFmtId="164" formatCode="_-[$₦-46A]* #,##0_-;\-[$₦-46A]* #,##0_-;_-[$₦-46A]* &quot;-&quot;??_-;_-@_-"/>
    </dxf>
    <dxf>
      <numFmt numFmtId="166" formatCode="_-[$₦-46A]* #,##0.00_-;\-[$₦-46A]* #,##0.00_-;_-[$₦-46A]* &quot;-&quot;??_-;_-@_-"/>
    </dxf>
    <dxf>
      <numFmt numFmtId="165" formatCode="_(* #,##0_);_(* \(#,##0\);_(* &quot;-&quot;??_);_(@_)"/>
    </dxf>
    <dxf>
      <numFmt numFmtId="164" formatCode="_-[$₦-46A]* #,##0_-;\-[$₦-46A]* #,##0_-;_-[$₦-46A]* &quot;-&quot;??_-;_-@_-"/>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64" formatCode="_-[$₦-46A]* #,##0_-;\-[$₦-46A]* #,##0_-;_-[$₦-46A]* &quot;-&quot;??_-;_-@_-"/>
    </dxf>
    <dxf>
      <numFmt numFmtId="14" formatCode="0.00%"/>
    </dxf>
    <dxf>
      <numFmt numFmtId="164" formatCode="_-[$₦-46A]* #,##0_-;\-[$₦-46A]* #,##0_-;_-[$₦-46A]* &quot;-&quot;??_-;_-@_-"/>
    </dxf>
    <dxf>
      <numFmt numFmtId="164" formatCode="_-[$₦-46A]* #,##0_-;\-[$₦-46A]* #,##0_-;_-[$₦-46A]* &quot;-&quot;??_-;_-@_-"/>
    </dxf>
    <dxf>
      <font>
        <b/>
        <i val="0"/>
        <sz val="9"/>
        <color theme="0"/>
        <name val="Times New Roman"/>
        <family val="1"/>
        <scheme val="none"/>
      </font>
      <fill>
        <patternFill patternType="solid">
          <fgColor theme="0"/>
          <bgColor rgb="FF195E3E"/>
        </patternFill>
      </fill>
      <border diagonalUp="0" diagonalDown="0">
        <left style="medium">
          <color theme="0"/>
        </left>
        <right style="medium">
          <color theme="0"/>
        </right>
        <top style="medium">
          <color theme="0"/>
        </top>
        <bottom style="medium">
          <color theme="0"/>
        </bottom>
        <vertical/>
        <horizontal/>
      </border>
    </dxf>
  </dxfs>
  <tableStyles count="1" defaultTableStyle="TableStyleMedium2" defaultPivotStyle="PivotStyleLight16">
    <tableStyle name="Custom 1" pivot="0" table="0" count="3" xr9:uid="{6DB62757-8107-41BE-9CB3-ECC1D19560C4}">
      <tableStyleElement type="wholeTable" dxfId="179"/>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E5E4E"/>
      <rgbColor rgb="00003366"/>
      <rgbColor rgb="00339966"/>
      <rgbColor rgb="00003300"/>
      <rgbColor rgb="00333300"/>
      <rgbColor rgb="00993300"/>
      <rgbColor rgb="00993366"/>
      <rgbColor rgb="00333399"/>
      <rgbColor rgb="00333333"/>
    </indexedColors>
    <mruColors>
      <color rgb="FF5FBD92"/>
      <color rgb="FFE6FFF7"/>
      <color rgb="FF227D53"/>
      <color rgb="FF13452D"/>
      <color rgb="FF286248"/>
      <color rgb="FF195E3E"/>
      <color rgb="FFFDFFFF"/>
      <color rgb="FFF7F7F7"/>
      <color rgb="FF539734"/>
      <color rgb="FF001904"/>
    </mruColors>
  </colors>
  <extLst>
    <ext xmlns:x14="http://schemas.microsoft.com/office/spreadsheetml/2009/9/main" uri="{46F421CA-312F-682f-3DD2-61675219B42D}">
      <x14:dxfs count="2">
        <dxf>
          <fill>
            <patternFill>
              <bgColor rgb="FF5FBD92"/>
            </patternFill>
          </fill>
        </dxf>
        <dxf>
          <fill>
            <patternFill>
              <bgColor rgb="FF539734"/>
            </patternFill>
          </fill>
        </dxf>
      </x14:dxfs>
    </ext>
    <ext xmlns:x14="http://schemas.microsoft.com/office/spreadsheetml/2009/9/main" uri="{EB79DEF2-80B8-43e5-95BD-54CBDDF9020C}">
      <x14:slicerStyles defaultSlicerStyle="SlicerStyleLight1">
        <x14:slicerStyle name="Custom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[GreenLeaf_Retail_Sales_Dataset.xlsx]KPIs &amp; Charts!PivotTable15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27D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Charts'!$B$11</c:f>
              <c:strCache>
                <c:ptCount val="1"/>
                <c:pt idx="0">
                  <c:v>Total</c:v>
                </c:pt>
              </c:strCache>
            </c:strRef>
          </c:tx>
          <c:spPr>
            <a:solidFill>
              <a:srgbClr val="227D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Charts'!$A$12:$A$19</c:f>
              <c:strCache>
                <c:ptCount val="7"/>
                <c:pt idx="0">
                  <c:v>Kano</c:v>
                </c:pt>
                <c:pt idx="1">
                  <c:v>Lagos</c:v>
                </c:pt>
                <c:pt idx="2">
                  <c:v>Enugu</c:v>
                </c:pt>
                <c:pt idx="3">
                  <c:v>Ibadan</c:v>
                </c:pt>
                <c:pt idx="4">
                  <c:v>Port Harcourt</c:v>
                </c:pt>
                <c:pt idx="5">
                  <c:v>Benin City</c:v>
                </c:pt>
                <c:pt idx="6">
                  <c:v>Abuja</c:v>
                </c:pt>
              </c:strCache>
            </c:strRef>
          </c:cat>
          <c:val>
            <c:numRef>
              <c:f>'KPIs &amp; Charts'!$B$12:$B$19</c:f>
              <c:numCache>
                <c:formatCode>_-[$₦-46A]* #,##0_-;\-[$₦-46A]* #,##0_-;_-[$₦-46A]* "-"??_-;_-@_-</c:formatCode>
                <c:ptCount val="7"/>
                <c:pt idx="0">
                  <c:v>29384778</c:v>
                </c:pt>
                <c:pt idx="1">
                  <c:v>22191207</c:v>
                </c:pt>
                <c:pt idx="2">
                  <c:v>21541970</c:v>
                </c:pt>
                <c:pt idx="3">
                  <c:v>21524754</c:v>
                </c:pt>
                <c:pt idx="4">
                  <c:v>20157898.5</c:v>
                </c:pt>
                <c:pt idx="5">
                  <c:v>19102531.5</c:v>
                </c:pt>
                <c:pt idx="6">
                  <c:v>18686261.5</c:v>
                </c:pt>
              </c:numCache>
            </c:numRef>
          </c:val>
          <c:extLst>
            <c:ext xmlns:c16="http://schemas.microsoft.com/office/drawing/2014/chart" uri="{C3380CC4-5D6E-409C-BE32-E72D297353CC}">
              <c16:uniqueId val="{00000000-3C77-4F31-8488-2490B0EBF25F}"/>
            </c:ext>
          </c:extLst>
        </c:ser>
        <c:dLbls>
          <c:dLblPos val="outEnd"/>
          <c:showLegendKey val="0"/>
          <c:showVal val="1"/>
          <c:showCatName val="0"/>
          <c:showSerName val="0"/>
          <c:showPercent val="0"/>
          <c:showBubbleSize val="0"/>
        </c:dLbls>
        <c:gapWidth val="182"/>
        <c:axId val="218670288"/>
        <c:axId val="218657808"/>
      </c:barChart>
      <c:catAx>
        <c:axId val="2186702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Branches</a:t>
                </a:r>
                <a:endParaRPr lang="en-NG"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crossAx val="218657808"/>
        <c:crosses val="autoZero"/>
        <c:auto val="1"/>
        <c:lblAlgn val="ctr"/>
        <c:lblOffset val="100"/>
        <c:noMultiLvlLbl val="0"/>
      </c:catAx>
      <c:valAx>
        <c:axId val="218657808"/>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Sales</a:t>
                </a:r>
                <a:endParaRPr lang="en-NG"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46A]* #,##0_-;\-[$₦-46A]* #,##0_-;_-[$₦-46A]* &quot;-&quot;??_-;_-@_-" sourceLinked="1"/>
        <c:majorTickMark val="out"/>
        <c:minorTickMark val="none"/>
        <c:tickLblPos val="nextTo"/>
        <c:crossAx val="21867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[GreenLeaf_Retail_Sales_Dataset.xlsx]KPIs &amp; Charts!PivotTable16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27D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22528433945757"/>
          <c:y val="5.5555555555555552E-2"/>
          <c:w val="0.71977471566054241"/>
          <c:h val="0.83101851851851849"/>
        </c:manualLayout>
      </c:layout>
      <c:barChart>
        <c:barDir val="bar"/>
        <c:grouping val="stacked"/>
        <c:varyColors val="0"/>
        <c:ser>
          <c:idx val="0"/>
          <c:order val="0"/>
          <c:tx>
            <c:strRef>
              <c:f>'KPIs &amp; Charts'!$F$11</c:f>
              <c:strCache>
                <c:ptCount val="1"/>
                <c:pt idx="0">
                  <c:v>Total</c:v>
                </c:pt>
              </c:strCache>
            </c:strRef>
          </c:tx>
          <c:spPr>
            <a:solidFill>
              <a:srgbClr val="227D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Charts'!$E$12:$E$19</c:f>
              <c:strCache>
                <c:ptCount val="7"/>
                <c:pt idx="0">
                  <c:v>Kano</c:v>
                </c:pt>
                <c:pt idx="1">
                  <c:v>Enugu</c:v>
                </c:pt>
                <c:pt idx="2">
                  <c:v>Port Harcourt</c:v>
                </c:pt>
                <c:pt idx="3">
                  <c:v>Benin City</c:v>
                </c:pt>
                <c:pt idx="4">
                  <c:v>Abuja</c:v>
                </c:pt>
                <c:pt idx="5">
                  <c:v>Lagos</c:v>
                </c:pt>
                <c:pt idx="6">
                  <c:v>Ibadan</c:v>
                </c:pt>
              </c:strCache>
            </c:strRef>
          </c:cat>
          <c:val>
            <c:numRef>
              <c:f>'KPIs &amp; Charts'!$F$12:$F$19</c:f>
              <c:numCache>
                <c:formatCode>_-[$₦-46A]* #,##0.00_-;\-[$₦-46A]* #,##0.00_-;_-[$₦-46A]* "-"??_-;_-@_-</c:formatCode>
                <c:ptCount val="7"/>
                <c:pt idx="0">
                  <c:v>1067799.6470588236</c:v>
                </c:pt>
                <c:pt idx="1">
                  <c:v>1062210</c:v>
                </c:pt>
                <c:pt idx="2">
                  <c:v>988691.5</c:v>
                </c:pt>
                <c:pt idx="3">
                  <c:v>840820.8529411765</c:v>
                </c:pt>
                <c:pt idx="4">
                  <c:v>750138.5</c:v>
                </c:pt>
                <c:pt idx="5">
                  <c:v>693767</c:v>
                </c:pt>
                <c:pt idx="6">
                  <c:v>495546</c:v>
                </c:pt>
              </c:numCache>
            </c:numRef>
          </c:val>
          <c:extLst>
            <c:ext xmlns:c16="http://schemas.microsoft.com/office/drawing/2014/chart" uri="{C3380CC4-5D6E-409C-BE32-E72D297353CC}">
              <c16:uniqueId val="{00000000-0FE9-4C7E-9564-53E0758AAE56}"/>
            </c:ext>
          </c:extLst>
        </c:ser>
        <c:dLbls>
          <c:dLblPos val="inBase"/>
          <c:showLegendKey val="0"/>
          <c:showVal val="1"/>
          <c:showCatName val="0"/>
          <c:showSerName val="0"/>
          <c:showPercent val="0"/>
          <c:showBubbleSize val="0"/>
        </c:dLbls>
        <c:gapWidth val="150"/>
        <c:overlap val="100"/>
        <c:axId val="216906800"/>
        <c:axId val="216919760"/>
      </c:barChart>
      <c:catAx>
        <c:axId val="21690680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Branch</a:t>
                </a:r>
                <a:endParaRPr lang="en-NG"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2.7777777777777776E-2"/>
              <c:y val="0.386677967337416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crossAx val="216919760"/>
        <c:crosses val="autoZero"/>
        <c:auto val="1"/>
        <c:lblAlgn val="ctr"/>
        <c:lblOffset val="100"/>
        <c:noMultiLvlLbl val="0"/>
      </c:catAx>
      <c:valAx>
        <c:axId val="21691976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Discount (NGN)</a:t>
                </a:r>
                <a:endParaRPr lang="en-NG"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46A]* #,##0.00_-;\-[$₦-46A]* #,##0.00_-;_-[$₦-46A]* &quot;-&quot;??_-;_-@_-" sourceLinked="1"/>
        <c:majorTickMark val="out"/>
        <c:minorTickMark val="none"/>
        <c:tickLblPos val="nextTo"/>
        <c:crossAx val="21690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[GreenLeaf_Retail_Sales_Dataset.xlsx]KPIs &amp; Charts!PivotTable17</c:name>
    <c:fmtId val="2"/>
  </c:pivotSource>
  <c:chart>
    <c:autoTitleDeleted val="1"/>
    <c:pivotFmts>
      <c:pivotFmt>
        <c:idx val="0"/>
        <c:spPr>
          <a:solidFill>
            <a:srgbClr val="227D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27D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27D5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Charts'!$B$23</c:f>
              <c:strCache>
                <c:ptCount val="1"/>
                <c:pt idx="0">
                  <c:v>Total</c:v>
                </c:pt>
              </c:strCache>
            </c:strRef>
          </c:tx>
          <c:spPr>
            <a:solidFill>
              <a:srgbClr val="227D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Charts'!$A$24:$A$29</c:f>
              <c:strCache>
                <c:ptCount val="5"/>
                <c:pt idx="0">
                  <c:v>Groceries</c:v>
                </c:pt>
                <c:pt idx="1">
                  <c:v>Household</c:v>
                </c:pt>
                <c:pt idx="2">
                  <c:v>Electronics</c:v>
                </c:pt>
                <c:pt idx="3">
                  <c:v>Fashion</c:v>
                </c:pt>
                <c:pt idx="4">
                  <c:v>Beauty &amp; Personal Care</c:v>
                </c:pt>
              </c:strCache>
            </c:strRef>
          </c:cat>
          <c:val>
            <c:numRef>
              <c:f>'KPIs &amp; Charts'!$B$24:$B$29</c:f>
              <c:numCache>
                <c:formatCode>_-[$₦-46A]* #,##0_-;\-[$₦-46A]* #,##0_-;_-[$₦-46A]* "-"??_-;_-@_-</c:formatCode>
                <c:ptCount val="5"/>
                <c:pt idx="0">
                  <c:v>39342861.5</c:v>
                </c:pt>
                <c:pt idx="1">
                  <c:v>30180992</c:v>
                </c:pt>
                <c:pt idx="2">
                  <c:v>29474137</c:v>
                </c:pt>
                <c:pt idx="3">
                  <c:v>26909144</c:v>
                </c:pt>
                <c:pt idx="4">
                  <c:v>26682266</c:v>
                </c:pt>
              </c:numCache>
            </c:numRef>
          </c:val>
          <c:extLst>
            <c:ext xmlns:c16="http://schemas.microsoft.com/office/drawing/2014/chart" uri="{C3380CC4-5D6E-409C-BE32-E72D297353CC}">
              <c16:uniqueId val="{00000000-FD77-4534-9E49-7E12357E29FD}"/>
            </c:ext>
          </c:extLst>
        </c:ser>
        <c:dLbls>
          <c:dLblPos val="outEnd"/>
          <c:showLegendKey val="0"/>
          <c:showVal val="1"/>
          <c:showCatName val="0"/>
          <c:showSerName val="0"/>
          <c:showPercent val="0"/>
          <c:showBubbleSize val="0"/>
        </c:dLbls>
        <c:gapWidth val="182"/>
        <c:axId val="308444320"/>
        <c:axId val="308438080"/>
      </c:barChart>
      <c:catAx>
        <c:axId val="308444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Product</a:t>
                </a:r>
                <a:r>
                  <a:rPr lang="en-US" b="1" baseline="0">
                    <a:solidFill>
                      <a:sysClr val="windowText" lastClr="000000"/>
                    </a:solidFill>
                    <a:latin typeface="Times New Roman" panose="02020603050405020304" pitchFamily="18" charset="0"/>
                    <a:cs typeface="Times New Roman" panose="02020603050405020304" pitchFamily="18" charset="0"/>
                  </a:rPr>
                  <a:t> Category</a:t>
                </a:r>
                <a:endParaRPr lang="en-NG"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crossAx val="308438080"/>
        <c:crosses val="autoZero"/>
        <c:auto val="1"/>
        <c:lblAlgn val="ctr"/>
        <c:lblOffset val="100"/>
        <c:noMultiLvlLbl val="0"/>
      </c:catAx>
      <c:valAx>
        <c:axId val="30843808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Sales</a:t>
                </a:r>
                <a:endParaRPr lang="en-NG"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46A]* #,##0_-;\-[$₦-46A]* #,##0_-;_-[$₦-46A]* &quot;-&quot;??_-;_-@_-" sourceLinked="1"/>
        <c:majorTickMark val="none"/>
        <c:minorTickMark val="none"/>
        <c:tickLblPos val="nextTo"/>
        <c:crossAx val="30844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[GreenLeaf_Retail_Sales_Dataset.xlsx]KPIs &amp; Charts!PivotTable18</c:name>
    <c:fmtId val="2"/>
  </c:pivotSource>
  <c:chart>
    <c:autoTitleDeleted val="1"/>
    <c:pivotFmts>
      <c:pivotFmt>
        <c:idx val="0"/>
        <c:spPr>
          <a:solidFill>
            <a:schemeClr val="accent1"/>
          </a:solidFill>
          <a:ln w="28575" cap="rnd">
            <a:solidFill>
              <a:srgbClr val="227D53"/>
            </a:solidFill>
            <a:round/>
          </a:ln>
          <a:effectLst/>
        </c:spPr>
        <c:marker>
          <c:symbol val="square"/>
          <c:size val="7"/>
          <c:spPr>
            <a:solidFill>
              <a:srgbClr val="227D5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227D53"/>
            </a:solidFill>
            <a:round/>
          </a:ln>
          <a:effectLst/>
        </c:spPr>
        <c:marker>
          <c:symbol val="square"/>
          <c:size val="7"/>
          <c:spPr>
            <a:solidFill>
              <a:srgbClr val="227D53"/>
            </a:solidFill>
            <a:ln w="9525">
              <a:solidFill>
                <a:schemeClr val="accent1"/>
              </a:solidFill>
            </a:ln>
            <a:effectLst/>
          </c:spPr>
        </c:marker>
      </c:pivotFmt>
      <c:pivotFmt>
        <c:idx val="2"/>
        <c:spPr>
          <a:solidFill>
            <a:schemeClr val="accent1"/>
          </a:solidFill>
          <a:ln w="28575" cap="rnd">
            <a:solidFill>
              <a:srgbClr val="227D53"/>
            </a:solidFill>
            <a:round/>
          </a:ln>
          <a:effectLst/>
        </c:spPr>
        <c:marker>
          <c:symbol val="square"/>
          <c:size val="7"/>
          <c:spPr>
            <a:solidFill>
              <a:srgbClr val="227D5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227D53"/>
            </a:solidFill>
            <a:round/>
          </a:ln>
          <a:effectLst/>
        </c:spPr>
        <c:marker>
          <c:symbol val="square"/>
          <c:size val="7"/>
          <c:spPr>
            <a:solidFill>
              <a:srgbClr val="227D53"/>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9.0131122850150056E-2"/>
              <c:y val="-9.061453954637560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0.15981726967673343"/>
                  <c:h val="7.1100505975072253E-2"/>
                </c:manualLayout>
              </c15:layout>
            </c:ext>
          </c:extLst>
        </c:dLbl>
      </c:pivotFmt>
      <c:pivotFmt>
        <c:idx val="5"/>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9.2566973432118463E-2"/>
              <c:y val="9.7087279680677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9.2566973432118449E-2"/>
              <c:y val="-9.06147943686319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8.9754033910318179E-2"/>
              <c:y val="9.7087279680677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9.5379912953918788E-2"/>
              <c:y val="-0.116504735616812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9.5379912953918733E-2"/>
              <c:y val="9.061479436863195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9.5379912953918733E-2"/>
              <c:y val="-0.103559764992722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8.6941094388517895E-2"/>
              <c:y val="9.06147943686320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9.5379912953918844E-2"/>
              <c:y val="-0.103559764992722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8.6941094388517992E-2"/>
              <c:y val="9.70872796806771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5.2651140126471638E-2"/>
              <c:y val="-0.103559764992722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227D53"/>
            </a:solidFill>
            <a:round/>
          </a:ln>
          <a:effectLst/>
        </c:spPr>
        <c:marker>
          <c:symbol val="square"/>
          <c:size val="7"/>
          <c:spPr>
            <a:solidFill>
              <a:srgbClr val="227D53"/>
            </a:solidFill>
            <a:ln w="9525">
              <a:solidFill>
                <a:schemeClr val="accent1"/>
              </a:solidFill>
            </a:ln>
            <a:effectLst/>
          </c:spPr>
        </c:marker>
        <c:dLbl>
          <c:idx val="0"/>
          <c:layout>
            <c:manualLayout>
              <c:x val="1.0313992431813665E-16"/>
              <c:y val="0.1165047356168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348804500703238E-2"/>
          <c:y val="2.2415184960186567E-2"/>
          <c:w val="0.9479606188466948"/>
          <c:h val="0.56565240613367362"/>
        </c:manualLayout>
      </c:layout>
      <c:lineChart>
        <c:grouping val="stacked"/>
        <c:varyColors val="0"/>
        <c:ser>
          <c:idx val="0"/>
          <c:order val="0"/>
          <c:tx>
            <c:strRef>
              <c:f>'KPIs &amp; Charts'!$F$23</c:f>
              <c:strCache>
                <c:ptCount val="1"/>
                <c:pt idx="0">
                  <c:v>Total</c:v>
                </c:pt>
              </c:strCache>
            </c:strRef>
          </c:tx>
          <c:spPr>
            <a:ln w="28575" cap="rnd">
              <a:solidFill>
                <a:srgbClr val="227D53"/>
              </a:solidFill>
              <a:round/>
            </a:ln>
            <a:effectLst/>
          </c:spPr>
          <c:marker>
            <c:symbol val="square"/>
            <c:size val="7"/>
            <c:spPr>
              <a:solidFill>
                <a:srgbClr val="227D53"/>
              </a:solidFill>
              <a:ln w="9525">
                <a:solidFill>
                  <a:schemeClr val="accent1"/>
                </a:solidFill>
              </a:ln>
              <a:effectLst/>
            </c:spPr>
          </c:marker>
          <c:dPt>
            <c:idx val="0"/>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0-CFCD-47CF-8964-EFDA7CD1FFEB}"/>
              </c:ext>
            </c:extLst>
          </c:dPt>
          <c:dPt>
            <c:idx val="1"/>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1-CFCD-47CF-8964-EFDA7CD1FFEB}"/>
              </c:ext>
            </c:extLst>
          </c:dPt>
          <c:dPt>
            <c:idx val="2"/>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2-CFCD-47CF-8964-EFDA7CD1FFEB}"/>
              </c:ext>
            </c:extLst>
          </c:dPt>
          <c:dPt>
            <c:idx val="3"/>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3-CFCD-47CF-8964-EFDA7CD1FFEB}"/>
              </c:ext>
            </c:extLst>
          </c:dPt>
          <c:dPt>
            <c:idx val="4"/>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4-CFCD-47CF-8964-EFDA7CD1FFEB}"/>
              </c:ext>
            </c:extLst>
          </c:dPt>
          <c:dPt>
            <c:idx val="5"/>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5-CFCD-47CF-8964-EFDA7CD1FFEB}"/>
              </c:ext>
            </c:extLst>
          </c:dPt>
          <c:dPt>
            <c:idx val="6"/>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6-CFCD-47CF-8964-EFDA7CD1FFEB}"/>
              </c:ext>
            </c:extLst>
          </c:dPt>
          <c:dPt>
            <c:idx val="7"/>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7-CFCD-47CF-8964-EFDA7CD1FFEB}"/>
              </c:ext>
            </c:extLst>
          </c:dPt>
          <c:dPt>
            <c:idx val="8"/>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8-CFCD-47CF-8964-EFDA7CD1FFEB}"/>
              </c:ext>
            </c:extLst>
          </c:dPt>
          <c:dPt>
            <c:idx val="9"/>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9-CFCD-47CF-8964-EFDA7CD1FFEB}"/>
              </c:ext>
            </c:extLst>
          </c:dPt>
          <c:dPt>
            <c:idx val="10"/>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A-CFCD-47CF-8964-EFDA7CD1FFEB}"/>
              </c:ext>
            </c:extLst>
          </c:dPt>
          <c:dPt>
            <c:idx val="11"/>
            <c:marker>
              <c:symbol val="square"/>
              <c:size val="7"/>
              <c:spPr>
                <a:solidFill>
                  <a:srgbClr val="227D53"/>
                </a:solidFill>
                <a:ln w="9525">
                  <a:solidFill>
                    <a:schemeClr val="accent1"/>
                  </a:solidFill>
                </a:ln>
                <a:effectLst/>
              </c:spPr>
            </c:marker>
            <c:bubble3D val="0"/>
            <c:spPr>
              <a:ln w="28575" cap="rnd">
                <a:solidFill>
                  <a:srgbClr val="227D53"/>
                </a:solidFill>
                <a:round/>
              </a:ln>
              <a:effectLst/>
            </c:spPr>
            <c:extLst>
              <c:ext xmlns:c16="http://schemas.microsoft.com/office/drawing/2014/chart" uri="{C3380CC4-5D6E-409C-BE32-E72D297353CC}">
                <c16:uniqueId val="{0000000B-CFCD-47CF-8964-EFDA7CD1FFEB}"/>
              </c:ext>
            </c:extLst>
          </c:dPt>
          <c:dLbls>
            <c:dLbl>
              <c:idx val="0"/>
              <c:layout>
                <c:manualLayout>
                  <c:x val="-9.0131122850150056E-2"/>
                  <c:y val="-9.061453954637560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r"/>
              <c:showLegendKey val="0"/>
              <c:showVal val="1"/>
              <c:showCatName val="0"/>
              <c:showSerName val="0"/>
              <c:showPercent val="0"/>
              <c:showBubbleSize val="0"/>
              <c:extLst>
                <c:ext xmlns:c15="http://schemas.microsoft.com/office/drawing/2012/chart" uri="{CE6537A1-D6FC-4f65-9D91-7224C49458BB}">
                  <c15:layout>
                    <c:manualLayout>
                      <c:w val="0.15981726967673343"/>
                      <c:h val="7.1100505975072253E-2"/>
                    </c:manualLayout>
                  </c15:layout>
                </c:ext>
                <c:ext xmlns:c16="http://schemas.microsoft.com/office/drawing/2014/chart" uri="{C3380CC4-5D6E-409C-BE32-E72D297353CC}">
                  <c16:uniqueId val="{00000000-CFCD-47CF-8964-EFDA7CD1FFEB}"/>
                </c:ext>
              </c:extLst>
            </c:dLbl>
            <c:dLbl>
              <c:idx val="1"/>
              <c:layout>
                <c:manualLayout>
                  <c:x val="-9.2566973432118463E-2"/>
                  <c:y val="9.708727968067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CD-47CF-8964-EFDA7CD1FFEB}"/>
                </c:ext>
              </c:extLst>
            </c:dLbl>
            <c:dLbl>
              <c:idx val="2"/>
              <c:layout>
                <c:manualLayout>
                  <c:x val="-9.2566973432118449E-2"/>
                  <c:y val="-9.06147943686319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CD-47CF-8964-EFDA7CD1FFEB}"/>
                </c:ext>
              </c:extLst>
            </c:dLbl>
            <c:dLbl>
              <c:idx val="3"/>
              <c:layout>
                <c:manualLayout>
                  <c:x val="-8.9754033910318179E-2"/>
                  <c:y val="9.7087279680677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CD-47CF-8964-EFDA7CD1FFEB}"/>
                </c:ext>
              </c:extLst>
            </c:dLbl>
            <c:dLbl>
              <c:idx val="4"/>
              <c:layout>
                <c:manualLayout>
                  <c:x val="-9.5379912953918788E-2"/>
                  <c:y val="-0.1165047356168125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FCD-47CF-8964-EFDA7CD1FFEB}"/>
                </c:ext>
              </c:extLst>
            </c:dLbl>
            <c:dLbl>
              <c:idx val="5"/>
              <c:layout>
                <c:manualLayout>
                  <c:x val="-9.5379912953918733E-2"/>
                  <c:y val="9.06147943686319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FCD-47CF-8964-EFDA7CD1FFEB}"/>
                </c:ext>
              </c:extLst>
            </c:dLbl>
            <c:dLbl>
              <c:idx val="6"/>
              <c:layout>
                <c:manualLayout>
                  <c:x val="-9.5379912953918733E-2"/>
                  <c:y val="-0.103559764992722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FCD-47CF-8964-EFDA7CD1FFEB}"/>
                </c:ext>
              </c:extLst>
            </c:dLbl>
            <c:dLbl>
              <c:idx val="7"/>
              <c:layout>
                <c:manualLayout>
                  <c:x val="-8.6941094388517895E-2"/>
                  <c:y val="9.06147943686320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FCD-47CF-8964-EFDA7CD1FFEB}"/>
                </c:ext>
              </c:extLst>
            </c:dLbl>
            <c:dLbl>
              <c:idx val="8"/>
              <c:layout>
                <c:manualLayout>
                  <c:x val="-9.5379912953918844E-2"/>
                  <c:y val="-0.103559764992722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FCD-47CF-8964-EFDA7CD1FFEB}"/>
                </c:ext>
              </c:extLst>
            </c:dLbl>
            <c:dLbl>
              <c:idx val="9"/>
              <c:layout>
                <c:manualLayout>
                  <c:x val="-8.6941094388517992E-2"/>
                  <c:y val="9.70872796806771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FCD-47CF-8964-EFDA7CD1FFEB}"/>
                </c:ext>
              </c:extLst>
            </c:dLbl>
            <c:dLbl>
              <c:idx val="10"/>
              <c:layout>
                <c:manualLayout>
                  <c:x val="-5.2651140126471638E-2"/>
                  <c:y val="-0.103559764992722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FCD-47CF-8964-EFDA7CD1FFEB}"/>
                </c:ext>
              </c:extLst>
            </c:dLbl>
            <c:dLbl>
              <c:idx val="11"/>
              <c:layout>
                <c:manualLayout>
                  <c:x val="1.0313992431813665E-16"/>
                  <c:y val="0.116504735616812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FCD-47CF-8964-EFDA7CD1FF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25400" cap="flat" cmpd="sng" algn="ctr">
                      <a:solidFill>
                        <a:srgbClr val="227D53"/>
                      </a:solidFill>
                      <a:round/>
                    </a:ln>
                    <a:effectLst/>
                  </c:spPr>
                </c15:leaderLines>
              </c:ext>
            </c:extLst>
          </c:dLbls>
          <c:cat>
            <c:multiLvlStrRef>
              <c:f>'KPIs &amp; Charts'!$E$24:$E$37</c:f>
              <c:multiLvlStrCache>
                <c:ptCount val="12"/>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lvl>
                <c:lvl>
                  <c:pt idx="0">
                    <c:v>2025</c:v>
                  </c:pt>
                </c:lvl>
              </c:multiLvlStrCache>
            </c:multiLvlStrRef>
          </c:cat>
          <c:val>
            <c:numRef>
              <c:f>'KPIs &amp; Charts'!$F$24:$F$37</c:f>
              <c:numCache>
                <c:formatCode>_-[$₦-46A]* #,##0_-;\-[$₦-46A]* #,##0_-;_-[$₦-46A]* "-"??_-;_-@_-</c:formatCode>
                <c:ptCount val="12"/>
                <c:pt idx="0">
                  <c:v>13209525</c:v>
                </c:pt>
                <c:pt idx="1">
                  <c:v>11313958</c:v>
                </c:pt>
                <c:pt idx="2">
                  <c:v>11673246.5</c:v>
                </c:pt>
                <c:pt idx="3">
                  <c:v>13232103</c:v>
                </c:pt>
                <c:pt idx="4">
                  <c:v>10691220.5</c:v>
                </c:pt>
                <c:pt idx="5">
                  <c:v>13823839.5</c:v>
                </c:pt>
                <c:pt idx="6">
                  <c:v>12070872</c:v>
                </c:pt>
                <c:pt idx="7">
                  <c:v>13364213.5</c:v>
                </c:pt>
                <c:pt idx="8">
                  <c:v>13221191.5</c:v>
                </c:pt>
                <c:pt idx="9">
                  <c:v>13975623</c:v>
                </c:pt>
                <c:pt idx="10">
                  <c:v>13595237.5</c:v>
                </c:pt>
                <c:pt idx="11">
                  <c:v>12418370.5</c:v>
                </c:pt>
              </c:numCache>
            </c:numRef>
          </c:val>
          <c:smooth val="0"/>
          <c:extLst>
            <c:ext xmlns:c16="http://schemas.microsoft.com/office/drawing/2014/chart" uri="{C3380CC4-5D6E-409C-BE32-E72D297353CC}">
              <c16:uniqueId val="{00000000-B817-4CBC-8B49-796725AA82AF}"/>
            </c:ext>
          </c:extLst>
        </c:ser>
        <c:dLbls>
          <c:showLegendKey val="0"/>
          <c:showVal val="1"/>
          <c:showCatName val="0"/>
          <c:showSerName val="0"/>
          <c:showPercent val="0"/>
          <c:showBubbleSize val="0"/>
        </c:dLbls>
        <c:marker val="1"/>
        <c:smooth val="0"/>
        <c:axId val="218656368"/>
        <c:axId val="218665488"/>
      </c:lineChart>
      <c:catAx>
        <c:axId val="2186563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NG"/>
          </a:p>
        </c:txPr>
        <c:crossAx val="218665488"/>
        <c:crosses val="autoZero"/>
        <c:auto val="1"/>
        <c:lblAlgn val="ctr"/>
        <c:lblOffset val="100"/>
        <c:noMultiLvlLbl val="0"/>
      </c:catAx>
      <c:valAx>
        <c:axId val="21866548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latin typeface="Times New Roman" panose="02020603050405020304" pitchFamily="18" charset="0"/>
                    <a:cs typeface="Times New Roman" panose="02020603050405020304" pitchFamily="18" charset="0"/>
                  </a:rPr>
                  <a:t>Sales</a:t>
                </a:r>
                <a:endParaRPr lang="en-NG"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46A]* #,##0_-;\-[$₦-46A]* #,##0_-;_-[$₦-46A]* &quot;-&quot;??_-;_-@_-" sourceLinked="1"/>
        <c:majorTickMark val="out"/>
        <c:minorTickMark val="none"/>
        <c:tickLblPos val="nextTo"/>
        <c:crossAx val="2186563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[GreenLeaf_Retail_Sales_Dataset.xlsx]PV Table!PivotTable6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13452D"/>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13452D"/>
          </a:solidFill>
          <a:ln w="19050">
            <a:solidFill>
              <a:schemeClr val="lt1"/>
            </a:solidFill>
          </a:ln>
          <a:effectLst/>
        </c:spPr>
        <c:dLbl>
          <c:idx val="0"/>
          <c:layout>
            <c:manualLayout>
              <c:x val="0.18855218855218853"/>
              <c:y val="-9.0395183652890843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376120CE-4C96-4D3A-82CD-241E5DD28F88}" type="CATEGORYNAME">
                  <a:rPr lang="en-US" b="1">
                    <a:solidFill>
                      <a:schemeClr val="tx1"/>
                    </a:solidFill>
                    <a:latin typeface="Times New Roman" panose="02020603050405020304" pitchFamily="18" charset="0"/>
                    <a:cs typeface="Times New Roman" panose="02020603050405020304" pitchFamily="18" charset="0"/>
                  </a:rPr>
                  <a:pPr>
                    <a:defRPr/>
                  </a:pPr>
                  <a:t>[CATEGORY NAME]</a:t>
                </a:fld>
                <a:r>
                  <a:rPr lang="en-US" b="1" baseline="0">
                    <a:solidFill>
                      <a:schemeClr val="tx1"/>
                    </a:solidFill>
                    <a:latin typeface="Times New Roman" panose="02020603050405020304" pitchFamily="18" charset="0"/>
                    <a:cs typeface="Times New Roman" panose="02020603050405020304" pitchFamily="18" charset="0"/>
                  </a:rPr>
                  <a:t>
</a:t>
                </a:r>
                <a:fld id="{3877018C-5E4F-4F22-BA57-5316D42885C6}" type="PERCENTAGE">
                  <a:rPr lang="en-US" b="1" baseline="0">
                    <a:solidFill>
                      <a:schemeClr val="tx1"/>
                    </a:solidFill>
                    <a:latin typeface="Times New Roman" panose="02020603050405020304" pitchFamily="18" charset="0"/>
                    <a:cs typeface="Times New Roman" panose="02020603050405020304" pitchFamily="18" charset="0"/>
                  </a:rPr>
                  <a:pPr>
                    <a:defRPr/>
                  </a:pPr>
                  <a:t>[PERCENTAGE]</a:t>
                </a:fld>
                <a:endParaRPr lang="en-US" b="1" baseline="0">
                  <a:solidFill>
                    <a:schemeClr val="tx1"/>
                  </a:solidFill>
                  <a:latin typeface="Times New Roman" panose="02020603050405020304" pitchFamily="18" charset="0"/>
                  <a:cs typeface="Times New Roman" panose="02020603050405020304" pitchFamily="18" charset="0"/>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6666843412250235"/>
                  <c:h val="0.25888814745614425"/>
                </c:manualLayout>
              </c15:layout>
              <c15:dlblFieldTable/>
              <c15:showDataLabelsRange val="0"/>
            </c:ext>
          </c:extLst>
        </c:dLbl>
      </c:pivotFmt>
      <c:pivotFmt>
        <c:idx val="6"/>
        <c:spPr>
          <a:solidFill>
            <a:srgbClr val="5FBD92"/>
          </a:solidFill>
          <a:ln w="19050">
            <a:solidFill>
              <a:schemeClr val="lt1"/>
            </a:solidFill>
          </a:ln>
          <a:effectLst/>
        </c:spPr>
        <c:dLbl>
          <c:idx val="0"/>
          <c:layout>
            <c:manualLayout>
              <c:x val="-0.19753086419753085"/>
              <c:y val="-0.1054613935969868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73930026423466"/>
                  <c:h val="0.18993490220502099"/>
                </c:manualLayout>
              </c15:layout>
            </c:ext>
          </c:extLst>
        </c:dLbl>
      </c:pivotFmt>
    </c:pivotFmts>
    <c:plotArea>
      <c:layout/>
      <c:doughnutChart>
        <c:varyColors val="1"/>
        <c:ser>
          <c:idx val="0"/>
          <c:order val="0"/>
          <c:tx>
            <c:strRef>
              <c:f>'PV Table'!$E$33</c:f>
              <c:strCache>
                <c:ptCount val="1"/>
                <c:pt idx="0">
                  <c:v>Total</c:v>
                </c:pt>
              </c:strCache>
            </c:strRef>
          </c:tx>
          <c:spPr>
            <a:solidFill>
              <a:srgbClr val="13452D"/>
            </a:solidFill>
          </c:spPr>
          <c:dPt>
            <c:idx val="0"/>
            <c:bubble3D val="0"/>
            <c:spPr>
              <a:solidFill>
                <a:srgbClr val="13452D"/>
              </a:solidFill>
              <a:ln w="19050">
                <a:solidFill>
                  <a:schemeClr val="lt1"/>
                </a:solidFill>
              </a:ln>
              <a:effectLst/>
            </c:spPr>
            <c:extLst>
              <c:ext xmlns:c16="http://schemas.microsoft.com/office/drawing/2014/chart" uri="{C3380CC4-5D6E-409C-BE32-E72D297353CC}">
                <c16:uniqueId val="{00000001-1798-4356-99C8-F1DCA76B4358}"/>
              </c:ext>
            </c:extLst>
          </c:dPt>
          <c:dPt>
            <c:idx val="1"/>
            <c:bubble3D val="0"/>
            <c:spPr>
              <a:solidFill>
                <a:srgbClr val="5FBD92"/>
              </a:solidFill>
              <a:ln w="19050">
                <a:solidFill>
                  <a:schemeClr val="lt1"/>
                </a:solidFill>
              </a:ln>
              <a:effectLst/>
            </c:spPr>
            <c:extLst>
              <c:ext xmlns:c16="http://schemas.microsoft.com/office/drawing/2014/chart" uri="{C3380CC4-5D6E-409C-BE32-E72D297353CC}">
                <c16:uniqueId val="{00000003-1798-4356-99C8-F1DCA76B4358}"/>
              </c:ext>
            </c:extLst>
          </c:dPt>
          <c:dLbls>
            <c:dLbl>
              <c:idx val="0"/>
              <c:layout>
                <c:manualLayout>
                  <c:x val="0.18855218855218853"/>
                  <c:y val="-9.0395183652890843E-2"/>
                </c:manualLayout>
              </c:layout>
              <c:tx>
                <c:rich>
                  <a:bodyPr/>
                  <a:lstStyle/>
                  <a:p>
                    <a:fld id="{376120CE-4C96-4D3A-82CD-241E5DD28F88}" type="CATEGORYNAME">
                      <a:rPr lang="en-US" b="1">
                        <a:solidFill>
                          <a:schemeClr val="tx1"/>
                        </a:solidFill>
                        <a:latin typeface="Times New Roman" panose="02020603050405020304" pitchFamily="18" charset="0"/>
                        <a:cs typeface="Times New Roman" panose="02020603050405020304" pitchFamily="18" charset="0"/>
                      </a:rPr>
                      <a:pPr/>
                      <a:t>[CATEGORY NAME]</a:t>
                    </a:fld>
                    <a:r>
                      <a:rPr lang="en-US" b="1" baseline="0">
                        <a:solidFill>
                          <a:schemeClr val="tx1"/>
                        </a:solidFill>
                        <a:latin typeface="Times New Roman" panose="02020603050405020304" pitchFamily="18" charset="0"/>
                        <a:cs typeface="Times New Roman" panose="02020603050405020304" pitchFamily="18" charset="0"/>
                      </a:rPr>
                      <a:t>
</a:t>
                    </a:r>
                    <a:fld id="{3877018C-5E4F-4F22-BA57-5316D42885C6}" type="PERCENTAGE">
                      <a:rPr lang="en-US" b="1" baseline="0">
                        <a:solidFill>
                          <a:schemeClr val="tx1"/>
                        </a:solidFill>
                        <a:latin typeface="Times New Roman" panose="02020603050405020304" pitchFamily="18" charset="0"/>
                        <a:cs typeface="Times New Roman" panose="02020603050405020304" pitchFamily="18" charset="0"/>
                      </a:rPr>
                      <a:pPr/>
                      <a:t>[PERCENTAGE]</a:t>
                    </a:fld>
                    <a:endParaRPr lang="en-US" b="1" baseline="0">
                      <a:solidFill>
                        <a:schemeClr val="tx1"/>
                      </a:solidFill>
                      <a:latin typeface="Times New Roman" panose="02020603050405020304" pitchFamily="18" charset="0"/>
                      <a:cs typeface="Times New Roman" panose="02020603050405020304" pitchFamily="18" charset="0"/>
                    </a:endParaRPr>
                  </a:p>
                </c:rich>
              </c:tx>
              <c:showLegendKey val="0"/>
              <c:showVal val="0"/>
              <c:showCatName val="1"/>
              <c:showSerName val="0"/>
              <c:showPercent val="1"/>
              <c:showBubbleSize val="0"/>
              <c:extLst>
                <c:ext xmlns:c15="http://schemas.microsoft.com/office/drawing/2012/chart" uri="{CE6537A1-D6FC-4f65-9D91-7224C49458BB}">
                  <c15:layout>
                    <c:manualLayout>
                      <c:w val="0.26666843412250235"/>
                      <c:h val="0.25888814745614425"/>
                    </c:manualLayout>
                  </c15:layout>
                  <c15:dlblFieldTable/>
                  <c15:showDataLabelsRange val="0"/>
                </c:ext>
                <c:ext xmlns:c16="http://schemas.microsoft.com/office/drawing/2014/chart" uri="{C3380CC4-5D6E-409C-BE32-E72D297353CC}">
                  <c16:uniqueId val="{00000001-1798-4356-99C8-F1DCA76B4358}"/>
                </c:ext>
              </c:extLst>
            </c:dLbl>
            <c:dLbl>
              <c:idx val="1"/>
              <c:layout>
                <c:manualLayout>
                  <c:x val="-0.19753086419753085"/>
                  <c:y val="-0.1054613935969868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973930026423466"/>
                      <c:h val="0.18993490220502099"/>
                    </c:manualLayout>
                  </c15:layout>
                </c:ext>
                <c:ext xmlns:c16="http://schemas.microsoft.com/office/drawing/2014/chart" uri="{C3380CC4-5D6E-409C-BE32-E72D297353CC}">
                  <c16:uniqueId val="{00000003-1798-4356-99C8-F1DCA76B4358}"/>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 Table'!$D$34:$D$36</c:f>
              <c:strCache>
                <c:ptCount val="2"/>
                <c:pt idx="0">
                  <c:v>Returning</c:v>
                </c:pt>
                <c:pt idx="1">
                  <c:v>New</c:v>
                </c:pt>
              </c:strCache>
            </c:strRef>
          </c:cat>
          <c:val>
            <c:numRef>
              <c:f>'PV Table'!$E$34:$E$36</c:f>
              <c:numCache>
                <c:formatCode>0.00%</c:formatCode>
                <c:ptCount val="2"/>
                <c:pt idx="0">
                  <c:v>0.5267387003070374</c:v>
                </c:pt>
                <c:pt idx="1">
                  <c:v>0.4732612996929626</c:v>
                </c:pt>
              </c:numCache>
            </c:numRef>
          </c:val>
          <c:extLst>
            <c:ext xmlns:c16="http://schemas.microsoft.com/office/drawing/2014/chart" uri="{C3380CC4-5D6E-409C-BE32-E72D297353CC}">
              <c16:uniqueId val="{00000004-1798-4356-99C8-F1DCA76B4358}"/>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[GreenLeaf_Retail_Sales_Dataset.xlsx]PV Table!PivotTable7</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13452D"/>
          </a:solidFill>
          <a:ln w="19050">
            <a:solidFill>
              <a:schemeClr val="lt1"/>
            </a:solidFill>
          </a:ln>
          <a:effectLst/>
        </c:spPr>
        <c:dLbl>
          <c:idx val="0"/>
          <c:layout>
            <c:manualLayout>
              <c:x val="0.11331444759206799"/>
              <c:y val="-0.1620252733910699"/>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227D53"/>
          </a:solidFill>
          <a:ln w="19050">
            <a:solidFill>
              <a:schemeClr val="lt1"/>
            </a:solidFill>
          </a:ln>
          <a:effectLst/>
        </c:spPr>
        <c:dLbl>
          <c:idx val="0"/>
          <c:layout>
            <c:manualLayout>
              <c:x val="0.19263456090651557"/>
              <c:y val="2.700421223184485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5FBD92"/>
          </a:solidFill>
          <a:ln w="19050">
            <a:solidFill>
              <a:schemeClr val="lt1"/>
            </a:solidFill>
          </a:ln>
          <a:effectLst/>
        </c:spPr>
        <c:dLbl>
          <c:idx val="0"/>
          <c:layout>
            <c:manualLayout>
              <c:x val="-0.15108593012275734"/>
              <c:y val="3.375526528980610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B04087DA-EB34-419B-925C-8CD2D839E60C}" type="CATEGORYNAME">
                  <a:rPr lang="en-US" b="1">
                    <a:solidFill>
                      <a:schemeClr val="tx1"/>
                    </a:solidFill>
                    <a:latin typeface="Times New Roman" panose="02020603050405020304" pitchFamily="18" charset="0"/>
                    <a:cs typeface="Times New Roman" panose="02020603050405020304" pitchFamily="18" charset="0"/>
                  </a:rPr>
                  <a:pPr>
                    <a:defRPr/>
                  </a:pPr>
                  <a:t>[CATEGORY NAME]</a:t>
                </a:fld>
                <a:r>
                  <a:rPr lang="en-US" b="1" baseline="0">
                    <a:solidFill>
                      <a:schemeClr val="tx1"/>
                    </a:solidFill>
                    <a:latin typeface="Times New Roman" panose="02020603050405020304" pitchFamily="18" charset="0"/>
                    <a:cs typeface="Times New Roman" panose="02020603050405020304" pitchFamily="18" charset="0"/>
                  </a:rPr>
                  <a:t>
</a:t>
                </a:r>
                <a:fld id="{74BD228E-D8B5-4E16-AE0A-33D16E5EE11B}" type="PERCENTAGE">
                  <a:rPr lang="en-US" b="1" baseline="0">
                    <a:solidFill>
                      <a:schemeClr val="tx1"/>
                    </a:solidFill>
                    <a:latin typeface="Times New Roman" panose="02020603050405020304" pitchFamily="18" charset="0"/>
                    <a:cs typeface="Times New Roman" panose="02020603050405020304" pitchFamily="18" charset="0"/>
                  </a:rPr>
                  <a:pPr>
                    <a:defRPr/>
                  </a:pPr>
                  <a:t>[PERCENTAGE]</a:t>
                </a:fld>
                <a:endParaRPr lang="en-US" b="1" baseline="0">
                  <a:solidFill>
                    <a:schemeClr val="tx1"/>
                  </a:solidFill>
                  <a:latin typeface="Times New Roman" panose="02020603050405020304" pitchFamily="18" charset="0"/>
                  <a:cs typeface="Times New Roman" panose="02020603050405020304" pitchFamily="18" charset="0"/>
                </a:endParaRPr>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0"/>
        <c:spPr>
          <a:solidFill>
            <a:srgbClr val="E6FFF7"/>
          </a:solidFill>
          <a:ln w="19050">
            <a:solidFill>
              <a:schemeClr val="lt1"/>
            </a:solidFill>
          </a:ln>
          <a:effectLst/>
        </c:spPr>
        <c:dLbl>
          <c:idx val="0"/>
          <c:layout>
            <c:manualLayout>
              <c:x val="-0.12842304060434376"/>
              <c:y val="-8.101263669553494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'PV Table'!$B$33</c:f>
              <c:strCache>
                <c:ptCount val="1"/>
                <c:pt idx="0">
                  <c:v>Total</c:v>
                </c:pt>
              </c:strCache>
            </c:strRef>
          </c:tx>
          <c:dPt>
            <c:idx val="0"/>
            <c:bubble3D val="0"/>
            <c:spPr>
              <a:solidFill>
                <a:srgbClr val="13452D"/>
              </a:solidFill>
              <a:ln w="19050">
                <a:solidFill>
                  <a:schemeClr val="lt1"/>
                </a:solidFill>
              </a:ln>
              <a:effectLst/>
            </c:spPr>
            <c:extLst>
              <c:ext xmlns:c16="http://schemas.microsoft.com/office/drawing/2014/chart" uri="{C3380CC4-5D6E-409C-BE32-E72D297353CC}">
                <c16:uniqueId val="{00000001-8077-44A6-A085-5D4AF4C6DDD9}"/>
              </c:ext>
            </c:extLst>
          </c:dPt>
          <c:dPt>
            <c:idx val="1"/>
            <c:bubble3D val="0"/>
            <c:spPr>
              <a:solidFill>
                <a:srgbClr val="227D53"/>
              </a:solidFill>
              <a:ln w="19050">
                <a:solidFill>
                  <a:schemeClr val="lt1"/>
                </a:solidFill>
              </a:ln>
              <a:effectLst/>
            </c:spPr>
            <c:extLst>
              <c:ext xmlns:c16="http://schemas.microsoft.com/office/drawing/2014/chart" uri="{C3380CC4-5D6E-409C-BE32-E72D297353CC}">
                <c16:uniqueId val="{00000003-8077-44A6-A085-5D4AF4C6DDD9}"/>
              </c:ext>
            </c:extLst>
          </c:dPt>
          <c:dPt>
            <c:idx val="2"/>
            <c:bubble3D val="0"/>
            <c:spPr>
              <a:solidFill>
                <a:srgbClr val="5FBD92"/>
              </a:solidFill>
              <a:ln w="19050">
                <a:solidFill>
                  <a:schemeClr val="lt1"/>
                </a:solidFill>
              </a:ln>
              <a:effectLst/>
            </c:spPr>
            <c:extLst>
              <c:ext xmlns:c16="http://schemas.microsoft.com/office/drawing/2014/chart" uri="{C3380CC4-5D6E-409C-BE32-E72D297353CC}">
                <c16:uniqueId val="{00000005-8077-44A6-A085-5D4AF4C6DDD9}"/>
              </c:ext>
            </c:extLst>
          </c:dPt>
          <c:dPt>
            <c:idx val="3"/>
            <c:bubble3D val="0"/>
            <c:spPr>
              <a:solidFill>
                <a:srgbClr val="E6FFF7"/>
              </a:solidFill>
              <a:ln w="19050">
                <a:solidFill>
                  <a:schemeClr val="lt1"/>
                </a:solidFill>
              </a:ln>
              <a:effectLst/>
            </c:spPr>
            <c:extLst>
              <c:ext xmlns:c16="http://schemas.microsoft.com/office/drawing/2014/chart" uri="{C3380CC4-5D6E-409C-BE32-E72D297353CC}">
                <c16:uniqueId val="{00000007-8077-44A6-A085-5D4AF4C6DDD9}"/>
              </c:ext>
            </c:extLst>
          </c:dPt>
          <c:dLbls>
            <c:dLbl>
              <c:idx val="0"/>
              <c:layout>
                <c:manualLayout>
                  <c:x val="0.11331444759206799"/>
                  <c:y val="-0.1620252733910699"/>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077-44A6-A085-5D4AF4C6DDD9}"/>
                </c:ext>
              </c:extLst>
            </c:dLbl>
            <c:dLbl>
              <c:idx val="1"/>
              <c:layout>
                <c:manualLayout>
                  <c:x val="0.19263456090651557"/>
                  <c:y val="2.7004212231844859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077-44A6-A085-5D4AF4C6DDD9}"/>
                </c:ext>
              </c:extLst>
            </c:dLbl>
            <c:dLbl>
              <c:idx val="2"/>
              <c:layout>
                <c:manualLayout>
                  <c:x val="-0.15108593012275734"/>
                  <c:y val="3.3755265289806102E-2"/>
                </c:manualLayout>
              </c:layout>
              <c:tx>
                <c:rich>
                  <a:bodyPr/>
                  <a:lstStyle/>
                  <a:p>
                    <a:fld id="{B04087DA-EB34-419B-925C-8CD2D839E60C}" type="CATEGORYNAME">
                      <a:rPr lang="en-US" b="1">
                        <a:solidFill>
                          <a:schemeClr val="tx1"/>
                        </a:solidFill>
                        <a:latin typeface="Times New Roman" panose="02020603050405020304" pitchFamily="18" charset="0"/>
                        <a:cs typeface="Times New Roman" panose="02020603050405020304" pitchFamily="18" charset="0"/>
                      </a:rPr>
                      <a:pPr/>
                      <a:t>[CATEGORY NAME]</a:t>
                    </a:fld>
                    <a:r>
                      <a:rPr lang="en-US" b="1" baseline="0">
                        <a:solidFill>
                          <a:schemeClr val="tx1"/>
                        </a:solidFill>
                        <a:latin typeface="Times New Roman" panose="02020603050405020304" pitchFamily="18" charset="0"/>
                        <a:cs typeface="Times New Roman" panose="02020603050405020304" pitchFamily="18" charset="0"/>
                      </a:rPr>
                      <a:t>
</a:t>
                    </a:r>
                    <a:fld id="{74BD228E-D8B5-4E16-AE0A-33D16E5EE11B}" type="PERCENTAGE">
                      <a:rPr lang="en-US" b="1" baseline="0">
                        <a:solidFill>
                          <a:schemeClr val="tx1"/>
                        </a:solidFill>
                        <a:latin typeface="Times New Roman" panose="02020603050405020304" pitchFamily="18" charset="0"/>
                        <a:cs typeface="Times New Roman" panose="02020603050405020304" pitchFamily="18" charset="0"/>
                      </a:rPr>
                      <a:pPr/>
                      <a:t>[PERCENTAGE]</a:t>
                    </a:fld>
                    <a:endParaRPr lang="en-US" b="1" baseline="0">
                      <a:solidFill>
                        <a:schemeClr val="tx1"/>
                      </a:solidFill>
                      <a:latin typeface="Times New Roman" panose="02020603050405020304" pitchFamily="18" charset="0"/>
                      <a:cs typeface="Times New Roman" panose="02020603050405020304" pitchFamily="18" charset="0"/>
                    </a:endParaRPr>
                  </a:p>
                </c:rich>
              </c:tx>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077-44A6-A085-5D4AF4C6DDD9}"/>
                </c:ext>
              </c:extLst>
            </c:dLbl>
            <c:dLbl>
              <c:idx val="3"/>
              <c:layout>
                <c:manualLayout>
                  <c:x val="-0.12842304060434376"/>
                  <c:y val="-8.1012636695534948E-2"/>
                </c:manualLayout>
              </c:layout>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0">
                  <a:spAutoFit/>
                </a:bodyPr>
                <a:lstStyle/>
                <a:p>
                  <a:pPr algn="ctr" rtl="0">
                    <a:defRPr lang="en-US"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8077-44A6-A085-5D4AF4C6DDD9}"/>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'PV Table'!$A$34:$A$38</c:f>
              <c:strCache>
                <c:ptCount val="4"/>
                <c:pt idx="0">
                  <c:v>Cash</c:v>
                </c:pt>
                <c:pt idx="1">
                  <c:v>Card</c:v>
                </c:pt>
                <c:pt idx="2">
                  <c:v>Bank Transfer</c:v>
                </c:pt>
                <c:pt idx="3">
                  <c:v>Pos</c:v>
                </c:pt>
              </c:strCache>
            </c:strRef>
          </c:cat>
          <c:val>
            <c:numRef>
              <c:f>'PV Table'!$B$34:$B$38</c:f>
              <c:numCache>
                <c:formatCode>0.00%</c:formatCode>
                <c:ptCount val="4"/>
                <c:pt idx="0">
                  <c:v>0.30789562607921772</c:v>
                </c:pt>
                <c:pt idx="1">
                  <c:v>0.24653711448325666</c:v>
                </c:pt>
                <c:pt idx="2">
                  <c:v>0.23504798421434259</c:v>
                </c:pt>
                <c:pt idx="3">
                  <c:v>0.21051927522318301</c:v>
                </c:pt>
              </c:numCache>
            </c:numRef>
          </c:val>
          <c:extLst>
            <c:ext xmlns:c16="http://schemas.microsoft.com/office/drawing/2014/chart" uri="{C3380CC4-5D6E-409C-BE32-E72D297353CC}">
              <c16:uniqueId val="{00000008-8077-44A6-A085-5D4AF4C6DDD9}"/>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104774</xdr:colOff>
      <xdr:row>0</xdr:row>
      <xdr:rowOff>114299</xdr:rowOff>
    </xdr:from>
    <xdr:to>
      <xdr:col>20</xdr:col>
      <xdr:colOff>361950</xdr:colOff>
      <xdr:row>28</xdr:row>
      <xdr:rowOff>161924</xdr:rowOff>
    </xdr:to>
    <xdr:sp macro="" textlink="">
      <xdr:nvSpPr>
        <xdr:cNvPr id="2" name="Rectangle: Rounded Corners 1">
          <a:extLst>
            <a:ext uri="{FF2B5EF4-FFF2-40B4-BE49-F238E27FC236}">
              <a16:creationId xmlns:a16="http://schemas.microsoft.com/office/drawing/2014/main" id="{149FF969-F567-4B27-38DD-DE7B745E5D2E}"/>
            </a:ext>
          </a:extLst>
        </xdr:cNvPr>
        <xdr:cNvSpPr/>
      </xdr:nvSpPr>
      <xdr:spPr>
        <a:xfrm>
          <a:off x="104774" y="114299"/>
          <a:ext cx="12449176" cy="5381625"/>
        </a:xfrm>
        <a:prstGeom prst="roundRect">
          <a:avLst>
            <a:gd name="adj" fmla="val 5977"/>
          </a:avLst>
        </a:prstGeom>
        <a:solidFill>
          <a:srgbClr val="FD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latin typeface="Times New Roman" panose="02020603050405020304" pitchFamily="18" charset="0"/>
              <a:cs typeface="Times New Roman" panose="02020603050405020304" pitchFamily="18" charset="0"/>
            </a:rPr>
            <a:t>GREENLEAF SALES ANALYSIS</a:t>
          </a:r>
          <a:endParaRPr lang="en-NG" sz="16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133349</xdr:colOff>
      <xdr:row>2</xdr:row>
      <xdr:rowOff>133350</xdr:rowOff>
    </xdr:from>
    <xdr:to>
      <xdr:col>15</xdr:col>
      <xdr:colOff>342900</xdr:colOff>
      <xdr:row>7</xdr:row>
      <xdr:rowOff>47626</xdr:rowOff>
    </xdr:to>
    <xdr:sp macro="" textlink="">
      <xdr:nvSpPr>
        <xdr:cNvPr id="3" name="Rectangle: Top Corners Rounded 2">
          <a:extLst>
            <a:ext uri="{FF2B5EF4-FFF2-40B4-BE49-F238E27FC236}">
              <a16:creationId xmlns:a16="http://schemas.microsoft.com/office/drawing/2014/main" id="{495133C1-A770-21E6-C35A-E860FE306809}"/>
            </a:ext>
          </a:extLst>
        </xdr:cNvPr>
        <xdr:cNvSpPr/>
      </xdr:nvSpPr>
      <xdr:spPr>
        <a:xfrm>
          <a:off x="133349" y="514350"/>
          <a:ext cx="9353551" cy="866776"/>
        </a:xfrm>
        <a:prstGeom prst="round2SameRect">
          <a:avLst>
            <a:gd name="adj1" fmla="val 21211"/>
            <a:gd name="adj2" fmla="val 0"/>
          </a:avLst>
        </a:prstGeom>
        <a:solidFill>
          <a:srgbClr val="F7F7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209550</xdr:colOff>
      <xdr:row>2</xdr:row>
      <xdr:rowOff>161926</xdr:rowOff>
    </xdr:from>
    <xdr:to>
      <xdr:col>2</xdr:col>
      <xdr:colOff>409575</xdr:colOff>
      <xdr:row>7</xdr:row>
      <xdr:rowOff>9526</xdr:rowOff>
    </xdr:to>
    <xdr:sp macro="" textlink="'KPIs &amp; Charts'!A3">
      <xdr:nvSpPr>
        <xdr:cNvPr id="4" name="Rectangle: Rounded Corners 3">
          <a:extLst>
            <a:ext uri="{FF2B5EF4-FFF2-40B4-BE49-F238E27FC236}">
              <a16:creationId xmlns:a16="http://schemas.microsoft.com/office/drawing/2014/main" id="{3060B72C-8281-A33B-7175-5FCA53B04026}"/>
            </a:ext>
          </a:extLst>
        </xdr:cNvPr>
        <xdr:cNvSpPr/>
      </xdr:nvSpPr>
      <xdr:spPr>
        <a:xfrm>
          <a:off x="209550" y="542926"/>
          <a:ext cx="1419225" cy="800100"/>
        </a:xfrm>
        <a:prstGeom prst="roundRect">
          <a:avLst/>
        </a:prstGeom>
        <a:solidFill>
          <a:srgbClr val="1A6F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8A1ED5-AD28-43EA-9833-7FD42399CBB4}" type="TxLink">
            <a:rPr lang="en-US" sz="1400" b="1" i="0" u="none" strike="noStrike" baseline="0">
              <a:solidFill>
                <a:schemeClr val="bg1"/>
              </a:solidFill>
              <a:latin typeface="Times New Roman" panose="02020603050405020304" pitchFamily="18" charset="0"/>
              <a:ea typeface="Calibri"/>
              <a:cs typeface="Times New Roman" panose="02020603050405020304" pitchFamily="18" charset="0"/>
            </a:rPr>
            <a:pPr algn="ctr"/>
            <a:t> ₦152,589,401 </a:t>
          </a:fld>
          <a:endParaRPr lang="en-US" sz="1100" b="1" baseline="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504825</xdr:colOff>
      <xdr:row>2</xdr:row>
      <xdr:rowOff>166498</xdr:rowOff>
    </xdr:from>
    <xdr:to>
      <xdr:col>5</xdr:col>
      <xdr:colOff>95250</xdr:colOff>
      <xdr:row>7</xdr:row>
      <xdr:rowOff>18670</xdr:rowOff>
    </xdr:to>
    <xdr:sp macro="" textlink="'KPIs &amp; Charts'!C3">
      <xdr:nvSpPr>
        <xdr:cNvPr id="5" name="Rectangle: Rounded Corners 4">
          <a:extLst>
            <a:ext uri="{FF2B5EF4-FFF2-40B4-BE49-F238E27FC236}">
              <a16:creationId xmlns:a16="http://schemas.microsoft.com/office/drawing/2014/main" id="{4A204070-CEA7-43D8-B3CE-E63BE41A3F7E}"/>
            </a:ext>
          </a:extLst>
        </xdr:cNvPr>
        <xdr:cNvSpPr/>
      </xdr:nvSpPr>
      <xdr:spPr>
        <a:xfrm>
          <a:off x="1724025" y="547498"/>
          <a:ext cx="1419225" cy="804672"/>
        </a:xfrm>
        <a:prstGeom prst="roundRect">
          <a:avLst/>
        </a:prstGeom>
        <a:solidFill>
          <a:srgbClr val="1A6F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850AC0-7458-4E10-938F-7321DFA21FC5}"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 ₦5,898,974 </a:t>
          </a:fld>
          <a:endParaRPr lang="en-NG"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209550</xdr:colOff>
      <xdr:row>2</xdr:row>
      <xdr:rowOff>184404</xdr:rowOff>
    </xdr:from>
    <xdr:to>
      <xdr:col>7</xdr:col>
      <xdr:colOff>571500</xdr:colOff>
      <xdr:row>7</xdr:row>
      <xdr:rowOff>36576</xdr:rowOff>
    </xdr:to>
    <xdr:sp macro="" textlink="'KPIs &amp; Charts'!E3">
      <xdr:nvSpPr>
        <xdr:cNvPr id="6" name="Rectangle: Rounded Corners 5">
          <a:extLst>
            <a:ext uri="{FF2B5EF4-FFF2-40B4-BE49-F238E27FC236}">
              <a16:creationId xmlns:a16="http://schemas.microsoft.com/office/drawing/2014/main" id="{F3BFF703-908E-44B9-9E97-D3564527644B}"/>
            </a:ext>
          </a:extLst>
        </xdr:cNvPr>
        <xdr:cNvSpPr/>
      </xdr:nvSpPr>
      <xdr:spPr>
        <a:xfrm>
          <a:off x="3257550" y="565404"/>
          <a:ext cx="1581150" cy="804672"/>
        </a:xfrm>
        <a:prstGeom prst="roundRect">
          <a:avLst/>
        </a:prstGeom>
        <a:solidFill>
          <a:srgbClr val="1A6F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190FE1-0804-40F5-AB8A-B2811494CA4F}"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4%</a:t>
          </a:fld>
          <a:endParaRPr lang="en-NG"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47624</xdr:colOff>
      <xdr:row>2</xdr:row>
      <xdr:rowOff>177165</xdr:rowOff>
    </xdr:from>
    <xdr:to>
      <xdr:col>10</xdr:col>
      <xdr:colOff>361949</xdr:colOff>
      <xdr:row>7</xdr:row>
      <xdr:rowOff>29337</xdr:rowOff>
    </xdr:to>
    <xdr:sp macro="" textlink="'KPIs &amp; Charts'!A6">
      <xdr:nvSpPr>
        <xdr:cNvPr id="7" name="Rectangle: Rounded Corners 6">
          <a:extLst>
            <a:ext uri="{FF2B5EF4-FFF2-40B4-BE49-F238E27FC236}">
              <a16:creationId xmlns:a16="http://schemas.microsoft.com/office/drawing/2014/main" id="{7A8AFB25-7881-4F9D-90DC-4D9188250055}"/>
            </a:ext>
          </a:extLst>
        </xdr:cNvPr>
        <xdr:cNvSpPr/>
      </xdr:nvSpPr>
      <xdr:spPr>
        <a:xfrm>
          <a:off x="4924424" y="558165"/>
          <a:ext cx="1533525" cy="804672"/>
        </a:xfrm>
        <a:prstGeom prst="roundRect">
          <a:avLst/>
        </a:prstGeom>
        <a:solidFill>
          <a:srgbClr val="1A6F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A4F080-E009-471A-8485-52BFB6B50377}"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 9,614 </a:t>
          </a:fld>
          <a:endParaRPr lang="en-NG"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428625</xdr:colOff>
      <xdr:row>2</xdr:row>
      <xdr:rowOff>172593</xdr:rowOff>
    </xdr:from>
    <xdr:to>
      <xdr:col>13</xdr:col>
      <xdr:colOff>19050</xdr:colOff>
      <xdr:row>7</xdr:row>
      <xdr:rowOff>24765</xdr:rowOff>
    </xdr:to>
    <xdr:sp macro="" textlink="'KPIs &amp; Charts'!H5">
      <xdr:nvSpPr>
        <xdr:cNvPr id="8" name="Rectangle: Rounded Corners 7">
          <a:extLst>
            <a:ext uri="{FF2B5EF4-FFF2-40B4-BE49-F238E27FC236}">
              <a16:creationId xmlns:a16="http://schemas.microsoft.com/office/drawing/2014/main" id="{B80A3C68-9357-4A2A-A593-B69584995676}"/>
            </a:ext>
          </a:extLst>
        </xdr:cNvPr>
        <xdr:cNvSpPr/>
      </xdr:nvSpPr>
      <xdr:spPr>
        <a:xfrm>
          <a:off x="6524625" y="553593"/>
          <a:ext cx="1419225" cy="804672"/>
        </a:xfrm>
        <a:prstGeom prst="roundRect">
          <a:avLst/>
        </a:prstGeom>
        <a:solidFill>
          <a:srgbClr val="1A6F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AB15BCD-F70E-4CC8-BE8D-97063079A3AC}"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 101,726 </a:t>
          </a:fld>
          <a:endParaRPr lang="en-NG"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85725</xdr:colOff>
      <xdr:row>2</xdr:row>
      <xdr:rowOff>173736</xdr:rowOff>
    </xdr:from>
    <xdr:to>
      <xdr:col>15</xdr:col>
      <xdr:colOff>285750</xdr:colOff>
      <xdr:row>7</xdr:row>
      <xdr:rowOff>25908</xdr:rowOff>
    </xdr:to>
    <xdr:sp macro="" textlink="'KPIs &amp; Charts'!C6">
      <xdr:nvSpPr>
        <xdr:cNvPr id="9" name="Rectangle: Rounded Corners 8">
          <a:extLst>
            <a:ext uri="{FF2B5EF4-FFF2-40B4-BE49-F238E27FC236}">
              <a16:creationId xmlns:a16="http://schemas.microsoft.com/office/drawing/2014/main" id="{4FF2CB45-232C-4DE3-B6C5-AC67CF5D61B9}"/>
            </a:ext>
          </a:extLst>
        </xdr:cNvPr>
        <xdr:cNvSpPr/>
      </xdr:nvSpPr>
      <xdr:spPr>
        <a:xfrm>
          <a:off x="8010525" y="554736"/>
          <a:ext cx="1419225" cy="804672"/>
        </a:xfrm>
        <a:prstGeom prst="roundRect">
          <a:avLst/>
        </a:prstGeom>
        <a:solidFill>
          <a:srgbClr val="1A6F4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3D1632D-180A-47B8-8DD4-D632DCF19E64}" type="TxLink">
            <a:rPr lang="en-US" sz="1400" b="1" i="0" u="none" strike="noStrike">
              <a:solidFill>
                <a:schemeClr val="bg1"/>
              </a:solidFill>
              <a:latin typeface="Times New Roman" panose="02020603050405020304" pitchFamily="18" charset="0"/>
              <a:ea typeface="Calibri"/>
              <a:cs typeface="Times New Roman" panose="02020603050405020304" pitchFamily="18" charset="0"/>
            </a:rPr>
            <a:pPr algn="ctr"/>
            <a:t> 1,500 </a:t>
          </a:fld>
          <a:endParaRPr lang="en-NG" sz="11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133351</xdr:colOff>
      <xdr:row>18</xdr:row>
      <xdr:rowOff>9525</xdr:rowOff>
    </xdr:from>
    <xdr:to>
      <xdr:col>7</xdr:col>
      <xdr:colOff>523875</xdr:colOff>
      <xdr:row>28</xdr:row>
      <xdr:rowOff>123824</xdr:rowOff>
    </xdr:to>
    <xdr:sp macro="" textlink="">
      <xdr:nvSpPr>
        <xdr:cNvPr id="10" name="Rectangle: Rounded Corners 9">
          <a:extLst>
            <a:ext uri="{FF2B5EF4-FFF2-40B4-BE49-F238E27FC236}">
              <a16:creationId xmlns:a16="http://schemas.microsoft.com/office/drawing/2014/main" id="{F22FCA7A-FF2F-EEA1-4AFA-BA25BCC5EB21}"/>
            </a:ext>
          </a:extLst>
        </xdr:cNvPr>
        <xdr:cNvSpPr/>
      </xdr:nvSpPr>
      <xdr:spPr>
        <a:xfrm>
          <a:off x="133351" y="3438525"/>
          <a:ext cx="4657724" cy="2019299"/>
        </a:xfrm>
        <a:prstGeom prst="roundRect">
          <a:avLst>
            <a:gd name="adj" fmla="val 7574"/>
          </a:avLst>
        </a:prstGeom>
        <a:noFill/>
        <a:ln>
          <a:solidFill>
            <a:srgbClr val="227D5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152400</xdr:colOff>
      <xdr:row>8</xdr:row>
      <xdr:rowOff>47626</xdr:rowOff>
    </xdr:from>
    <xdr:to>
      <xdr:col>7</xdr:col>
      <xdr:colOff>523875</xdr:colOff>
      <xdr:row>17</xdr:row>
      <xdr:rowOff>9526</xdr:rowOff>
    </xdr:to>
    <xdr:sp macro="" textlink="">
      <xdr:nvSpPr>
        <xdr:cNvPr id="15" name="Rectangle: Rounded Corners 14">
          <a:extLst>
            <a:ext uri="{FF2B5EF4-FFF2-40B4-BE49-F238E27FC236}">
              <a16:creationId xmlns:a16="http://schemas.microsoft.com/office/drawing/2014/main" id="{423D8CB7-EFFC-4F30-B357-392C2920690D}"/>
            </a:ext>
          </a:extLst>
        </xdr:cNvPr>
        <xdr:cNvSpPr/>
      </xdr:nvSpPr>
      <xdr:spPr>
        <a:xfrm>
          <a:off x="152400" y="1571626"/>
          <a:ext cx="4638675" cy="1676400"/>
        </a:xfrm>
        <a:prstGeom prst="roundRect">
          <a:avLst>
            <a:gd name="adj" fmla="val 13021"/>
          </a:avLst>
        </a:prstGeom>
        <a:noFill/>
        <a:ln>
          <a:solidFill>
            <a:srgbClr val="227D5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0</xdr:colOff>
      <xdr:row>8</xdr:row>
      <xdr:rowOff>57151</xdr:rowOff>
    </xdr:from>
    <xdr:to>
      <xdr:col>15</xdr:col>
      <xdr:colOff>228600</xdr:colOff>
      <xdr:row>17</xdr:row>
      <xdr:rowOff>19051</xdr:rowOff>
    </xdr:to>
    <xdr:sp macro="" textlink="">
      <xdr:nvSpPr>
        <xdr:cNvPr id="16" name="Rectangle: Rounded Corners 15">
          <a:extLst>
            <a:ext uri="{FF2B5EF4-FFF2-40B4-BE49-F238E27FC236}">
              <a16:creationId xmlns:a16="http://schemas.microsoft.com/office/drawing/2014/main" id="{D0D38390-3287-4D81-BF6D-8050AB137140}"/>
            </a:ext>
          </a:extLst>
        </xdr:cNvPr>
        <xdr:cNvSpPr/>
      </xdr:nvSpPr>
      <xdr:spPr>
        <a:xfrm>
          <a:off x="4876800" y="1581151"/>
          <a:ext cx="4495800" cy="1676400"/>
        </a:xfrm>
        <a:prstGeom prst="roundRect">
          <a:avLst>
            <a:gd name="adj" fmla="val 13021"/>
          </a:avLst>
        </a:prstGeom>
        <a:noFill/>
        <a:ln>
          <a:solidFill>
            <a:srgbClr val="227D5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8</xdr:col>
      <xdr:colOff>9525</xdr:colOff>
      <xdr:row>17</xdr:row>
      <xdr:rowOff>180975</xdr:rowOff>
    </xdr:from>
    <xdr:to>
      <xdr:col>15</xdr:col>
      <xdr:colOff>247650</xdr:colOff>
      <xdr:row>28</xdr:row>
      <xdr:rowOff>114300</xdr:rowOff>
    </xdr:to>
    <xdr:sp macro="" textlink="">
      <xdr:nvSpPr>
        <xdr:cNvPr id="17" name="Rectangle: Rounded Corners 16">
          <a:extLst>
            <a:ext uri="{FF2B5EF4-FFF2-40B4-BE49-F238E27FC236}">
              <a16:creationId xmlns:a16="http://schemas.microsoft.com/office/drawing/2014/main" id="{68983156-2FFB-4465-8197-2452B7634ECF}"/>
            </a:ext>
          </a:extLst>
        </xdr:cNvPr>
        <xdr:cNvSpPr/>
      </xdr:nvSpPr>
      <xdr:spPr>
        <a:xfrm>
          <a:off x="4886325" y="3419475"/>
          <a:ext cx="4505325" cy="2028825"/>
        </a:xfrm>
        <a:prstGeom prst="roundRect">
          <a:avLst>
            <a:gd name="adj" fmla="val 9590"/>
          </a:avLst>
        </a:prstGeom>
        <a:noFill/>
        <a:ln>
          <a:solidFill>
            <a:srgbClr val="227D5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409575</xdr:colOff>
      <xdr:row>2</xdr:row>
      <xdr:rowOff>123825</xdr:rowOff>
    </xdr:from>
    <xdr:to>
      <xdr:col>2</xdr:col>
      <xdr:colOff>190500</xdr:colOff>
      <xdr:row>4</xdr:row>
      <xdr:rowOff>28575</xdr:rowOff>
    </xdr:to>
    <xdr:sp macro="" textlink="">
      <xdr:nvSpPr>
        <xdr:cNvPr id="18" name="TextBox 17">
          <a:extLst>
            <a:ext uri="{FF2B5EF4-FFF2-40B4-BE49-F238E27FC236}">
              <a16:creationId xmlns:a16="http://schemas.microsoft.com/office/drawing/2014/main" id="{EEBB281C-614E-3497-F8A2-FDE33A5AB89F}"/>
            </a:ext>
          </a:extLst>
        </xdr:cNvPr>
        <xdr:cNvSpPr txBox="1"/>
      </xdr:nvSpPr>
      <xdr:spPr>
        <a:xfrm>
          <a:off x="409575" y="504825"/>
          <a:ext cx="1000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solidFill>
              <a:latin typeface="Times New Roman" panose="02020603050405020304" pitchFamily="18" charset="0"/>
              <a:cs typeface="Times New Roman" panose="02020603050405020304" pitchFamily="18" charset="0"/>
            </a:rPr>
            <a:t>Total</a:t>
          </a:r>
          <a:r>
            <a:rPr lang="en-US" sz="1100" b="1" baseline="0">
              <a:solidFill>
                <a:schemeClr val="bg2"/>
              </a:solidFill>
              <a:latin typeface="Times New Roman" panose="02020603050405020304" pitchFamily="18" charset="0"/>
              <a:cs typeface="Times New Roman" panose="02020603050405020304" pitchFamily="18" charset="0"/>
            </a:rPr>
            <a:t> Sales</a:t>
          </a:r>
          <a:endParaRPr lang="en-NG" sz="11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57149</xdr:colOff>
      <xdr:row>2</xdr:row>
      <xdr:rowOff>57151</xdr:rowOff>
    </xdr:from>
    <xdr:to>
      <xdr:col>4</xdr:col>
      <xdr:colOff>561974</xdr:colOff>
      <xdr:row>4</xdr:row>
      <xdr:rowOff>95251</xdr:rowOff>
    </xdr:to>
    <xdr:sp macro="" textlink="">
      <xdr:nvSpPr>
        <xdr:cNvPr id="19" name="TextBox 18">
          <a:extLst>
            <a:ext uri="{FF2B5EF4-FFF2-40B4-BE49-F238E27FC236}">
              <a16:creationId xmlns:a16="http://schemas.microsoft.com/office/drawing/2014/main" id="{065DC28A-71D6-4E2B-B55C-A91337D28027}"/>
            </a:ext>
          </a:extLst>
        </xdr:cNvPr>
        <xdr:cNvSpPr txBox="1"/>
      </xdr:nvSpPr>
      <xdr:spPr>
        <a:xfrm>
          <a:off x="1885949" y="438151"/>
          <a:ext cx="11144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solidFill>
              <a:latin typeface="Times New Roman" panose="02020603050405020304" pitchFamily="18" charset="0"/>
              <a:cs typeface="Times New Roman" panose="02020603050405020304" pitchFamily="18" charset="0"/>
            </a:rPr>
            <a:t>Total</a:t>
          </a:r>
          <a:r>
            <a:rPr lang="en-US" sz="1100" b="1" baseline="0">
              <a:solidFill>
                <a:schemeClr val="bg2"/>
              </a:solidFill>
              <a:latin typeface="Times New Roman" panose="02020603050405020304" pitchFamily="18" charset="0"/>
              <a:cs typeface="Times New Roman" panose="02020603050405020304" pitchFamily="18" charset="0"/>
            </a:rPr>
            <a:t> Discount</a:t>
          </a:r>
          <a:endParaRPr lang="en-NG" sz="11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295274</xdr:colOff>
      <xdr:row>2</xdr:row>
      <xdr:rowOff>28576</xdr:rowOff>
    </xdr:from>
    <xdr:to>
      <xdr:col>7</xdr:col>
      <xdr:colOff>533399</xdr:colOff>
      <xdr:row>4</xdr:row>
      <xdr:rowOff>66676</xdr:rowOff>
    </xdr:to>
    <xdr:sp macro="" textlink="">
      <xdr:nvSpPr>
        <xdr:cNvPr id="20" name="TextBox 19">
          <a:extLst>
            <a:ext uri="{FF2B5EF4-FFF2-40B4-BE49-F238E27FC236}">
              <a16:creationId xmlns:a16="http://schemas.microsoft.com/office/drawing/2014/main" id="{E04BC36F-DCAA-4729-8980-B8FE5639ED46}"/>
            </a:ext>
          </a:extLst>
        </xdr:cNvPr>
        <xdr:cNvSpPr txBox="1"/>
      </xdr:nvSpPr>
      <xdr:spPr>
        <a:xfrm>
          <a:off x="3343274" y="409576"/>
          <a:ext cx="145732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solidFill>
              <a:latin typeface="Times New Roman" panose="02020603050405020304" pitchFamily="18" charset="0"/>
              <a:cs typeface="Times New Roman" panose="02020603050405020304" pitchFamily="18" charset="0"/>
            </a:rPr>
            <a:t>Total</a:t>
          </a:r>
          <a:r>
            <a:rPr lang="en-US" sz="1100" b="1" baseline="0">
              <a:solidFill>
                <a:schemeClr val="bg2"/>
              </a:solidFill>
              <a:latin typeface="Times New Roman" panose="02020603050405020304" pitchFamily="18" charset="0"/>
              <a:cs typeface="Times New Roman" panose="02020603050405020304" pitchFamily="18" charset="0"/>
            </a:rPr>
            <a:t> Discount (%)</a:t>
          </a:r>
          <a:endParaRPr lang="en-NG" sz="11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28574</xdr:colOff>
      <xdr:row>2</xdr:row>
      <xdr:rowOff>38101</xdr:rowOff>
    </xdr:from>
    <xdr:to>
      <xdr:col>10</xdr:col>
      <xdr:colOff>361949</xdr:colOff>
      <xdr:row>4</xdr:row>
      <xdr:rowOff>95251</xdr:rowOff>
    </xdr:to>
    <xdr:sp macro="" textlink="">
      <xdr:nvSpPr>
        <xdr:cNvPr id="21" name="TextBox 20">
          <a:extLst>
            <a:ext uri="{FF2B5EF4-FFF2-40B4-BE49-F238E27FC236}">
              <a16:creationId xmlns:a16="http://schemas.microsoft.com/office/drawing/2014/main" id="{A67E5822-7B88-493B-8CC5-194B0D4B3D54}"/>
            </a:ext>
          </a:extLst>
        </xdr:cNvPr>
        <xdr:cNvSpPr txBox="1"/>
      </xdr:nvSpPr>
      <xdr:spPr>
        <a:xfrm>
          <a:off x="4905374" y="419101"/>
          <a:ext cx="15525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solidFill>
              <a:latin typeface="Times New Roman" panose="02020603050405020304" pitchFamily="18" charset="0"/>
              <a:cs typeface="Times New Roman" panose="02020603050405020304" pitchFamily="18" charset="0"/>
            </a:rPr>
            <a:t>Total</a:t>
          </a:r>
          <a:r>
            <a:rPr lang="en-US" sz="1100" b="1" baseline="0">
              <a:solidFill>
                <a:schemeClr val="bg2"/>
              </a:solidFill>
              <a:latin typeface="Times New Roman" panose="02020603050405020304" pitchFamily="18" charset="0"/>
              <a:cs typeface="Times New Roman" panose="02020603050405020304" pitchFamily="18" charset="0"/>
            </a:rPr>
            <a:t> Quantity Sold</a:t>
          </a:r>
          <a:endParaRPr lang="en-NG" sz="11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428625</xdr:colOff>
      <xdr:row>2</xdr:row>
      <xdr:rowOff>85725</xdr:rowOff>
    </xdr:from>
    <xdr:to>
      <xdr:col>12</xdr:col>
      <xdr:colOff>600075</xdr:colOff>
      <xdr:row>4</xdr:row>
      <xdr:rowOff>86868</xdr:rowOff>
    </xdr:to>
    <xdr:sp macro="" textlink="">
      <xdr:nvSpPr>
        <xdr:cNvPr id="22" name="TextBox 21">
          <a:extLst>
            <a:ext uri="{FF2B5EF4-FFF2-40B4-BE49-F238E27FC236}">
              <a16:creationId xmlns:a16="http://schemas.microsoft.com/office/drawing/2014/main" id="{0471FD49-1318-42C8-8918-01F6E9FAEBCD}"/>
            </a:ext>
          </a:extLst>
        </xdr:cNvPr>
        <xdr:cNvSpPr txBox="1"/>
      </xdr:nvSpPr>
      <xdr:spPr>
        <a:xfrm>
          <a:off x="6524625" y="466725"/>
          <a:ext cx="1390650" cy="38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solidFill>
              <a:latin typeface="Times New Roman" panose="02020603050405020304" pitchFamily="18" charset="0"/>
              <a:cs typeface="Times New Roman" panose="02020603050405020304" pitchFamily="18" charset="0"/>
            </a:rPr>
            <a:t>Avg</a:t>
          </a:r>
          <a:r>
            <a:rPr lang="en-US" sz="1100" b="1" baseline="0">
              <a:solidFill>
                <a:schemeClr val="bg2"/>
              </a:solidFill>
              <a:latin typeface="Times New Roman" panose="02020603050405020304" pitchFamily="18" charset="0"/>
              <a:cs typeface="Times New Roman" panose="02020603050405020304" pitchFamily="18" charset="0"/>
            </a:rPr>
            <a:t> Order Value</a:t>
          </a:r>
          <a:endParaRPr lang="en-NG" sz="11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95250</xdr:colOff>
      <xdr:row>2</xdr:row>
      <xdr:rowOff>95250</xdr:rowOff>
    </xdr:from>
    <xdr:to>
      <xdr:col>15</xdr:col>
      <xdr:colOff>295275</xdr:colOff>
      <xdr:row>4</xdr:row>
      <xdr:rowOff>88011</xdr:rowOff>
    </xdr:to>
    <xdr:sp macro="" textlink="">
      <xdr:nvSpPr>
        <xdr:cNvPr id="23" name="TextBox 22">
          <a:extLst>
            <a:ext uri="{FF2B5EF4-FFF2-40B4-BE49-F238E27FC236}">
              <a16:creationId xmlns:a16="http://schemas.microsoft.com/office/drawing/2014/main" id="{CA5893EE-2DC5-4368-B092-8AB0124EAF91}"/>
            </a:ext>
          </a:extLst>
        </xdr:cNvPr>
        <xdr:cNvSpPr txBox="1"/>
      </xdr:nvSpPr>
      <xdr:spPr>
        <a:xfrm>
          <a:off x="8020050" y="476250"/>
          <a:ext cx="1419225" cy="373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solidFill>
              <a:latin typeface="Times New Roman" panose="02020603050405020304" pitchFamily="18" charset="0"/>
              <a:cs typeface="Times New Roman" panose="02020603050405020304" pitchFamily="18" charset="0"/>
            </a:rPr>
            <a:t>Total</a:t>
          </a:r>
          <a:r>
            <a:rPr lang="en-US" sz="1100" b="1" baseline="0">
              <a:solidFill>
                <a:schemeClr val="bg2"/>
              </a:solidFill>
              <a:latin typeface="Times New Roman" panose="02020603050405020304" pitchFamily="18" charset="0"/>
              <a:cs typeface="Times New Roman" panose="02020603050405020304" pitchFamily="18" charset="0"/>
            </a:rPr>
            <a:t> Transactions</a:t>
          </a:r>
          <a:endParaRPr lang="en-NG" sz="1100" b="1">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323850</xdr:colOff>
      <xdr:row>0</xdr:row>
      <xdr:rowOff>142874</xdr:rowOff>
    </xdr:from>
    <xdr:to>
      <xdr:col>20</xdr:col>
      <xdr:colOff>323850</xdr:colOff>
      <xdr:row>28</xdr:row>
      <xdr:rowOff>142875</xdr:rowOff>
    </xdr:to>
    <xdr:sp macro="" textlink="">
      <xdr:nvSpPr>
        <xdr:cNvPr id="31" name="Rectangle: Rounded Corners 30">
          <a:extLst>
            <a:ext uri="{FF2B5EF4-FFF2-40B4-BE49-F238E27FC236}">
              <a16:creationId xmlns:a16="http://schemas.microsoft.com/office/drawing/2014/main" id="{D845A08B-37B1-A99F-034E-CFE741880BCD}"/>
            </a:ext>
          </a:extLst>
        </xdr:cNvPr>
        <xdr:cNvSpPr/>
      </xdr:nvSpPr>
      <xdr:spPr>
        <a:xfrm>
          <a:off x="9467850" y="142874"/>
          <a:ext cx="3048000" cy="5334001"/>
        </a:xfrm>
        <a:prstGeom prst="roundRect">
          <a:avLst>
            <a:gd name="adj" fmla="val 0"/>
          </a:avLst>
        </a:prstGeom>
        <a:solidFill>
          <a:srgbClr val="195E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0</xdr:col>
      <xdr:colOff>295275</xdr:colOff>
      <xdr:row>7</xdr:row>
      <xdr:rowOff>28576</xdr:rowOff>
    </xdr:from>
    <xdr:to>
      <xdr:col>5</xdr:col>
      <xdr:colOff>76200</xdr:colOff>
      <xdr:row>8</xdr:row>
      <xdr:rowOff>47626</xdr:rowOff>
    </xdr:to>
    <xdr:sp macro="" textlink="">
      <xdr:nvSpPr>
        <xdr:cNvPr id="34" name="TextBox 33">
          <a:extLst>
            <a:ext uri="{FF2B5EF4-FFF2-40B4-BE49-F238E27FC236}">
              <a16:creationId xmlns:a16="http://schemas.microsoft.com/office/drawing/2014/main" id="{6EC050C8-22BB-198F-ED4A-BBDB8E2F7538}"/>
            </a:ext>
          </a:extLst>
        </xdr:cNvPr>
        <xdr:cNvSpPr txBox="1"/>
      </xdr:nvSpPr>
      <xdr:spPr>
        <a:xfrm>
          <a:off x="295275" y="1362076"/>
          <a:ext cx="2828925" cy="2095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Total Sales</a:t>
          </a:r>
          <a:r>
            <a:rPr lang="en-US" sz="1100" b="1" baseline="0">
              <a:latin typeface="Times New Roman" panose="02020603050405020304" pitchFamily="18" charset="0"/>
              <a:cs typeface="Times New Roman" panose="02020603050405020304" pitchFamily="18" charset="0"/>
            </a:rPr>
            <a:t> by Branch</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8</xdr:col>
      <xdr:colOff>257175</xdr:colOff>
      <xdr:row>7</xdr:row>
      <xdr:rowOff>28575</xdr:rowOff>
    </xdr:from>
    <xdr:to>
      <xdr:col>13</xdr:col>
      <xdr:colOff>28575</xdr:colOff>
      <xdr:row>8</xdr:row>
      <xdr:rowOff>95250</xdr:rowOff>
    </xdr:to>
    <xdr:sp macro="" textlink="">
      <xdr:nvSpPr>
        <xdr:cNvPr id="35" name="Rectangle 34">
          <a:extLst>
            <a:ext uri="{FF2B5EF4-FFF2-40B4-BE49-F238E27FC236}">
              <a16:creationId xmlns:a16="http://schemas.microsoft.com/office/drawing/2014/main" id="{44E27CA5-335B-90A3-0DE3-2C8E5074C281}"/>
            </a:ext>
          </a:extLst>
        </xdr:cNvPr>
        <xdr:cNvSpPr/>
      </xdr:nvSpPr>
      <xdr:spPr>
        <a:xfrm>
          <a:off x="5133975" y="1362075"/>
          <a:ext cx="2819400" cy="257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Times New Roman" panose="02020603050405020304" pitchFamily="18" charset="0"/>
              <a:cs typeface="Times New Roman" panose="02020603050405020304" pitchFamily="18" charset="0"/>
            </a:rPr>
            <a:t>Discount by Branch</a:t>
          </a:r>
          <a:endParaRPr lang="en-NG"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285750</xdr:colOff>
      <xdr:row>16</xdr:row>
      <xdr:rowOff>180975</xdr:rowOff>
    </xdr:from>
    <xdr:to>
      <xdr:col>5</xdr:col>
      <xdr:colOff>104775</xdr:colOff>
      <xdr:row>18</xdr:row>
      <xdr:rowOff>9525</xdr:rowOff>
    </xdr:to>
    <xdr:sp macro="" textlink="">
      <xdr:nvSpPr>
        <xdr:cNvPr id="36" name="Rectangle 35">
          <a:extLst>
            <a:ext uri="{FF2B5EF4-FFF2-40B4-BE49-F238E27FC236}">
              <a16:creationId xmlns:a16="http://schemas.microsoft.com/office/drawing/2014/main" id="{D627B116-7340-5B12-844D-E6CDD9A44F08}"/>
            </a:ext>
          </a:extLst>
        </xdr:cNvPr>
        <xdr:cNvSpPr/>
      </xdr:nvSpPr>
      <xdr:spPr>
        <a:xfrm>
          <a:off x="285750" y="3228975"/>
          <a:ext cx="2867025" cy="2095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Times New Roman" panose="02020603050405020304" pitchFamily="18" charset="0"/>
              <a:cs typeface="Times New Roman" panose="02020603050405020304" pitchFamily="18" charset="0"/>
            </a:rPr>
            <a:t>Sales by Category</a:t>
          </a:r>
          <a:endParaRPr lang="en-NG"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276225</xdr:colOff>
      <xdr:row>16</xdr:row>
      <xdr:rowOff>161925</xdr:rowOff>
    </xdr:from>
    <xdr:to>
      <xdr:col>13</xdr:col>
      <xdr:colOff>104775</xdr:colOff>
      <xdr:row>18</xdr:row>
      <xdr:rowOff>0</xdr:rowOff>
    </xdr:to>
    <xdr:sp macro="" textlink="">
      <xdr:nvSpPr>
        <xdr:cNvPr id="37" name="Rectangle 36">
          <a:extLst>
            <a:ext uri="{FF2B5EF4-FFF2-40B4-BE49-F238E27FC236}">
              <a16:creationId xmlns:a16="http://schemas.microsoft.com/office/drawing/2014/main" id="{81A1FFDD-4A78-426A-990A-2F971FFA71A9}"/>
            </a:ext>
          </a:extLst>
        </xdr:cNvPr>
        <xdr:cNvSpPr/>
      </xdr:nvSpPr>
      <xdr:spPr>
        <a:xfrm>
          <a:off x="5153025" y="3209925"/>
          <a:ext cx="2876550" cy="2190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solidFill>
              <a:latin typeface="Times New Roman" panose="02020603050405020304" pitchFamily="18" charset="0"/>
              <a:cs typeface="Times New Roman" panose="02020603050405020304" pitchFamily="18" charset="0"/>
            </a:rPr>
            <a:t>Monthly Sales</a:t>
          </a:r>
          <a:r>
            <a:rPr lang="en-US" sz="1100" b="1" baseline="0">
              <a:solidFill>
                <a:schemeClr val="tx1"/>
              </a:solidFill>
              <a:latin typeface="Times New Roman" panose="02020603050405020304" pitchFamily="18" charset="0"/>
              <a:cs typeface="Times New Roman" panose="02020603050405020304" pitchFamily="18" charset="0"/>
            </a:rPr>
            <a:t> Trends</a:t>
          </a:r>
          <a:endParaRPr lang="en-NG"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190500</xdr:colOff>
      <xdr:row>8</xdr:row>
      <xdr:rowOff>76200</xdr:rowOff>
    </xdr:from>
    <xdr:to>
      <xdr:col>7</xdr:col>
      <xdr:colOff>466725</xdr:colOff>
      <xdr:row>16</xdr:row>
      <xdr:rowOff>180975</xdr:rowOff>
    </xdr:to>
    <xdr:graphicFrame macro="">
      <xdr:nvGraphicFramePr>
        <xdr:cNvPr id="12" name="Chart 11">
          <a:extLst>
            <a:ext uri="{FF2B5EF4-FFF2-40B4-BE49-F238E27FC236}">
              <a16:creationId xmlns:a16="http://schemas.microsoft.com/office/drawing/2014/main" id="{D78789BD-9B56-43A6-890B-50218DC71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66675</xdr:colOff>
      <xdr:row>8</xdr:row>
      <xdr:rowOff>47627</xdr:rowOff>
    </xdr:from>
    <xdr:to>
      <xdr:col>15</xdr:col>
      <xdr:colOff>219074</xdr:colOff>
      <xdr:row>16</xdr:row>
      <xdr:rowOff>152401</xdr:rowOff>
    </xdr:to>
    <xdr:graphicFrame macro="">
      <xdr:nvGraphicFramePr>
        <xdr:cNvPr id="13" name="Chart 12">
          <a:extLst>
            <a:ext uri="{FF2B5EF4-FFF2-40B4-BE49-F238E27FC236}">
              <a16:creationId xmlns:a16="http://schemas.microsoft.com/office/drawing/2014/main" id="{42CE63B0-E4EF-4FB0-B709-9CEC99F11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104774</xdr:colOff>
      <xdr:row>18</xdr:row>
      <xdr:rowOff>28576</xdr:rowOff>
    </xdr:from>
    <xdr:to>
      <xdr:col>7</xdr:col>
      <xdr:colOff>495299</xdr:colOff>
      <xdr:row>28</xdr:row>
      <xdr:rowOff>114300</xdr:rowOff>
    </xdr:to>
    <xdr:graphicFrame macro="">
      <xdr:nvGraphicFramePr>
        <xdr:cNvPr id="14" name="Chart 13">
          <a:extLst>
            <a:ext uri="{FF2B5EF4-FFF2-40B4-BE49-F238E27FC236}">
              <a16:creationId xmlns:a16="http://schemas.microsoft.com/office/drawing/2014/main" id="{16A61F63-3B72-4583-BE4E-4ED8CB0D5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9525</xdr:colOff>
      <xdr:row>18</xdr:row>
      <xdr:rowOff>28575</xdr:rowOff>
    </xdr:from>
    <xdr:to>
      <xdr:col>15</xdr:col>
      <xdr:colOff>257175</xdr:colOff>
      <xdr:row>28</xdr:row>
      <xdr:rowOff>85727</xdr:rowOff>
    </xdr:to>
    <xdr:graphicFrame macro="">
      <xdr:nvGraphicFramePr>
        <xdr:cNvPr id="24" name="Chart 23">
          <a:extLst>
            <a:ext uri="{FF2B5EF4-FFF2-40B4-BE49-F238E27FC236}">
              <a16:creationId xmlns:a16="http://schemas.microsoft.com/office/drawing/2014/main" id="{81E88E09-E1E1-4FE1-A371-6E088B35B9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381000</xdr:colOff>
      <xdr:row>1</xdr:row>
      <xdr:rowOff>19050</xdr:rowOff>
    </xdr:from>
    <xdr:to>
      <xdr:col>20</xdr:col>
      <xdr:colOff>247650</xdr:colOff>
      <xdr:row>7</xdr:row>
      <xdr:rowOff>9525</xdr:rowOff>
    </xdr:to>
    <mc:AlternateContent xmlns:mc="http://schemas.openxmlformats.org/markup-compatibility/2006" xmlns:a14="http://schemas.microsoft.com/office/drawing/2010/main">
      <mc:Choice Requires="a14">
        <xdr:graphicFrame macro="">
          <xdr:nvGraphicFramePr>
            <xdr:cNvPr id="25" name="Branch">
              <a:extLst>
                <a:ext uri="{FF2B5EF4-FFF2-40B4-BE49-F238E27FC236}">
                  <a16:creationId xmlns:a16="http://schemas.microsoft.com/office/drawing/2014/main" id="{FE04EC29-CDCD-4AFB-AC22-B1696A40E0EF}"/>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9525000" y="209550"/>
              <a:ext cx="2914650" cy="11334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342900</xdr:colOff>
      <xdr:row>7</xdr:row>
      <xdr:rowOff>57149</xdr:rowOff>
    </xdr:from>
    <xdr:to>
      <xdr:col>20</xdr:col>
      <xdr:colOff>314325</xdr:colOff>
      <xdr:row>28</xdr:row>
      <xdr:rowOff>133350</xdr:rowOff>
    </xdr:to>
    <xdr:sp macro="" textlink="">
      <xdr:nvSpPr>
        <xdr:cNvPr id="27" name="TextBox 26">
          <a:extLst>
            <a:ext uri="{FF2B5EF4-FFF2-40B4-BE49-F238E27FC236}">
              <a16:creationId xmlns:a16="http://schemas.microsoft.com/office/drawing/2014/main" id="{370988CD-597F-33A7-92C0-F311C1E057C3}"/>
            </a:ext>
          </a:extLst>
        </xdr:cNvPr>
        <xdr:cNvSpPr txBox="1"/>
      </xdr:nvSpPr>
      <xdr:spPr>
        <a:xfrm>
          <a:off x="9486900" y="1390649"/>
          <a:ext cx="3019425" cy="4076701"/>
        </a:xfrm>
        <a:prstGeom prst="rect">
          <a:avLst/>
        </a:prstGeom>
        <a:solidFill>
          <a:srgbClr val="FD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NG" sz="1100"/>
        </a:p>
      </xdr:txBody>
    </xdr:sp>
    <xdr:clientData/>
  </xdr:twoCellAnchor>
  <xdr:twoCellAnchor>
    <xdr:from>
      <xdr:col>15</xdr:col>
      <xdr:colOff>371475</xdr:colOff>
      <xdr:row>7</xdr:row>
      <xdr:rowOff>76201</xdr:rowOff>
    </xdr:from>
    <xdr:to>
      <xdr:col>18</xdr:col>
      <xdr:colOff>600075</xdr:colOff>
      <xdr:row>8</xdr:row>
      <xdr:rowOff>123825</xdr:rowOff>
    </xdr:to>
    <xdr:sp macro="" textlink="">
      <xdr:nvSpPr>
        <xdr:cNvPr id="28" name="TextBox 27">
          <a:extLst>
            <a:ext uri="{FF2B5EF4-FFF2-40B4-BE49-F238E27FC236}">
              <a16:creationId xmlns:a16="http://schemas.microsoft.com/office/drawing/2014/main" id="{66ECDA04-E13A-3AAE-4A48-3CB7DD4A7D88}"/>
            </a:ext>
          </a:extLst>
        </xdr:cNvPr>
        <xdr:cNvSpPr txBox="1"/>
      </xdr:nvSpPr>
      <xdr:spPr>
        <a:xfrm>
          <a:off x="9515475" y="1409701"/>
          <a:ext cx="20574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Times New Roman" panose="02020603050405020304" pitchFamily="18" charset="0"/>
              <a:cs typeface="Times New Roman" panose="02020603050405020304" pitchFamily="18" charset="0"/>
            </a:rPr>
            <a:t>Returning Vs</a:t>
          </a:r>
          <a:r>
            <a:rPr lang="en-US" sz="1100" b="1" baseline="0">
              <a:latin typeface="Times New Roman" panose="02020603050405020304" pitchFamily="18" charset="0"/>
              <a:cs typeface="Times New Roman" panose="02020603050405020304" pitchFamily="18" charset="0"/>
            </a:rPr>
            <a:t> New Customers</a:t>
          </a:r>
          <a:endParaRPr lang="en-NG" sz="1100" b="1">
            <a:latin typeface="Times New Roman" panose="02020603050405020304" pitchFamily="18" charset="0"/>
            <a:cs typeface="Times New Roman" panose="02020603050405020304" pitchFamily="18" charset="0"/>
          </a:endParaRPr>
        </a:p>
      </xdr:txBody>
    </xdr:sp>
    <xdr:clientData/>
  </xdr:twoCellAnchor>
  <xdr:twoCellAnchor>
    <xdr:from>
      <xdr:col>15</xdr:col>
      <xdr:colOff>457200</xdr:colOff>
      <xdr:row>8</xdr:row>
      <xdr:rowOff>142875</xdr:rowOff>
    </xdr:from>
    <xdr:to>
      <xdr:col>20</xdr:col>
      <xdr:colOff>238125</xdr:colOff>
      <xdr:row>17</xdr:row>
      <xdr:rowOff>114300</xdr:rowOff>
    </xdr:to>
    <xdr:graphicFrame macro="">
      <xdr:nvGraphicFramePr>
        <xdr:cNvPr id="29" name="Chart 28">
          <a:extLst>
            <a:ext uri="{FF2B5EF4-FFF2-40B4-BE49-F238E27FC236}">
              <a16:creationId xmlns:a16="http://schemas.microsoft.com/office/drawing/2014/main" id="{EB976BCF-5162-4F86-A540-7414B0EA6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390525</xdr:colOff>
      <xdr:row>17</xdr:row>
      <xdr:rowOff>180975</xdr:rowOff>
    </xdr:from>
    <xdr:ext cx="2266950" cy="219075"/>
    <xdr:sp macro="" textlink="">
      <xdr:nvSpPr>
        <xdr:cNvPr id="30" name="TextBox 29">
          <a:extLst>
            <a:ext uri="{FF2B5EF4-FFF2-40B4-BE49-F238E27FC236}">
              <a16:creationId xmlns:a16="http://schemas.microsoft.com/office/drawing/2014/main" id="{D6DD4E67-0922-8FA3-B435-7BE7AF085E62}"/>
            </a:ext>
          </a:extLst>
        </xdr:cNvPr>
        <xdr:cNvSpPr txBox="1"/>
      </xdr:nvSpPr>
      <xdr:spPr>
        <a:xfrm>
          <a:off x="9534525" y="3419475"/>
          <a:ext cx="2266950" cy="219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latin typeface="Times New Roman" panose="02020603050405020304" pitchFamily="18" charset="0"/>
              <a:cs typeface="Times New Roman" panose="02020603050405020304" pitchFamily="18" charset="0"/>
            </a:rPr>
            <a:t>Payment Method</a:t>
          </a:r>
          <a:endParaRPr lang="en-NG" sz="1100" b="1">
            <a:latin typeface="Times New Roman" panose="02020603050405020304" pitchFamily="18" charset="0"/>
            <a:cs typeface="Times New Roman" panose="02020603050405020304" pitchFamily="18" charset="0"/>
          </a:endParaRPr>
        </a:p>
      </xdr:txBody>
    </xdr:sp>
    <xdr:clientData/>
  </xdr:oneCellAnchor>
  <xdr:twoCellAnchor>
    <xdr:from>
      <xdr:col>15</xdr:col>
      <xdr:colOff>400050</xdr:colOff>
      <xdr:row>8</xdr:row>
      <xdr:rowOff>123825</xdr:rowOff>
    </xdr:from>
    <xdr:to>
      <xdr:col>20</xdr:col>
      <xdr:colOff>238125</xdr:colOff>
      <xdr:row>17</xdr:row>
      <xdr:rowOff>161925</xdr:rowOff>
    </xdr:to>
    <xdr:sp macro="" textlink="">
      <xdr:nvSpPr>
        <xdr:cNvPr id="33" name="Rectangle: Rounded Corners 32">
          <a:extLst>
            <a:ext uri="{FF2B5EF4-FFF2-40B4-BE49-F238E27FC236}">
              <a16:creationId xmlns:a16="http://schemas.microsoft.com/office/drawing/2014/main" id="{BDB0F8A2-474E-A07B-1BB8-581362D05461}"/>
            </a:ext>
          </a:extLst>
        </xdr:cNvPr>
        <xdr:cNvSpPr/>
      </xdr:nvSpPr>
      <xdr:spPr>
        <a:xfrm>
          <a:off x="9544050" y="1647825"/>
          <a:ext cx="2886075" cy="1752600"/>
        </a:xfrm>
        <a:prstGeom prst="roundRect">
          <a:avLst/>
        </a:prstGeom>
        <a:noFill/>
        <a:ln>
          <a:solidFill>
            <a:srgbClr val="195E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371475</xdr:colOff>
      <xdr:row>19</xdr:row>
      <xdr:rowOff>28575</xdr:rowOff>
    </xdr:from>
    <xdr:to>
      <xdr:col>20</xdr:col>
      <xdr:colOff>266700</xdr:colOff>
      <xdr:row>28</xdr:row>
      <xdr:rowOff>104775</xdr:rowOff>
    </xdr:to>
    <xdr:sp macro="" textlink="">
      <xdr:nvSpPr>
        <xdr:cNvPr id="38" name="Rectangle: Rounded Corners 37">
          <a:extLst>
            <a:ext uri="{FF2B5EF4-FFF2-40B4-BE49-F238E27FC236}">
              <a16:creationId xmlns:a16="http://schemas.microsoft.com/office/drawing/2014/main" id="{840C3059-F86C-4A9E-8F60-DA52925E3586}"/>
            </a:ext>
          </a:extLst>
        </xdr:cNvPr>
        <xdr:cNvSpPr/>
      </xdr:nvSpPr>
      <xdr:spPr>
        <a:xfrm>
          <a:off x="9515475" y="3648075"/>
          <a:ext cx="2943225" cy="1790700"/>
        </a:xfrm>
        <a:prstGeom prst="roundRect">
          <a:avLst/>
        </a:prstGeom>
        <a:noFill/>
        <a:ln>
          <a:solidFill>
            <a:srgbClr val="195E3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123825</xdr:colOff>
      <xdr:row>19</xdr:row>
      <xdr:rowOff>9526</xdr:rowOff>
    </xdr:from>
    <xdr:to>
      <xdr:col>20</xdr:col>
      <xdr:colOff>438150</xdr:colOff>
      <xdr:row>28</xdr:row>
      <xdr:rowOff>176214</xdr:rowOff>
    </xdr:to>
    <xdr:graphicFrame macro="">
      <xdr:nvGraphicFramePr>
        <xdr:cNvPr id="40" name="Chart 39">
          <a:extLst>
            <a:ext uri="{FF2B5EF4-FFF2-40B4-BE49-F238E27FC236}">
              <a16:creationId xmlns:a16="http://schemas.microsoft.com/office/drawing/2014/main" id="{950CFD19-71B7-4811-B8BC-07B26E021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ke Tolulope" refreshedDate="46295.590571643515" createdVersion="8" refreshedVersion="8" minRefreshableVersion="3" recordCount="1500" xr:uid="{F47DE31D-70AF-4A60-A182-FB999ADE8318}">
  <cacheSource type="worksheet">
    <worksheetSource ref="A1:Q1501" sheet="Correct"/>
  </cacheSource>
  <cacheFields count="18">
    <cacheField name="Transaction ID" numFmtId="0">
      <sharedItems/>
    </cacheField>
    <cacheField name="Date" numFmtId="14">
      <sharedItems containsSemiMixedTypes="0" containsNonDate="0" containsDate="1" containsString="0" minDate="2025-01-01T00:00:00" maxDate="2026-01-01T00:00:00"/>
    </cacheField>
    <cacheField name="Branch" numFmtId="49">
      <sharedItems count="9">
        <s v="Abuja"/>
        <s v="Ibadan"/>
        <s v="Enugu"/>
        <s v="Port Harcourt"/>
        <s v="Kano"/>
        <s v="Lagos"/>
        <s v="Benin City"/>
        <s v="Unknown" u="1"/>
        <s v="" u="1"/>
      </sharedItems>
    </cacheField>
    <cacheField name="Region" numFmtId="0">
      <sharedItems/>
    </cacheField>
    <cacheField name="Product Category" numFmtId="0">
      <sharedItems count="10">
        <s v="Beauty &amp; Personal Care"/>
        <s v="Electronics"/>
        <s v="Household"/>
        <s v="Fashion"/>
        <s v="Groceries"/>
        <s v="Unknown" u="1"/>
        <s v="Grocery" u="1"/>
        <s v="Fashions" u="1"/>
        <s v="House Hold" u="1"/>
        <s v="N/A" u="1"/>
      </sharedItems>
    </cacheField>
    <cacheField name="Product Name" numFmtId="0">
      <sharedItems/>
    </cacheField>
    <cacheField name="Quantity" numFmtId="0">
      <sharedItems containsSemiMixedTypes="0" containsString="0" containsNumber="1" containsInteger="1" minValue="1" maxValue="12"/>
    </cacheField>
    <cacheField name="Unit Price (NGN)" numFmtId="43">
      <sharedItems containsSemiMixedTypes="0" containsString="0" containsNumber="1" minValue="450" maxValue="74730"/>
    </cacheField>
    <cacheField name="Discount (%)" numFmtId="2">
      <sharedItems containsSemiMixedTypes="0" containsString="0" containsNumber="1" containsInteger="1" minValue="0" maxValue="15"/>
    </cacheField>
    <cacheField name="Total Sales (NGN)" numFmtId="43">
      <sharedItems containsSemiMixedTypes="0" containsString="0" containsNumber="1" minValue="416.5" maxValue="856680"/>
    </cacheField>
    <cacheField name="Gross Sales (NGN)" numFmtId="43">
      <sharedItems containsSemiMixedTypes="0" containsString="0" containsNumber="1" minValue="460" maxValue="879600"/>
    </cacheField>
    <cacheField name="Discount Amount(NGN)" numFmtId="2">
      <sharedItems containsSemiMixedTypes="0" containsString="0" containsNumber="1" minValue="0" maxValue="121737"/>
    </cacheField>
    <cacheField name="Payment Method" numFmtId="0">
      <sharedItems count="7">
        <s v="Card"/>
        <s v="Bank Transfer"/>
        <s v="Cash"/>
        <s v="Pos"/>
        <s v="Unknown" u="1"/>
        <s v="N/A" u="1"/>
        <s v="Transfer" u="1"/>
      </sharedItems>
    </cacheField>
    <cacheField name="Sales Rep" numFmtId="0">
      <sharedItems/>
    </cacheField>
    <cacheField name="Year" numFmtId="0">
      <sharedItems containsSemiMixedTypes="0" containsString="0" containsNumber="1" containsInteger="1" minValue="2025" maxValue="2025" count="1">
        <n v="2025"/>
      </sharedItems>
    </cacheField>
    <cacheField name="Month" numFmtId="0">
      <sharedItems count="24">
        <s v="September"/>
        <s v="June"/>
        <s v="August"/>
        <s v="November"/>
        <s v="April"/>
        <s v="May"/>
        <s v="October"/>
        <s v="January"/>
        <s v="February"/>
        <s v="March"/>
        <s v="July"/>
        <s v="December"/>
        <s v="September 2025" u="1"/>
        <s v="June 2025" u="1"/>
        <s v="August 2025" u="1"/>
        <s v="November 2025" u="1"/>
        <s v="April 2025" u="1"/>
        <s v="May 2025" u="1"/>
        <s v="October 2025" u="1"/>
        <s v="January 2025" u="1"/>
        <s v="February 2025" u="1"/>
        <s v="March 2025" u="1"/>
        <s v="July 2025" u="1"/>
        <s v="December 2025" u="1"/>
      </sharedItems>
    </cacheField>
    <cacheField name="Customer Type" numFmtId="0">
      <sharedItems count="3">
        <s v="New"/>
        <s v="Returning"/>
        <s v="Unknown" u="1"/>
      </sharedItems>
    </cacheField>
    <cacheField name="Total Discount" numFmtId="0" formula="'Discount Amount(NGN)'/'Total Sales (NGN)'" databaseField="0"/>
  </cacheFields>
  <extLst>
    <ext xmlns:x14="http://schemas.microsoft.com/office/spreadsheetml/2009/9/main" uri="{725AE2AE-9491-48be-B2B4-4EB974FC3084}">
      <x14:pivotCacheDefinition pivotCacheId="1887757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s v="TXN-00231"/>
    <d v="2025-09-24T00:00:00"/>
    <x v="0"/>
    <s v="North-Central"/>
    <x v="0"/>
    <s v="Body Lotion 400ml"/>
    <n v="1"/>
    <n v="540"/>
    <n v="0"/>
    <n v="540"/>
    <n v="540"/>
    <n v="0"/>
    <x v="0"/>
    <s v="Grace Okafor"/>
    <x v="0"/>
    <x v="0"/>
    <x v="0"/>
  </r>
  <r>
    <s v="TXN-01390"/>
    <d v="2025-06-25T00:00:00"/>
    <x v="0"/>
    <s v="North-Central"/>
    <x v="1"/>
    <s v="Home Theatre System"/>
    <n v="1"/>
    <n v="69830"/>
    <n v="10"/>
    <n v="62847"/>
    <n v="69830"/>
    <n v="6983"/>
    <x v="1"/>
    <s v="Ifeoma Adeyemi"/>
    <x v="0"/>
    <x v="1"/>
    <x v="0"/>
  </r>
  <r>
    <s v="TXN-00839"/>
    <d v="2025-08-09T00:00:00"/>
    <x v="1"/>
    <s v="South-West"/>
    <x v="0"/>
    <s v="Toothpaste Pack"/>
    <n v="3"/>
    <n v="63000"/>
    <n v="0"/>
    <n v="189000"/>
    <n v="189000"/>
    <n v="0"/>
    <x v="2"/>
    <s v="Ifeoma Adeyemi"/>
    <x v="0"/>
    <x v="2"/>
    <x v="1"/>
  </r>
  <r>
    <s v="TXN-01328"/>
    <d v="2025-11-24T00:00:00"/>
    <x v="2"/>
    <s v="South-East"/>
    <x v="1"/>
    <s v="Microwave Oven"/>
    <n v="10"/>
    <n v="64980"/>
    <n v="0"/>
    <n v="649800"/>
    <n v="649800"/>
    <n v="0"/>
    <x v="0"/>
    <s v="Ngozi Ibrahim"/>
    <x v="0"/>
    <x v="3"/>
    <x v="1"/>
  </r>
  <r>
    <s v="TXN-00816"/>
    <d v="2025-04-11T00:00:00"/>
    <x v="3"/>
    <s v="South-South"/>
    <x v="1"/>
    <s v="Microwave Oven"/>
    <n v="12"/>
    <n v="510"/>
    <n v="10"/>
    <n v="5508"/>
    <n v="6120"/>
    <n v="612"/>
    <x v="1"/>
    <s v="Chidera Bello"/>
    <x v="0"/>
    <x v="4"/>
    <x v="1"/>
  </r>
  <r>
    <s v="TXN-00740"/>
    <d v="2025-04-27T00:00:00"/>
    <x v="4"/>
    <s v="North-West"/>
    <x v="2"/>
    <s v="Laundry Basket"/>
    <n v="12"/>
    <n v="7770"/>
    <n v="5"/>
    <n v="88578"/>
    <n v="93240"/>
    <n v="4662"/>
    <x v="0"/>
    <s v="Grace Okafor"/>
    <x v="0"/>
    <x v="4"/>
    <x v="1"/>
  </r>
  <r>
    <s v="TXN-00245"/>
    <d v="2025-05-26T00:00:00"/>
    <x v="3"/>
    <s v="South-South"/>
    <x v="3"/>
    <s v="Ladies Ankara Gown"/>
    <n v="11"/>
    <n v="26100"/>
    <n v="0"/>
    <n v="287100"/>
    <n v="287100"/>
    <n v="0"/>
    <x v="2"/>
    <s v="Amaka Onwuka"/>
    <x v="0"/>
    <x v="5"/>
    <x v="0"/>
  </r>
  <r>
    <s v="TXN-01119"/>
    <d v="2025-05-21T00:00:00"/>
    <x v="3"/>
    <s v="South-South"/>
    <x v="0"/>
    <s v="Hair Relaxer Kit"/>
    <n v="7"/>
    <n v="28530"/>
    <n v="15"/>
    <n v="169753.5"/>
    <n v="199710"/>
    <n v="29956.5"/>
    <x v="3"/>
    <s v="Chinwe Etim"/>
    <x v="0"/>
    <x v="5"/>
    <x v="0"/>
  </r>
  <r>
    <s v="TXN-01127"/>
    <d v="2025-10-14T00:00:00"/>
    <x v="5"/>
    <s v="South-West"/>
    <x v="4"/>
    <s v="Semovita 2kg"/>
    <n v="3"/>
    <n v="490"/>
    <n v="0"/>
    <n v="1470"/>
    <n v="1470"/>
    <n v="0"/>
    <x v="2"/>
    <s v="Tunde Balogun"/>
    <x v="0"/>
    <x v="6"/>
    <x v="0"/>
  </r>
  <r>
    <s v="TXN-00972"/>
    <d v="2025-01-04T00:00:00"/>
    <x v="4"/>
    <s v="North-West"/>
    <x v="2"/>
    <s v="Plastic Chair Set"/>
    <n v="5"/>
    <n v="3870"/>
    <n v="0"/>
    <n v="19350"/>
    <n v="19350"/>
    <n v="0"/>
    <x v="1"/>
    <s v="Tunde Balogun"/>
    <x v="0"/>
    <x v="7"/>
    <x v="0"/>
  </r>
  <r>
    <s v="TXN-00325"/>
    <d v="2025-09-13T00:00:00"/>
    <x v="5"/>
    <s v="South-West"/>
    <x v="2"/>
    <s v="Laundry Basket"/>
    <n v="1"/>
    <n v="2630"/>
    <n v="0"/>
    <n v="2630"/>
    <n v="2630"/>
    <n v="0"/>
    <x v="1"/>
    <s v="Obinna Yusuf"/>
    <x v="0"/>
    <x v="0"/>
    <x v="0"/>
  </r>
  <r>
    <s v="TXN-00016"/>
    <d v="2025-11-23T00:00:00"/>
    <x v="6"/>
    <s v="South-South"/>
    <x v="1"/>
    <s v="Bluetooth Speaker"/>
    <n v="6"/>
    <n v="4560"/>
    <n v="0"/>
    <n v="27360"/>
    <n v="27360"/>
    <n v="0"/>
    <x v="0"/>
    <s v="Funmi Eze"/>
    <x v="0"/>
    <x v="3"/>
    <x v="1"/>
  </r>
  <r>
    <s v="TXN-01469"/>
    <d v="2025-11-28T00:00:00"/>
    <x v="0"/>
    <s v="North-Central"/>
    <x v="3"/>
    <s v="Denim Jeans"/>
    <n v="1"/>
    <n v="9580"/>
    <n v="0"/>
    <n v="9580"/>
    <n v="9580"/>
    <n v="0"/>
    <x v="2"/>
    <s v="Chinwe Etim"/>
    <x v="0"/>
    <x v="3"/>
    <x v="0"/>
  </r>
  <r>
    <s v="TXN-00202"/>
    <d v="2025-02-16T00:00:00"/>
    <x v="0"/>
    <s v="North-Central"/>
    <x v="1"/>
    <s v="Standing Fan"/>
    <n v="1"/>
    <n v="1200"/>
    <n v="0"/>
    <n v="1200"/>
    <n v="1200"/>
    <n v="0"/>
    <x v="2"/>
    <s v="Mary Nnamdi"/>
    <x v="0"/>
    <x v="8"/>
    <x v="0"/>
  </r>
  <r>
    <s v="TXN-00906"/>
    <d v="2025-10-09T00:00:00"/>
    <x v="1"/>
    <s v="South-West"/>
    <x v="4"/>
    <s v="Semovita 2kg"/>
    <n v="8"/>
    <n v="5020"/>
    <n v="0"/>
    <n v="40160"/>
    <n v="40160"/>
    <n v="0"/>
    <x v="2"/>
    <s v="Chidera Bello"/>
    <x v="0"/>
    <x v="6"/>
    <x v="1"/>
  </r>
  <r>
    <s v="TXN-01449"/>
    <d v="2025-02-05T00:00:00"/>
    <x v="2"/>
    <s v="South-East"/>
    <x v="1"/>
    <s v="LED TV 43&quot;"/>
    <n v="10"/>
    <n v="560"/>
    <n v="0"/>
    <n v="5600"/>
    <n v="5600"/>
    <n v="0"/>
    <x v="1"/>
    <s v="Grace Okafor"/>
    <x v="0"/>
    <x v="8"/>
    <x v="1"/>
  </r>
  <r>
    <s v="TXN-01434"/>
    <d v="2025-08-05T00:00:00"/>
    <x v="6"/>
    <s v="South-South"/>
    <x v="1"/>
    <s v="Home Theatre System"/>
    <n v="8"/>
    <n v="24200"/>
    <n v="0"/>
    <n v="193600"/>
    <n v="193600"/>
    <n v="0"/>
    <x v="1"/>
    <s v="Ade Abubakar"/>
    <x v="0"/>
    <x v="2"/>
    <x v="1"/>
  </r>
  <r>
    <s v="TXN-01056"/>
    <d v="2025-11-27T00:00:00"/>
    <x v="3"/>
    <s v="South-South"/>
    <x v="3"/>
    <s v="Handbag"/>
    <n v="9"/>
    <n v="43420"/>
    <n v="0"/>
    <n v="390780"/>
    <n v="390780"/>
    <n v="0"/>
    <x v="2"/>
    <s v="Chinwe Etim"/>
    <x v="0"/>
    <x v="3"/>
    <x v="1"/>
  </r>
  <r>
    <s v="TXN-01262"/>
    <d v="2025-03-12T00:00:00"/>
    <x v="4"/>
    <s v="North-West"/>
    <x v="3"/>
    <s v="Wristwatch"/>
    <n v="6"/>
    <n v="11890"/>
    <n v="0"/>
    <n v="71340"/>
    <n v="71340"/>
    <n v="0"/>
    <x v="3"/>
    <s v="Grace Okafor"/>
    <x v="0"/>
    <x v="9"/>
    <x v="1"/>
  </r>
  <r>
    <s v="TXN-01301"/>
    <d v="2025-11-27T00:00:00"/>
    <x v="4"/>
    <s v="South-West"/>
    <x v="0"/>
    <s v="Hair Relaxer Kit"/>
    <n v="3"/>
    <n v="7640"/>
    <n v="0"/>
    <n v="22920"/>
    <n v="22920"/>
    <n v="0"/>
    <x v="3"/>
    <s v="Grace Okafor"/>
    <x v="0"/>
    <x v="3"/>
    <x v="0"/>
  </r>
  <r>
    <s v="TXN-00506"/>
    <d v="2025-11-28T00:00:00"/>
    <x v="4"/>
    <s v="North-West"/>
    <x v="4"/>
    <s v="Indomie Carton"/>
    <n v="12"/>
    <n v="3650"/>
    <n v="0"/>
    <n v="43800"/>
    <n v="43800"/>
    <n v="0"/>
    <x v="0"/>
    <s v="Ade Abubakar"/>
    <x v="0"/>
    <x v="3"/>
    <x v="0"/>
  </r>
  <r>
    <s v="TXN-01105"/>
    <d v="2025-10-03T00:00:00"/>
    <x v="3"/>
    <s v="South-South"/>
    <x v="2"/>
    <s v="Cleaning Mop"/>
    <n v="3"/>
    <n v="470"/>
    <n v="0"/>
    <n v="1410"/>
    <n v="1410"/>
    <n v="0"/>
    <x v="1"/>
    <s v="Chidera Bello"/>
    <x v="0"/>
    <x v="6"/>
    <x v="1"/>
  </r>
  <r>
    <s v="TXN-00999"/>
    <d v="2025-10-27T00:00:00"/>
    <x v="2"/>
    <s v="South-East"/>
    <x v="1"/>
    <s v="Home Theatre System"/>
    <n v="6"/>
    <n v="12170"/>
    <n v="0"/>
    <n v="73020"/>
    <n v="73020"/>
    <n v="0"/>
    <x v="2"/>
    <s v="Kelechi Nwosu"/>
    <x v="0"/>
    <x v="6"/>
    <x v="0"/>
  </r>
  <r>
    <s v="TXN-01375"/>
    <d v="2025-03-13T00:00:00"/>
    <x v="3"/>
    <s v="South-South"/>
    <x v="4"/>
    <s v="Body Lotion 400ml"/>
    <n v="9"/>
    <n v="25300"/>
    <n v="10"/>
    <n v="204930"/>
    <n v="227700"/>
    <n v="22770"/>
    <x v="3"/>
    <s v="Tunde Balogun"/>
    <x v="0"/>
    <x v="9"/>
    <x v="0"/>
  </r>
  <r>
    <s v="TXN-00441"/>
    <d v="2025-06-18T00:00:00"/>
    <x v="4"/>
    <s v="North-West"/>
    <x v="3"/>
    <s v="Denim Jeans"/>
    <n v="8"/>
    <n v="17940"/>
    <n v="0"/>
    <n v="143520"/>
    <n v="143520"/>
    <n v="0"/>
    <x v="2"/>
    <s v="Obinna Yusuf"/>
    <x v="0"/>
    <x v="1"/>
    <x v="0"/>
  </r>
  <r>
    <s v="TXN-01397"/>
    <d v="2025-01-30T00:00:00"/>
    <x v="1"/>
    <s v="South-West"/>
    <x v="0"/>
    <s v="Shea Butter Cream"/>
    <n v="11"/>
    <n v="1280"/>
    <n v="0"/>
    <n v="14080"/>
    <n v="14080"/>
    <n v="0"/>
    <x v="1"/>
    <s v="Grace Okafor"/>
    <x v="0"/>
    <x v="7"/>
    <x v="1"/>
  </r>
  <r>
    <s v="TXN-01125"/>
    <d v="2025-02-18T00:00:00"/>
    <x v="0"/>
    <s v="North-Central"/>
    <x v="2"/>
    <s v="Storage Basket"/>
    <n v="12"/>
    <n v="9090"/>
    <n v="0"/>
    <n v="109080"/>
    <n v="109080"/>
    <n v="0"/>
    <x v="3"/>
    <s v="Segun Chukwu"/>
    <x v="0"/>
    <x v="8"/>
    <x v="1"/>
  </r>
  <r>
    <s v="TXN-00439"/>
    <d v="2025-08-08T00:00:00"/>
    <x v="6"/>
    <s v="South-South"/>
    <x v="0"/>
    <s v="Bathing Soap Pack"/>
    <n v="6"/>
    <n v="8230"/>
    <n v="5"/>
    <n v="46911"/>
    <n v="49380"/>
    <n v="2469"/>
    <x v="2"/>
    <s v="Kelechi Nwosu"/>
    <x v="0"/>
    <x v="2"/>
    <x v="1"/>
  </r>
  <r>
    <s v="TXN-00667"/>
    <d v="2025-07-29T00:00:00"/>
    <x v="0"/>
    <s v="North-Central"/>
    <x v="3"/>
    <s v="Handbag"/>
    <n v="7"/>
    <n v="550"/>
    <n v="0"/>
    <n v="3850"/>
    <n v="3850"/>
    <n v="0"/>
    <x v="1"/>
    <s v="Mary Nnamdi"/>
    <x v="0"/>
    <x v="10"/>
    <x v="1"/>
  </r>
  <r>
    <s v="TXN-00992"/>
    <d v="2025-09-02T00:00:00"/>
    <x v="2"/>
    <s v="South-East"/>
    <x v="4"/>
    <s v="Rice 50kg Bag"/>
    <n v="9"/>
    <n v="11910"/>
    <n v="0"/>
    <n v="107190"/>
    <n v="107190"/>
    <n v="0"/>
    <x v="3"/>
    <s v="Uche Okoro"/>
    <x v="0"/>
    <x v="0"/>
    <x v="0"/>
  </r>
  <r>
    <s v="TXN-00729"/>
    <d v="2025-12-25T00:00:00"/>
    <x v="5"/>
    <s v="South-West"/>
    <x v="4"/>
    <s v="Tomato Paste Carton"/>
    <n v="11"/>
    <n v="2600"/>
    <n v="0"/>
    <n v="28600"/>
    <n v="28600"/>
    <n v="0"/>
    <x v="3"/>
    <s v="Chinwe Etim"/>
    <x v="0"/>
    <x v="11"/>
    <x v="1"/>
  </r>
  <r>
    <s v="TXN-01381"/>
    <d v="2025-10-15T00:00:00"/>
    <x v="3"/>
    <s v="South-South"/>
    <x v="0"/>
    <s v="Hair Relaxer Kit"/>
    <n v="3"/>
    <n v="26900"/>
    <n v="0"/>
    <n v="80700"/>
    <n v="80700"/>
    <n v="0"/>
    <x v="3"/>
    <s v="Grace Okafor"/>
    <x v="0"/>
    <x v="6"/>
    <x v="1"/>
  </r>
  <r>
    <s v="TXN-01025"/>
    <d v="2025-06-02T00:00:00"/>
    <x v="3"/>
    <s v="South-South"/>
    <x v="4"/>
    <s v="Rice 50kg Bag"/>
    <n v="11"/>
    <n v="10300"/>
    <n v="0"/>
    <n v="113300"/>
    <n v="113300"/>
    <n v="0"/>
    <x v="2"/>
    <s v="Grace Okafor"/>
    <x v="0"/>
    <x v="1"/>
    <x v="0"/>
  </r>
  <r>
    <s v="TXN-00072"/>
    <d v="2025-02-22T00:00:00"/>
    <x v="6"/>
    <s v="South-South"/>
    <x v="0"/>
    <s v="Toothpaste Pack"/>
    <n v="1"/>
    <n v="16880"/>
    <n v="0"/>
    <n v="16880"/>
    <n v="16880"/>
    <n v="0"/>
    <x v="2"/>
    <s v="Amaka Onwuka"/>
    <x v="0"/>
    <x v="8"/>
    <x v="1"/>
  </r>
  <r>
    <s v="TXN-00431"/>
    <d v="2025-05-15T00:00:00"/>
    <x v="2"/>
    <s v="South-East"/>
    <x v="0"/>
    <s v="Deodorant Roll-on"/>
    <n v="3"/>
    <n v="3320.0000000000005"/>
    <n v="5"/>
    <n v="9462"/>
    <n v="9960.0000000000018"/>
    <n v="498.00000000000006"/>
    <x v="3"/>
    <s v="Ifeoma Adeyemi"/>
    <x v="0"/>
    <x v="5"/>
    <x v="0"/>
  </r>
  <r>
    <s v="TXN-00485"/>
    <d v="2025-02-18T00:00:00"/>
    <x v="5"/>
    <s v="South-West"/>
    <x v="3"/>
    <s v="Ladies Ankara Gown"/>
    <n v="5"/>
    <n v="2580"/>
    <n v="0"/>
    <n v="12900"/>
    <n v="12900"/>
    <n v="0"/>
    <x v="1"/>
    <s v="Mary Nnamdi"/>
    <x v="0"/>
    <x v="8"/>
    <x v="0"/>
  </r>
  <r>
    <s v="TXN-00036"/>
    <d v="2025-08-01T00:00:00"/>
    <x v="1"/>
    <s v="South-West"/>
    <x v="2"/>
    <s v="Non-stick Frying Pan"/>
    <n v="3"/>
    <n v="4780"/>
    <n v="10"/>
    <n v="12906"/>
    <n v="14340"/>
    <n v="1434"/>
    <x v="1"/>
    <s v="Segun Chukwu"/>
    <x v="0"/>
    <x v="2"/>
    <x v="0"/>
  </r>
  <r>
    <s v="TXN-01023"/>
    <d v="2025-09-01T00:00:00"/>
    <x v="4"/>
    <s v="North-West"/>
    <x v="4"/>
    <s v="Indomie Carton"/>
    <n v="12"/>
    <n v="8240"/>
    <n v="10"/>
    <n v="88992"/>
    <n v="98880"/>
    <n v="9888"/>
    <x v="3"/>
    <s v="Funmi Eze"/>
    <x v="0"/>
    <x v="0"/>
    <x v="1"/>
  </r>
  <r>
    <s v="TXN-00260"/>
    <d v="2025-02-19T00:00:00"/>
    <x v="1"/>
    <s v="South-West"/>
    <x v="3"/>
    <s v="School Sandals"/>
    <n v="6"/>
    <n v="7520"/>
    <n v="0"/>
    <n v="45120"/>
    <n v="45120"/>
    <n v="0"/>
    <x v="3"/>
    <s v="Peter Adekunle"/>
    <x v="0"/>
    <x v="8"/>
    <x v="1"/>
  </r>
  <r>
    <s v="TXN-00853"/>
    <d v="2025-09-25T00:00:00"/>
    <x v="5"/>
    <s v="South-West"/>
    <x v="4"/>
    <s v="Vegetable Oil 5L"/>
    <n v="12"/>
    <n v="26740"/>
    <n v="0"/>
    <n v="320880"/>
    <n v="320880"/>
    <n v="0"/>
    <x v="0"/>
    <s v="Ade Abubakar"/>
    <x v="0"/>
    <x v="0"/>
    <x v="1"/>
  </r>
  <r>
    <s v="TXN-00492"/>
    <d v="2025-02-10T00:00:00"/>
    <x v="5"/>
    <s v="South-West"/>
    <x v="2"/>
    <s v="Cleaning Mop"/>
    <n v="7"/>
    <n v="7310"/>
    <n v="0"/>
    <n v="51170"/>
    <n v="51170"/>
    <n v="0"/>
    <x v="3"/>
    <s v="Tunde Balogun"/>
    <x v="0"/>
    <x v="8"/>
    <x v="1"/>
  </r>
  <r>
    <s v="TXN-00973"/>
    <d v="2025-08-03T00:00:00"/>
    <x v="1"/>
    <s v="South-West"/>
    <x v="4"/>
    <s v="Spaghetti Pack"/>
    <n v="2"/>
    <n v="65860"/>
    <n v="0"/>
    <n v="131720"/>
    <n v="131720"/>
    <n v="0"/>
    <x v="2"/>
    <s v="Kelechi Nwosu"/>
    <x v="0"/>
    <x v="2"/>
    <x v="1"/>
  </r>
  <r>
    <s v="TXN-00248"/>
    <d v="2025-04-28T00:00:00"/>
    <x v="1"/>
    <s v="South-West"/>
    <x v="1"/>
    <s v="Bluetooth Speaker"/>
    <n v="7"/>
    <n v="1280"/>
    <n v="10"/>
    <n v="8064"/>
    <n v="8960"/>
    <n v="896"/>
    <x v="3"/>
    <s v="Grace Okafor"/>
    <x v="0"/>
    <x v="4"/>
    <x v="0"/>
  </r>
  <r>
    <s v="TXN-00944"/>
    <d v="2025-04-27T00:00:00"/>
    <x v="3"/>
    <s v="South-South"/>
    <x v="2"/>
    <s v="Non-stick Frying Pan"/>
    <n v="12"/>
    <n v="1210"/>
    <n v="0"/>
    <n v="14520"/>
    <n v="14520"/>
    <n v="0"/>
    <x v="3"/>
    <s v="Mary Nnamdi"/>
    <x v="0"/>
    <x v="4"/>
    <x v="1"/>
  </r>
  <r>
    <s v="TXN-00023"/>
    <d v="2025-11-09T00:00:00"/>
    <x v="6"/>
    <s v="South-South"/>
    <x v="4"/>
    <s v="Milo 500g"/>
    <n v="4"/>
    <n v="2270"/>
    <n v="0"/>
    <n v="9080"/>
    <n v="9080"/>
    <n v="0"/>
    <x v="3"/>
    <s v="Ngozi Ibrahim"/>
    <x v="0"/>
    <x v="3"/>
    <x v="0"/>
  </r>
  <r>
    <s v="TXN-00833"/>
    <d v="2025-09-02T00:00:00"/>
    <x v="1"/>
    <s v="South-West"/>
    <x v="1"/>
    <s v="Standing Fan"/>
    <n v="4"/>
    <n v="43020"/>
    <n v="10"/>
    <n v="154872"/>
    <n v="172080"/>
    <n v="17208"/>
    <x v="3"/>
    <s v="Amaka Onwuka"/>
    <x v="0"/>
    <x v="0"/>
    <x v="1"/>
  </r>
  <r>
    <s v="TXN-00515"/>
    <d v="2025-12-26T00:00:00"/>
    <x v="2"/>
    <s v="South-West"/>
    <x v="4"/>
    <s v="Tomato Paste Carton"/>
    <n v="6"/>
    <n v="74180"/>
    <n v="0"/>
    <n v="445080"/>
    <n v="445080"/>
    <n v="0"/>
    <x v="3"/>
    <s v="Kelechi Nwosu"/>
    <x v="0"/>
    <x v="11"/>
    <x v="0"/>
  </r>
  <r>
    <s v="TXN-00916"/>
    <d v="2025-01-09T00:00:00"/>
    <x v="6"/>
    <s v="South-South"/>
    <x v="1"/>
    <s v="Power Bank 20000mAh"/>
    <n v="10"/>
    <n v="2740"/>
    <n v="0"/>
    <n v="27400"/>
    <n v="27400"/>
    <n v="0"/>
    <x v="1"/>
    <s v="Kelechi Nwosu"/>
    <x v="0"/>
    <x v="7"/>
    <x v="1"/>
  </r>
  <r>
    <s v="TXN-01159"/>
    <d v="2025-10-23T00:00:00"/>
    <x v="3"/>
    <s v="South-South"/>
    <x v="2"/>
    <s v="Bedsheet Set"/>
    <n v="9"/>
    <n v="1170"/>
    <n v="0"/>
    <n v="10530"/>
    <n v="10530"/>
    <n v="0"/>
    <x v="0"/>
    <s v="Peter Adekunle"/>
    <x v="0"/>
    <x v="6"/>
    <x v="1"/>
  </r>
  <r>
    <s v="TXN-00184"/>
    <d v="2025-11-28T00:00:00"/>
    <x v="0"/>
    <s v="North-Central"/>
    <x v="1"/>
    <s v="Electric Kettle"/>
    <n v="4"/>
    <n v="27370"/>
    <n v="5"/>
    <n v="104006"/>
    <n v="109480"/>
    <n v="5474"/>
    <x v="2"/>
    <s v="Ifeoma Adeyemi"/>
    <x v="0"/>
    <x v="3"/>
    <x v="1"/>
  </r>
  <r>
    <s v="TXN-00026"/>
    <d v="2025-08-01T00:00:00"/>
    <x v="5"/>
    <s v="South-West"/>
    <x v="3"/>
    <s v="School Sandals"/>
    <n v="6"/>
    <n v="1200"/>
    <n v="0"/>
    <n v="7200"/>
    <n v="7200"/>
    <n v="0"/>
    <x v="2"/>
    <s v="Kelechi Nwosu"/>
    <x v="0"/>
    <x v="2"/>
    <x v="1"/>
  </r>
  <r>
    <s v="TXN-01112"/>
    <d v="2025-02-26T00:00:00"/>
    <x v="3"/>
    <s v="South-South"/>
    <x v="1"/>
    <s v="Microwave Oven"/>
    <n v="2"/>
    <n v="65120"/>
    <n v="0"/>
    <n v="130240"/>
    <n v="130240"/>
    <n v="0"/>
    <x v="0"/>
    <s v="Amaka Onwuka"/>
    <x v="0"/>
    <x v="8"/>
    <x v="1"/>
  </r>
  <r>
    <s v="TXN-00424"/>
    <d v="2025-01-28T00:00:00"/>
    <x v="4"/>
    <s v="North-West"/>
    <x v="1"/>
    <s v="Home Theatre System"/>
    <n v="4"/>
    <n v="3240"/>
    <n v="15"/>
    <n v="11016"/>
    <n v="12960"/>
    <n v="1944"/>
    <x v="0"/>
    <s v="Segun Chukwu"/>
    <x v="0"/>
    <x v="7"/>
    <x v="1"/>
  </r>
  <r>
    <s v="TXN-01346"/>
    <d v="2025-10-27T00:00:00"/>
    <x v="4"/>
    <s v="North-West"/>
    <x v="4"/>
    <s v="Wristwatch"/>
    <n v="1"/>
    <n v="63690"/>
    <n v="0"/>
    <n v="63690"/>
    <n v="63690"/>
    <n v="0"/>
    <x v="2"/>
    <s v="Ade Abubakar"/>
    <x v="0"/>
    <x v="6"/>
    <x v="0"/>
  </r>
  <r>
    <s v="TXN-00512"/>
    <d v="2025-07-03T00:00:00"/>
    <x v="6"/>
    <s v="South-South"/>
    <x v="3"/>
    <s v="Ladies Ankara Gown"/>
    <n v="2"/>
    <n v="63030"/>
    <n v="15"/>
    <n v="107151"/>
    <n v="126060"/>
    <n v="18909"/>
    <x v="0"/>
    <s v="Chinwe Etim"/>
    <x v="0"/>
    <x v="10"/>
    <x v="1"/>
  </r>
  <r>
    <s v="TXN-00719"/>
    <d v="2025-06-12T00:00:00"/>
    <x v="4"/>
    <s v="North-West"/>
    <x v="4"/>
    <s v="Indomie Carton"/>
    <n v="4"/>
    <n v="51000"/>
    <n v="5"/>
    <n v="193800"/>
    <n v="204000"/>
    <n v="10200"/>
    <x v="1"/>
    <s v="Peter Adekunle"/>
    <x v="0"/>
    <x v="1"/>
    <x v="0"/>
  </r>
  <r>
    <s v="TXN-00640"/>
    <d v="2025-02-27T00:00:00"/>
    <x v="4"/>
    <s v="North-West"/>
    <x v="0"/>
    <s v="Deodorant Roll-on"/>
    <n v="9"/>
    <n v="63940"/>
    <n v="15"/>
    <n v="489141"/>
    <n v="575460"/>
    <n v="86319"/>
    <x v="2"/>
    <s v="Mary Nnamdi"/>
    <x v="0"/>
    <x v="8"/>
    <x v="1"/>
  </r>
  <r>
    <s v="TXN-00939"/>
    <d v="2025-06-24T00:00:00"/>
    <x v="6"/>
    <s v="South-South"/>
    <x v="4"/>
    <s v="Tomato Paste Carton"/>
    <n v="7"/>
    <n v="3570"/>
    <n v="0"/>
    <n v="24990"/>
    <n v="24990"/>
    <n v="0"/>
    <x v="1"/>
    <s v="Chinwe Etim"/>
    <x v="0"/>
    <x v="1"/>
    <x v="0"/>
  </r>
  <r>
    <s v="TXN-00623"/>
    <d v="2025-10-13T00:00:00"/>
    <x v="2"/>
    <s v="South-East"/>
    <x v="4"/>
    <s v="Tomato Paste Carton"/>
    <n v="5"/>
    <n v="12890"/>
    <n v="0"/>
    <n v="64450"/>
    <n v="64450"/>
    <n v="0"/>
    <x v="0"/>
    <s v="Chidera Bello"/>
    <x v="0"/>
    <x v="6"/>
    <x v="1"/>
  </r>
  <r>
    <s v="TXN-01447"/>
    <d v="2025-11-15T00:00:00"/>
    <x v="3"/>
    <s v="South-South"/>
    <x v="1"/>
    <s v="Home Theatre System"/>
    <n v="4"/>
    <n v="3720"/>
    <n v="0"/>
    <n v="14880"/>
    <n v="14880"/>
    <n v="0"/>
    <x v="2"/>
    <s v="Mary Nnamdi"/>
    <x v="0"/>
    <x v="3"/>
    <x v="1"/>
  </r>
  <r>
    <s v="TXN-01360"/>
    <d v="2025-08-07T00:00:00"/>
    <x v="2"/>
    <s v="South-East"/>
    <x v="2"/>
    <s v="Plastic Chair Set"/>
    <n v="6"/>
    <n v="2800"/>
    <n v="10"/>
    <n v="15120"/>
    <n v="16800"/>
    <n v="1680"/>
    <x v="0"/>
    <s v="Ade Abubakar"/>
    <x v="0"/>
    <x v="2"/>
    <x v="1"/>
  </r>
  <r>
    <s v="TXN-00844"/>
    <d v="2025-12-22T00:00:00"/>
    <x v="3"/>
    <s v="South-South"/>
    <x v="4"/>
    <s v="Tomato Paste Carton"/>
    <n v="2"/>
    <n v="18290"/>
    <n v="0"/>
    <n v="36580"/>
    <n v="36580"/>
    <n v="0"/>
    <x v="2"/>
    <s v="Grace Okafor"/>
    <x v="0"/>
    <x v="11"/>
    <x v="1"/>
  </r>
  <r>
    <s v="TXN-00803"/>
    <d v="2025-04-23T00:00:00"/>
    <x v="3"/>
    <s v="South-South"/>
    <x v="0"/>
    <s v="Baby Diaper Pack"/>
    <n v="9"/>
    <n v="1330"/>
    <n v="5"/>
    <n v="11371.5"/>
    <n v="11970"/>
    <n v="598.5"/>
    <x v="1"/>
    <s v="Mary Nnamdi"/>
    <x v="0"/>
    <x v="4"/>
    <x v="1"/>
  </r>
  <r>
    <s v="TXN-00170"/>
    <d v="2025-07-06T00:00:00"/>
    <x v="2"/>
    <s v="South-West"/>
    <x v="3"/>
    <s v="Office Blazer"/>
    <n v="3"/>
    <n v="3730"/>
    <n v="0"/>
    <n v="11190"/>
    <n v="11190"/>
    <n v="0"/>
    <x v="0"/>
    <s v="Ade Abubakar"/>
    <x v="0"/>
    <x v="10"/>
    <x v="1"/>
  </r>
  <r>
    <s v="TXN-00612"/>
    <d v="2025-04-06T00:00:00"/>
    <x v="1"/>
    <s v="South-West"/>
    <x v="3"/>
    <s v="Denim Jeans"/>
    <n v="12"/>
    <n v="7550"/>
    <n v="0"/>
    <n v="90600"/>
    <n v="90600"/>
    <n v="0"/>
    <x v="0"/>
    <s v="Segun Chukwu"/>
    <x v="0"/>
    <x v="4"/>
    <x v="1"/>
  </r>
  <r>
    <s v="TXN-00524"/>
    <d v="2025-07-29T00:00:00"/>
    <x v="2"/>
    <s v="South-East"/>
    <x v="4"/>
    <s v="Vegetable Oil 5L"/>
    <n v="5"/>
    <n v="500"/>
    <n v="0"/>
    <n v="2500"/>
    <n v="2500"/>
    <n v="0"/>
    <x v="1"/>
    <s v="Peter Adekunle"/>
    <x v="0"/>
    <x v="10"/>
    <x v="1"/>
  </r>
  <r>
    <s v="TXN-00301"/>
    <d v="2025-02-28T00:00:00"/>
    <x v="4"/>
    <s v="North-West"/>
    <x v="0"/>
    <s v="Deodorant Roll-on"/>
    <n v="2"/>
    <n v="2660"/>
    <n v="0"/>
    <n v="5320"/>
    <n v="5320"/>
    <n v="0"/>
    <x v="0"/>
    <s v="Chidera Bello"/>
    <x v="0"/>
    <x v="8"/>
    <x v="1"/>
  </r>
  <r>
    <s v="TXN-00593"/>
    <d v="2025-08-11T00:00:00"/>
    <x v="3"/>
    <s v="South-South"/>
    <x v="4"/>
    <s v="Semovita 2kg"/>
    <n v="1"/>
    <n v="2820"/>
    <n v="0"/>
    <n v="2820"/>
    <n v="2820"/>
    <n v="0"/>
    <x v="1"/>
    <s v="Ifeoma Adeyemi"/>
    <x v="0"/>
    <x v="2"/>
    <x v="1"/>
  </r>
  <r>
    <s v="TXN-00127"/>
    <d v="2025-02-07T00:00:00"/>
    <x v="4"/>
    <s v="North-West"/>
    <x v="3"/>
    <s v="School Sandals"/>
    <n v="5"/>
    <n v="1310"/>
    <n v="5"/>
    <n v="6222.5"/>
    <n v="6550"/>
    <n v="327.5"/>
    <x v="0"/>
    <s v="Funmi Eze"/>
    <x v="0"/>
    <x v="8"/>
    <x v="1"/>
  </r>
  <r>
    <s v="TXN-00924"/>
    <d v="2025-03-22T00:00:00"/>
    <x v="3"/>
    <s v="South-South"/>
    <x v="0"/>
    <s v="Shea Butter Cream"/>
    <n v="4"/>
    <n v="49540"/>
    <n v="0"/>
    <n v="198160"/>
    <n v="198160"/>
    <n v="0"/>
    <x v="0"/>
    <s v="Amaka Onwuka"/>
    <x v="0"/>
    <x v="9"/>
    <x v="0"/>
  </r>
  <r>
    <s v="TXN-00505"/>
    <d v="2025-10-25T00:00:00"/>
    <x v="2"/>
    <s v="South-East"/>
    <x v="3"/>
    <s v="Kids Sneakers"/>
    <n v="5"/>
    <n v="11460"/>
    <n v="5"/>
    <n v="54435"/>
    <n v="57300"/>
    <n v="2865"/>
    <x v="2"/>
    <s v="Segun Chukwu"/>
    <x v="0"/>
    <x v="6"/>
    <x v="0"/>
  </r>
  <r>
    <s v="TXN-00270"/>
    <d v="2025-06-06T00:00:00"/>
    <x v="3"/>
    <s v="South-South"/>
    <x v="1"/>
    <s v="Electric Kettle"/>
    <n v="6"/>
    <n v="7110"/>
    <n v="0"/>
    <n v="42660"/>
    <n v="42660"/>
    <n v="0"/>
    <x v="3"/>
    <s v="Obinna Yusuf"/>
    <x v="0"/>
    <x v="1"/>
    <x v="1"/>
  </r>
  <r>
    <s v="TXN-00064"/>
    <d v="2025-06-23T00:00:00"/>
    <x v="5"/>
    <s v="South-West"/>
    <x v="3"/>
    <s v="Men's Polo Shirt"/>
    <n v="12"/>
    <n v="470"/>
    <n v="10"/>
    <n v="5076"/>
    <n v="5640"/>
    <n v="564"/>
    <x v="0"/>
    <s v="Peter Adekunle"/>
    <x v="0"/>
    <x v="1"/>
    <x v="1"/>
  </r>
  <r>
    <s v="TXN-00372"/>
    <d v="2025-01-18T00:00:00"/>
    <x v="3"/>
    <s v="South-South"/>
    <x v="4"/>
    <s v="Milo 500g"/>
    <n v="11"/>
    <n v="12690"/>
    <n v="0"/>
    <n v="139590"/>
    <n v="139590"/>
    <n v="0"/>
    <x v="0"/>
    <s v="Ngozi Ibrahim"/>
    <x v="0"/>
    <x v="7"/>
    <x v="0"/>
  </r>
  <r>
    <s v="TXN-00346"/>
    <d v="2025-10-25T00:00:00"/>
    <x v="2"/>
    <s v="South-East"/>
    <x v="4"/>
    <s v="Rice 50kg Bag"/>
    <n v="2"/>
    <n v="13780"/>
    <n v="15"/>
    <n v="23426"/>
    <n v="27560"/>
    <n v="4134"/>
    <x v="2"/>
    <s v="Chinwe Etim"/>
    <x v="0"/>
    <x v="6"/>
    <x v="1"/>
  </r>
  <r>
    <s v="TXN-01118"/>
    <d v="2025-07-21T00:00:00"/>
    <x v="4"/>
    <s v="North-West"/>
    <x v="4"/>
    <s v="Plastic Chair Set"/>
    <n v="9"/>
    <n v="27110"/>
    <n v="5"/>
    <n v="231790.5"/>
    <n v="243990"/>
    <n v="12199.5"/>
    <x v="1"/>
    <s v="Ifeoma Adeyemi"/>
    <x v="0"/>
    <x v="10"/>
    <x v="1"/>
  </r>
  <r>
    <s v="TXN-00567"/>
    <d v="2025-09-23T00:00:00"/>
    <x v="1"/>
    <s v="South-West"/>
    <x v="2"/>
    <s v="Plastic Chair Set"/>
    <n v="1"/>
    <n v="2500"/>
    <n v="0"/>
    <n v="2500"/>
    <n v="2500"/>
    <n v="0"/>
    <x v="2"/>
    <s v="Mary Nnamdi"/>
    <x v="0"/>
    <x v="0"/>
    <x v="1"/>
  </r>
  <r>
    <s v="TXN-00442"/>
    <d v="2025-04-12T00:00:00"/>
    <x v="4"/>
    <s v="North-West"/>
    <x v="1"/>
    <s v="Rice Cooker"/>
    <n v="4"/>
    <n v="8740"/>
    <n v="10"/>
    <n v="31464"/>
    <n v="34960"/>
    <n v="3496"/>
    <x v="2"/>
    <s v="Mary Nnamdi"/>
    <x v="0"/>
    <x v="4"/>
    <x v="0"/>
  </r>
  <r>
    <s v="TXN-00879"/>
    <d v="2025-07-06T00:00:00"/>
    <x v="1"/>
    <s v="South-West"/>
    <x v="0"/>
    <s v="Deodorant Roll-on"/>
    <n v="2"/>
    <n v="3340"/>
    <n v="10"/>
    <n v="6012"/>
    <n v="6680"/>
    <n v="668"/>
    <x v="1"/>
    <s v="Obinna Yusuf"/>
    <x v="0"/>
    <x v="10"/>
    <x v="0"/>
  </r>
  <r>
    <s v="TXN-00629"/>
    <d v="2025-09-03T00:00:00"/>
    <x v="3"/>
    <s v="South-South"/>
    <x v="4"/>
    <s v="Semovita 2kg"/>
    <n v="5"/>
    <n v="73830"/>
    <n v="5"/>
    <n v="350692.5"/>
    <n v="369150"/>
    <n v="18457.5"/>
    <x v="1"/>
    <s v="Tunde Balogun"/>
    <x v="0"/>
    <x v="0"/>
    <x v="0"/>
  </r>
  <r>
    <s v="TXN-00666"/>
    <d v="2025-04-28T00:00:00"/>
    <x v="5"/>
    <s v="South-West"/>
    <x v="0"/>
    <s v="Hair Relaxer Kit"/>
    <n v="7"/>
    <n v="47200"/>
    <n v="10"/>
    <n v="297360"/>
    <n v="330400"/>
    <n v="33040"/>
    <x v="1"/>
    <s v="Amaka Onwuka"/>
    <x v="0"/>
    <x v="4"/>
    <x v="1"/>
  </r>
  <r>
    <s v="TXN-01294"/>
    <d v="2025-07-03T00:00:00"/>
    <x v="3"/>
    <s v="South-South"/>
    <x v="3"/>
    <s v="Handbag"/>
    <n v="9"/>
    <n v="3890"/>
    <n v="0"/>
    <n v="35010"/>
    <n v="35010"/>
    <n v="0"/>
    <x v="1"/>
    <s v="Uche Okoro"/>
    <x v="0"/>
    <x v="10"/>
    <x v="0"/>
  </r>
  <r>
    <s v="TXN-01123"/>
    <d v="2025-08-17T00:00:00"/>
    <x v="1"/>
    <s v="South-West"/>
    <x v="0"/>
    <s v="Baby Diaper Pack"/>
    <n v="2"/>
    <n v="3530"/>
    <n v="5"/>
    <n v="6707"/>
    <n v="7060"/>
    <n v="353"/>
    <x v="1"/>
    <s v="Funmi Eze"/>
    <x v="0"/>
    <x v="2"/>
    <x v="0"/>
  </r>
  <r>
    <s v="TXN-00309"/>
    <d v="2025-10-05T00:00:00"/>
    <x v="2"/>
    <s v="South-East"/>
    <x v="2"/>
    <s v="Plastic Chair Set"/>
    <n v="2"/>
    <n v="1120"/>
    <n v="10"/>
    <n v="2016"/>
    <n v="2240"/>
    <n v="224"/>
    <x v="2"/>
    <s v="Grace Okafor"/>
    <x v="0"/>
    <x v="6"/>
    <x v="1"/>
  </r>
  <r>
    <s v="TXN-01227"/>
    <d v="2025-07-19T00:00:00"/>
    <x v="2"/>
    <s v="South-East"/>
    <x v="1"/>
    <s v="Rice Cooker"/>
    <n v="2"/>
    <n v="1210"/>
    <n v="10"/>
    <n v="2178"/>
    <n v="2420"/>
    <n v="242"/>
    <x v="3"/>
    <s v="Uche Okoro"/>
    <x v="0"/>
    <x v="10"/>
    <x v="0"/>
  </r>
  <r>
    <s v="TXN-00581"/>
    <d v="2025-12-16T00:00:00"/>
    <x v="6"/>
    <s v="South-South"/>
    <x v="4"/>
    <s v="Rice 50kg Bag"/>
    <n v="4"/>
    <n v="550"/>
    <n v="0"/>
    <n v="2200"/>
    <n v="2200"/>
    <n v="0"/>
    <x v="0"/>
    <s v="Uche Okoro"/>
    <x v="0"/>
    <x v="11"/>
    <x v="0"/>
  </r>
  <r>
    <s v="TXN-00177"/>
    <d v="2025-02-10T00:00:00"/>
    <x v="3"/>
    <s v="South-South"/>
    <x v="3"/>
    <s v="Handbag"/>
    <n v="8"/>
    <n v="28010"/>
    <n v="10"/>
    <n v="201672"/>
    <n v="224080"/>
    <n v="22408"/>
    <x v="3"/>
    <s v="Chidera Bello"/>
    <x v="0"/>
    <x v="8"/>
    <x v="1"/>
  </r>
  <r>
    <s v="TXN-01144"/>
    <d v="2025-03-04T00:00:00"/>
    <x v="0"/>
    <s v="North-Central"/>
    <x v="2"/>
    <s v="Cleaning Mop"/>
    <n v="3"/>
    <n v="3920"/>
    <n v="0"/>
    <n v="11760"/>
    <n v="11760"/>
    <n v="0"/>
    <x v="0"/>
    <s v="Mary Nnamdi"/>
    <x v="0"/>
    <x v="9"/>
    <x v="0"/>
  </r>
  <r>
    <s v="TXN-01405"/>
    <d v="2025-01-31T00:00:00"/>
    <x v="5"/>
    <s v="South-West"/>
    <x v="1"/>
    <s v="LED TV 43&quot;"/>
    <n v="5"/>
    <n v="1150"/>
    <n v="0"/>
    <n v="5750"/>
    <n v="5750"/>
    <n v="0"/>
    <x v="2"/>
    <s v="Mary Nnamdi"/>
    <x v="0"/>
    <x v="7"/>
    <x v="1"/>
  </r>
  <r>
    <s v="TXN-00131"/>
    <d v="2025-05-24T00:00:00"/>
    <x v="5"/>
    <s v="South-West"/>
    <x v="3"/>
    <s v="Office Blazer"/>
    <n v="6"/>
    <n v="27390"/>
    <n v="0"/>
    <n v="164340"/>
    <n v="164340"/>
    <n v="0"/>
    <x v="3"/>
    <s v="Grace Okafor"/>
    <x v="0"/>
    <x v="5"/>
    <x v="1"/>
  </r>
  <r>
    <s v="TXN-00964"/>
    <d v="2025-08-13T00:00:00"/>
    <x v="6"/>
    <s v="South-South"/>
    <x v="3"/>
    <s v="School Sandals"/>
    <n v="12"/>
    <n v="5680"/>
    <n v="0"/>
    <n v="68160"/>
    <n v="68160"/>
    <n v="0"/>
    <x v="0"/>
    <s v="Ifeoma Adeyemi"/>
    <x v="0"/>
    <x v="2"/>
    <x v="1"/>
  </r>
  <r>
    <s v="TXN-01157"/>
    <d v="2025-10-28T00:00:00"/>
    <x v="4"/>
    <s v="North-West"/>
    <x v="0"/>
    <s v="Bathing Soap Pack"/>
    <n v="7"/>
    <n v="7230"/>
    <n v="0"/>
    <n v="50610"/>
    <n v="50610"/>
    <n v="0"/>
    <x v="1"/>
    <s v="Tunde Balogun"/>
    <x v="0"/>
    <x v="6"/>
    <x v="1"/>
  </r>
  <r>
    <s v="TXN-00903"/>
    <d v="2025-06-16T00:00:00"/>
    <x v="0"/>
    <s v="North-Central"/>
    <x v="2"/>
    <s v="Storage Basket"/>
    <n v="10"/>
    <n v="8450"/>
    <n v="0"/>
    <n v="84500"/>
    <n v="84500"/>
    <n v="0"/>
    <x v="0"/>
    <s v="Tunde Balogun"/>
    <x v="0"/>
    <x v="1"/>
    <x v="0"/>
  </r>
  <r>
    <s v="TXN-00863"/>
    <d v="2025-06-22T00:00:00"/>
    <x v="2"/>
    <s v="South-East"/>
    <x v="4"/>
    <s v="Bedsheet Set"/>
    <n v="6"/>
    <n v="59200"/>
    <n v="0"/>
    <n v="355200"/>
    <n v="355200"/>
    <n v="0"/>
    <x v="2"/>
    <s v="Chidera Bello"/>
    <x v="0"/>
    <x v="1"/>
    <x v="1"/>
  </r>
  <r>
    <s v="TXN-00997"/>
    <d v="2025-12-25T00:00:00"/>
    <x v="2"/>
    <s v="South-East"/>
    <x v="4"/>
    <s v="Spaghetti Pack"/>
    <n v="6"/>
    <n v="1210"/>
    <n v="5"/>
    <n v="6897"/>
    <n v="7260"/>
    <n v="363"/>
    <x v="3"/>
    <s v="Uche Okoro"/>
    <x v="0"/>
    <x v="11"/>
    <x v="0"/>
  </r>
  <r>
    <s v="TXN-01147"/>
    <d v="2025-11-04T00:00:00"/>
    <x v="0"/>
    <s v="North-Central"/>
    <x v="0"/>
    <s v="Perfume 100ml"/>
    <n v="2"/>
    <n v="490"/>
    <n v="0"/>
    <n v="980"/>
    <n v="980"/>
    <n v="0"/>
    <x v="2"/>
    <s v="Ngozi Ibrahim"/>
    <x v="0"/>
    <x v="3"/>
    <x v="0"/>
  </r>
  <r>
    <s v="TXN-00809"/>
    <d v="2025-02-10T00:00:00"/>
    <x v="6"/>
    <s v="South-South"/>
    <x v="4"/>
    <s v="Curtain Set"/>
    <n v="3"/>
    <n v="11250"/>
    <n v="0"/>
    <n v="33750"/>
    <n v="33750"/>
    <n v="0"/>
    <x v="0"/>
    <s v="Ngozi Ibrahim"/>
    <x v="0"/>
    <x v="8"/>
    <x v="0"/>
  </r>
  <r>
    <s v="TXN-00057"/>
    <d v="2025-02-01T00:00:00"/>
    <x v="5"/>
    <s v="South-West"/>
    <x v="3"/>
    <s v="Wristwatch"/>
    <n v="6"/>
    <n v="1370"/>
    <n v="15"/>
    <n v="6987"/>
    <n v="8220"/>
    <n v="1233"/>
    <x v="2"/>
    <s v="Ngozi Ibrahim"/>
    <x v="0"/>
    <x v="8"/>
    <x v="1"/>
  </r>
  <r>
    <s v="TXN-01135"/>
    <d v="2025-02-21T00:00:00"/>
    <x v="6"/>
    <s v="South-South"/>
    <x v="4"/>
    <s v="Rice 50kg Bag"/>
    <n v="2"/>
    <n v="5300"/>
    <n v="0"/>
    <n v="10600"/>
    <n v="10600"/>
    <n v="0"/>
    <x v="2"/>
    <s v="Obinna Yusuf"/>
    <x v="0"/>
    <x v="8"/>
    <x v="1"/>
  </r>
  <r>
    <s v="TXN-01403"/>
    <d v="2025-01-29T00:00:00"/>
    <x v="4"/>
    <s v="North-West"/>
    <x v="0"/>
    <s v="Shea Butter Cream"/>
    <n v="11"/>
    <n v="73780"/>
    <n v="15"/>
    <n v="689843"/>
    <n v="811580"/>
    <n v="121737"/>
    <x v="0"/>
    <s v="Uche Okoro"/>
    <x v="0"/>
    <x v="7"/>
    <x v="0"/>
  </r>
  <r>
    <s v="TXN-00910"/>
    <d v="2025-10-21T00:00:00"/>
    <x v="3"/>
    <s v="South-South"/>
    <x v="1"/>
    <s v="Power Bank 20000mAh"/>
    <n v="7"/>
    <n v="4800"/>
    <n v="0"/>
    <n v="33600"/>
    <n v="33600"/>
    <n v="0"/>
    <x v="3"/>
    <s v="Ifeoma Adeyemi"/>
    <x v="0"/>
    <x v="6"/>
    <x v="1"/>
  </r>
  <r>
    <s v="TXN-00950"/>
    <d v="2025-04-09T00:00:00"/>
    <x v="6"/>
    <s v="South-South"/>
    <x v="0"/>
    <s v="Body Lotion 400ml"/>
    <n v="8"/>
    <n v="16270"/>
    <n v="0"/>
    <n v="130160"/>
    <n v="130160"/>
    <n v="0"/>
    <x v="2"/>
    <s v="Ifeoma Adeyemi"/>
    <x v="0"/>
    <x v="4"/>
    <x v="0"/>
  </r>
  <r>
    <s v="TXN-00185"/>
    <d v="2025-10-05T00:00:00"/>
    <x v="5"/>
    <s v="South-West"/>
    <x v="2"/>
    <s v="Storage Basket"/>
    <n v="6"/>
    <n v="10110"/>
    <n v="0"/>
    <n v="60660"/>
    <n v="60660"/>
    <n v="0"/>
    <x v="0"/>
    <s v="Kelechi Nwosu"/>
    <x v="0"/>
    <x v="6"/>
    <x v="1"/>
  </r>
  <r>
    <s v="TXN-00124"/>
    <d v="2025-09-28T00:00:00"/>
    <x v="2"/>
    <s v="South-East"/>
    <x v="4"/>
    <s v="Vegetable Oil 5L"/>
    <n v="10"/>
    <n v="49320"/>
    <n v="0"/>
    <n v="493200"/>
    <n v="493200"/>
    <n v="0"/>
    <x v="0"/>
    <s v="Tunde Balogun"/>
    <x v="0"/>
    <x v="0"/>
    <x v="1"/>
  </r>
  <r>
    <s v="TXN-00052"/>
    <d v="2025-11-22T00:00:00"/>
    <x v="6"/>
    <s v="South-South"/>
    <x v="1"/>
    <s v="Standing Fan"/>
    <n v="6"/>
    <n v="3680"/>
    <n v="5"/>
    <n v="20976"/>
    <n v="22080"/>
    <n v="1104"/>
    <x v="3"/>
    <s v="Segun Chukwu"/>
    <x v="0"/>
    <x v="3"/>
    <x v="1"/>
  </r>
  <r>
    <s v="TXN-00327"/>
    <d v="2025-03-22T00:00:00"/>
    <x v="5"/>
    <s v="South-West"/>
    <x v="3"/>
    <s v="Kids Sneakers"/>
    <n v="1"/>
    <n v="460"/>
    <n v="0"/>
    <n v="460"/>
    <n v="460"/>
    <n v="0"/>
    <x v="0"/>
    <s v="Amaka Onwuka"/>
    <x v="0"/>
    <x v="9"/>
    <x v="1"/>
  </r>
  <r>
    <s v="TXN-00247"/>
    <d v="2025-12-25T00:00:00"/>
    <x v="1"/>
    <s v="South-West"/>
    <x v="3"/>
    <s v="Handbag"/>
    <n v="4"/>
    <n v="470"/>
    <n v="10"/>
    <n v="1692"/>
    <n v="1880"/>
    <n v="188"/>
    <x v="2"/>
    <s v="Ade Abubakar"/>
    <x v="0"/>
    <x v="11"/>
    <x v="0"/>
  </r>
  <r>
    <s v="TXN-00663"/>
    <d v="2025-06-18T00:00:00"/>
    <x v="4"/>
    <s v="North-West"/>
    <x v="4"/>
    <s v="Indomie Carton"/>
    <n v="8"/>
    <n v="9450"/>
    <n v="0"/>
    <n v="75600"/>
    <n v="75600"/>
    <n v="0"/>
    <x v="1"/>
    <s v="Ifeoma Adeyemi"/>
    <x v="0"/>
    <x v="1"/>
    <x v="1"/>
  </r>
  <r>
    <s v="TXN-00841"/>
    <d v="2025-07-07T00:00:00"/>
    <x v="2"/>
    <s v="South-East"/>
    <x v="3"/>
    <s v="Denim Jeans"/>
    <n v="12"/>
    <n v="460"/>
    <n v="5"/>
    <n v="5244"/>
    <n v="5520"/>
    <n v="276"/>
    <x v="3"/>
    <s v="Peter Adekunle"/>
    <x v="0"/>
    <x v="10"/>
    <x v="0"/>
  </r>
  <r>
    <s v="TXN-00191"/>
    <d v="2025-07-26T00:00:00"/>
    <x v="5"/>
    <s v="South-West"/>
    <x v="0"/>
    <s v="Hair Relaxer Kit"/>
    <n v="11"/>
    <n v="2630"/>
    <n v="0"/>
    <n v="28930"/>
    <n v="28930"/>
    <n v="0"/>
    <x v="3"/>
    <s v="Tunde Balogun"/>
    <x v="0"/>
    <x v="10"/>
    <x v="0"/>
  </r>
  <r>
    <s v="TXN-01209"/>
    <d v="2025-08-21T00:00:00"/>
    <x v="4"/>
    <s v="North-West"/>
    <x v="4"/>
    <s v="Spaghetti Pack"/>
    <n v="7"/>
    <n v="588.23529411764707"/>
    <n v="15"/>
    <n v="3500"/>
    <n v="4117.6470588235297"/>
    <n v="617.64705882352939"/>
    <x v="2"/>
    <s v="Obinna Yusuf"/>
    <x v="0"/>
    <x v="2"/>
    <x v="0"/>
  </r>
  <r>
    <s v="TXN-00034"/>
    <d v="2025-04-24T00:00:00"/>
    <x v="6"/>
    <s v="South-South"/>
    <x v="4"/>
    <s v="Indomie Carton"/>
    <n v="2"/>
    <n v="13180"/>
    <n v="10"/>
    <n v="23724"/>
    <n v="26360"/>
    <n v="2636"/>
    <x v="1"/>
    <s v="Funmi Eze"/>
    <x v="0"/>
    <x v="4"/>
    <x v="1"/>
  </r>
  <r>
    <s v="TXN-00488"/>
    <d v="2025-12-13T00:00:00"/>
    <x v="1"/>
    <s v="South-West"/>
    <x v="1"/>
    <s v="Bluetooth Speaker"/>
    <n v="1"/>
    <n v="20380"/>
    <n v="0"/>
    <n v="20380"/>
    <n v="20380"/>
    <n v="0"/>
    <x v="2"/>
    <s v="Kelechi Nwosu"/>
    <x v="0"/>
    <x v="11"/>
    <x v="1"/>
  </r>
  <r>
    <s v="TXN-00580"/>
    <d v="2025-10-10T00:00:00"/>
    <x v="3"/>
    <s v="South-South"/>
    <x v="4"/>
    <s v="Indomie Carton"/>
    <n v="7"/>
    <n v="8590"/>
    <n v="0"/>
    <n v="60130"/>
    <n v="60130"/>
    <n v="0"/>
    <x v="2"/>
    <s v="Chinwe Etim"/>
    <x v="0"/>
    <x v="6"/>
    <x v="1"/>
  </r>
  <r>
    <s v="TXN-00451"/>
    <d v="2025-02-07T00:00:00"/>
    <x v="5"/>
    <s v="South-West"/>
    <x v="0"/>
    <s v="Toothpaste Pack"/>
    <n v="4"/>
    <n v="8370"/>
    <n v="0"/>
    <n v="33480"/>
    <n v="33480"/>
    <n v="0"/>
    <x v="2"/>
    <s v="Uche Okoro"/>
    <x v="0"/>
    <x v="8"/>
    <x v="1"/>
  </r>
  <r>
    <s v="TXN-01136"/>
    <d v="2025-03-02T00:00:00"/>
    <x v="0"/>
    <s v="North-Central"/>
    <x v="4"/>
    <s v="Semovita 2kg"/>
    <n v="9"/>
    <n v="20130"/>
    <n v="0"/>
    <n v="181170"/>
    <n v="181170"/>
    <n v="0"/>
    <x v="2"/>
    <s v="Funmi Eze"/>
    <x v="0"/>
    <x v="9"/>
    <x v="1"/>
  </r>
  <r>
    <s v="TXN-00087"/>
    <d v="2025-10-15T00:00:00"/>
    <x v="4"/>
    <s v="North-West"/>
    <x v="2"/>
    <s v="Storage Basket"/>
    <n v="8"/>
    <n v="540"/>
    <n v="0"/>
    <n v="4320"/>
    <n v="4320"/>
    <n v="0"/>
    <x v="3"/>
    <s v="Mary Nnamdi"/>
    <x v="0"/>
    <x v="6"/>
    <x v="0"/>
  </r>
  <r>
    <s v="TXN-01281"/>
    <d v="2025-12-28T00:00:00"/>
    <x v="3"/>
    <s v="South-South"/>
    <x v="4"/>
    <s v="Milo 500g"/>
    <n v="12"/>
    <n v="45890"/>
    <n v="0"/>
    <n v="550680"/>
    <n v="550680"/>
    <n v="0"/>
    <x v="0"/>
    <s v="Segun Chukwu"/>
    <x v="0"/>
    <x v="11"/>
    <x v="1"/>
  </r>
  <r>
    <s v="TXN-00743"/>
    <d v="2025-12-28T00:00:00"/>
    <x v="6"/>
    <s v="South-South"/>
    <x v="4"/>
    <s v="Indomie Carton"/>
    <n v="2"/>
    <n v="8550"/>
    <n v="15"/>
    <n v="14535"/>
    <n v="17100"/>
    <n v="2565"/>
    <x v="0"/>
    <s v="Funmi Eze"/>
    <x v="0"/>
    <x v="11"/>
    <x v="0"/>
  </r>
  <r>
    <s v="TXN-01297"/>
    <d v="2025-10-26T00:00:00"/>
    <x v="4"/>
    <s v="North-West"/>
    <x v="1"/>
    <s v="Rice Cooker"/>
    <n v="3"/>
    <n v="8530"/>
    <n v="0"/>
    <n v="25590"/>
    <n v="25590"/>
    <n v="0"/>
    <x v="0"/>
    <s v="Grace Okafor"/>
    <x v="0"/>
    <x v="6"/>
    <x v="1"/>
  </r>
  <r>
    <s v="TXN-00138"/>
    <d v="2025-11-13T00:00:00"/>
    <x v="2"/>
    <s v="South-East"/>
    <x v="2"/>
    <s v="Dinner Set"/>
    <n v="6"/>
    <n v="23210"/>
    <n v="0"/>
    <n v="139260"/>
    <n v="139260"/>
    <n v="0"/>
    <x v="2"/>
    <s v="Peter Adekunle"/>
    <x v="0"/>
    <x v="3"/>
    <x v="1"/>
  </r>
  <r>
    <s v="TXN-00169"/>
    <d v="2025-11-07T00:00:00"/>
    <x v="3"/>
    <s v="South-South"/>
    <x v="1"/>
    <s v="Rice Cooker"/>
    <n v="6"/>
    <n v="1330"/>
    <n v="0"/>
    <n v="7980"/>
    <n v="7980"/>
    <n v="0"/>
    <x v="1"/>
    <s v="Peter Adekunle"/>
    <x v="0"/>
    <x v="3"/>
    <x v="0"/>
  </r>
  <r>
    <s v="TXN-01104"/>
    <d v="2025-04-30T00:00:00"/>
    <x v="1"/>
    <s v="South-West"/>
    <x v="3"/>
    <s v="Denim Jeans"/>
    <n v="6"/>
    <n v="12760"/>
    <n v="5"/>
    <n v="72732"/>
    <n v="76560"/>
    <n v="3828"/>
    <x v="2"/>
    <s v="Chidera Bello"/>
    <x v="0"/>
    <x v="4"/>
    <x v="1"/>
  </r>
  <r>
    <s v="TXN-00425"/>
    <d v="2025-04-06T00:00:00"/>
    <x v="3"/>
    <s v="South-South"/>
    <x v="4"/>
    <s v="Office Blazer"/>
    <n v="8"/>
    <n v="2290"/>
    <n v="0"/>
    <n v="18320"/>
    <n v="18320"/>
    <n v="0"/>
    <x v="2"/>
    <s v="Mary Nnamdi"/>
    <x v="0"/>
    <x v="4"/>
    <x v="1"/>
  </r>
  <r>
    <s v="TXN-01205"/>
    <d v="2025-03-21T00:00:00"/>
    <x v="2"/>
    <s v="South-East"/>
    <x v="4"/>
    <s v="Milo 500g"/>
    <n v="1"/>
    <n v="3510"/>
    <n v="0"/>
    <n v="3510"/>
    <n v="3510"/>
    <n v="0"/>
    <x v="1"/>
    <s v="Ade Abubakar"/>
    <x v="0"/>
    <x v="9"/>
    <x v="1"/>
  </r>
  <r>
    <s v="TXN-00636"/>
    <d v="2025-07-03T00:00:00"/>
    <x v="2"/>
    <s v="South-East"/>
    <x v="4"/>
    <s v="Indomie Carton"/>
    <n v="2"/>
    <n v="12920"/>
    <n v="0"/>
    <n v="25840"/>
    <n v="25840"/>
    <n v="0"/>
    <x v="2"/>
    <s v="Funmi Eze"/>
    <x v="0"/>
    <x v="10"/>
    <x v="1"/>
  </r>
  <r>
    <s v="TXN-01463"/>
    <d v="2025-02-10T00:00:00"/>
    <x v="2"/>
    <s v="South-East"/>
    <x v="0"/>
    <s v="Hair Relaxer Kit"/>
    <n v="2"/>
    <n v="2750"/>
    <n v="0"/>
    <n v="5500"/>
    <n v="5500"/>
    <n v="0"/>
    <x v="3"/>
    <s v="Ade Abubakar"/>
    <x v="0"/>
    <x v="8"/>
    <x v="1"/>
  </r>
  <r>
    <s v="TXN-00174"/>
    <d v="2025-05-12T00:00:00"/>
    <x v="3"/>
    <s v="South-South"/>
    <x v="2"/>
    <s v="Cleaning Mop"/>
    <n v="12"/>
    <n v="67500"/>
    <n v="10"/>
    <n v="729000"/>
    <n v="810000"/>
    <n v="81000"/>
    <x v="0"/>
    <s v="Ngozi Ibrahim"/>
    <x v="0"/>
    <x v="5"/>
    <x v="1"/>
  </r>
  <r>
    <s v="TXN-00083"/>
    <d v="2025-05-10T00:00:00"/>
    <x v="6"/>
    <s v="South-South"/>
    <x v="4"/>
    <s v="Rice 50kg Bag"/>
    <n v="9"/>
    <n v="17990"/>
    <n v="0"/>
    <n v="161910"/>
    <n v="161910"/>
    <n v="0"/>
    <x v="2"/>
    <s v="Amaka Onwuka"/>
    <x v="0"/>
    <x v="5"/>
    <x v="1"/>
  </r>
  <r>
    <s v="TXN-00181"/>
    <d v="2025-02-08T00:00:00"/>
    <x v="2"/>
    <s v="South-East"/>
    <x v="1"/>
    <s v="Power Bank 20000mAh"/>
    <n v="6"/>
    <n v="65700"/>
    <n v="10"/>
    <n v="354780"/>
    <n v="394200"/>
    <n v="39420"/>
    <x v="0"/>
    <s v="Ade Abubakar"/>
    <x v="0"/>
    <x v="8"/>
    <x v="1"/>
  </r>
  <r>
    <s v="TXN-00156"/>
    <d v="2025-03-18T00:00:00"/>
    <x v="3"/>
    <s v="South-South"/>
    <x v="4"/>
    <s v="Rice 50kg Bag"/>
    <n v="6"/>
    <n v="3190"/>
    <n v="0"/>
    <n v="19140"/>
    <n v="19140"/>
    <n v="0"/>
    <x v="0"/>
    <s v="Ifeoma Adeyemi"/>
    <x v="0"/>
    <x v="9"/>
    <x v="0"/>
  </r>
  <r>
    <s v="TXN-00496"/>
    <d v="2025-03-16T00:00:00"/>
    <x v="5"/>
    <s v="South-West"/>
    <x v="4"/>
    <s v="Spaghetti Pack"/>
    <n v="5"/>
    <n v="2500"/>
    <n v="5"/>
    <n v="11875"/>
    <n v="12500"/>
    <n v="625"/>
    <x v="2"/>
    <s v="Ngozi Ibrahim"/>
    <x v="0"/>
    <x v="9"/>
    <x v="1"/>
  </r>
  <r>
    <s v="TXN-00118"/>
    <d v="2025-07-23T00:00:00"/>
    <x v="5"/>
    <s v="South-West"/>
    <x v="4"/>
    <s v="Vegetable Oil 5L"/>
    <n v="12"/>
    <n v="3760"/>
    <n v="5"/>
    <n v="42864"/>
    <n v="45120"/>
    <n v="2256"/>
    <x v="0"/>
    <s v="Kelechi Nwosu"/>
    <x v="0"/>
    <x v="10"/>
    <x v="1"/>
  </r>
  <r>
    <s v="TXN-01456"/>
    <d v="2025-11-23T00:00:00"/>
    <x v="6"/>
    <s v="South-South"/>
    <x v="2"/>
    <s v="Non-stick Frying Pan"/>
    <n v="9"/>
    <n v="28350"/>
    <n v="15"/>
    <n v="216877.5"/>
    <n v="255150"/>
    <n v="38272.5"/>
    <x v="1"/>
    <s v="Amaka Onwuka"/>
    <x v="0"/>
    <x v="3"/>
    <x v="0"/>
  </r>
  <r>
    <s v="TXN-00146"/>
    <d v="2025-02-20T00:00:00"/>
    <x v="4"/>
    <s v="North-Central"/>
    <x v="2"/>
    <s v="Bedsheet Set"/>
    <n v="1"/>
    <n v="8430"/>
    <n v="0"/>
    <n v="8430"/>
    <n v="8430"/>
    <n v="0"/>
    <x v="3"/>
    <s v="Peter Adekunle"/>
    <x v="0"/>
    <x v="8"/>
    <x v="1"/>
  </r>
  <r>
    <s v="TXN-00316"/>
    <d v="2025-02-04T00:00:00"/>
    <x v="3"/>
    <s v="South-South"/>
    <x v="2"/>
    <s v="Storage Basket"/>
    <n v="4"/>
    <n v="1230"/>
    <n v="0"/>
    <n v="4920"/>
    <n v="4920"/>
    <n v="0"/>
    <x v="3"/>
    <s v="Ade Abubakar"/>
    <x v="0"/>
    <x v="8"/>
    <x v="1"/>
  </r>
  <r>
    <s v="TXN-01465"/>
    <d v="2025-03-22T00:00:00"/>
    <x v="0"/>
    <s v="North-Central"/>
    <x v="3"/>
    <s v="School Sandals"/>
    <n v="1"/>
    <n v="19020"/>
    <n v="5"/>
    <n v="18069"/>
    <n v="19020"/>
    <n v="951"/>
    <x v="1"/>
    <s v="Mary Nnamdi"/>
    <x v="0"/>
    <x v="9"/>
    <x v="0"/>
  </r>
  <r>
    <s v="TXN-00993"/>
    <d v="2025-11-28T00:00:00"/>
    <x v="5"/>
    <s v="South-West"/>
    <x v="0"/>
    <s v="Shea Butter Cream"/>
    <n v="3"/>
    <n v="9680"/>
    <n v="0"/>
    <n v="29040"/>
    <n v="29040"/>
    <n v="0"/>
    <x v="2"/>
    <s v="Ade Abubakar"/>
    <x v="0"/>
    <x v="3"/>
    <x v="0"/>
  </r>
  <r>
    <s v="TXN-00540"/>
    <d v="2025-02-03T00:00:00"/>
    <x v="4"/>
    <s v="South-West"/>
    <x v="4"/>
    <s v="Spaghetti Pack"/>
    <n v="11"/>
    <n v="2660"/>
    <n v="0"/>
    <n v="29260"/>
    <n v="29260"/>
    <n v="0"/>
    <x v="2"/>
    <s v="Grace Okafor"/>
    <x v="0"/>
    <x v="8"/>
    <x v="1"/>
  </r>
  <r>
    <s v="TXN-01345"/>
    <d v="2025-10-18T00:00:00"/>
    <x v="3"/>
    <s v="South-South"/>
    <x v="2"/>
    <s v="Dinner Set"/>
    <n v="7"/>
    <n v="6760"/>
    <n v="0"/>
    <n v="47320"/>
    <n v="47320"/>
    <n v="0"/>
    <x v="2"/>
    <s v="Mary Nnamdi"/>
    <x v="0"/>
    <x v="6"/>
    <x v="0"/>
  </r>
  <r>
    <s v="TXN-00804"/>
    <d v="2025-07-27T00:00:00"/>
    <x v="5"/>
    <s v="South-West"/>
    <x v="0"/>
    <s v="Bathing Soap Pack"/>
    <n v="1"/>
    <n v="8490"/>
    <n v="0"/>
    <n v="8490"/>
    <n v="8490"/>
    <n v="0"/>
    <x v="1"/>
    <s v="Uche Okoro"/>
    <x v="0"/>
    <x v="10"/>
    <x v="0"/>
  </r>
  <r>
    <s v="TXN-01126"/>
    <d v="2025-09-14T00:00:00"/>
    <x v="4"/>
    <s v="North-West"/>
    <x v="0"/>
    <s v="Baby Diaper Pack"/>
    <n v="9"/>
    <n v="8420"/>
    <n v="15"/>
    <n v="64413"/>
    <n v="75780"/>
    <n v="11367"/>
    <x v="0"/>
    <s v="Ifeoma Adeyemi"/>
    <x v="0"/>
    <x v="0"/>
    <x v="0"/>
  </r>
  <r>
    <s v="TXN-00212"/>
    <d v="2025-05-04T00:00:00"/>
    <x v="1"/>
    <s v="South-West"/>
    <x v="2"/>
    <s v="Laundry Basket"/>
    <n v="6"/>
    <n v="1320"/>
    <n v="5"/>
    <n v="7524"/>
    <n v="7920"/>
    <n v="396"/>
    <x v="0"/>
    <s v="Mary Nnamdi"/>
    <x v="0"/>
    <x v="5"/>
    <x v="1"/>
  </r>
  <r>
    <s v="TXN-00559"/>
    <d v="2025-12-30T00:00:00"/>
    <x v="1"/>
    <s v="South-West"/>
    <x v="2"/>
    <s v="Laundry Basket"/>
    <n v="6"/>
    <n v="10840"/>
    <n v="10"/>
    <n v="58536"/>
    <n v="65040"/>
    <n v="6504"/>
    <x v="0"/>
    <s v="Grace Okafor"/>
    <x v="0"/>
    <x v="11"/>
    <x v="1"/>
  </r>
  <r>
    <s v="TXN-00930"/>
    <d v="2025-11-19T00:00:00"/>
    <x v="5"/>
    <s v="South-West"/>
    <x v="1"/>
    <s v="Bluetooth Speaker"/>
    <n v="11"/>
    <n v="2660"/>
    <n v="0"/>
    <n v="29260"/>
    <n v="29260"/>
    <n v="0"/>
    <x v="2"/>
    <s v="Obinna Yusuf"/>
    <x v="0"/>
    <x v="3"/>
    <x v="0"/>
  </r>
  <r>
    <s v="TXN-01372"/>
    <d v="2025-09-30T00:00:00"/>
    <x v="1"/>
    <s v="South-West"/>
    <x v="4"/>
    <s v="Vegetable Oil 5L"/>
    <n v="1"/>
    <n v="16710"/>
    <n v="10"/>
    <n v="15039"/>
    <n v="16710"/>
    <n v="1671"/>
    <x v="1"/>
    <s v="Chidera Bello"/>
    <x v="0"/>
    <x v="0"/>
    <x v="1"/>
  </r>
  <r>
    <s v="TXN-00189"/>
    <d v="2025-11-21T00:00:00"/>
    <x v="4"/>
    <s v="North-West"/>
    <x v="2"/>
    <s v="Curtain Set"/>
    <n v="8"/>
    <n v="13350"/>
    <n v="0"/>
    <n v="106800"/>
    <n v="106800"/>
    <n v="0"/>
    <x v="3"/>
    <s v="Grace Okafor"/>
    <x v="0"/>
    <x v="3"/>
    <x v="1"/>
  </r>
  <r>
    <s v="TXN-01099"/>
    <d v="2025-01-04T00:00:00"/>
    <x v="3"/>
    <s v="South-South"/>
    <x v="4"/>
    <s v="Tomato Paste Carton"/>
    <n v="4"/>
    <n v="8110"/>
    <n v="10"/>
    <n v="29196"/>
    <n v="32440"/>
    <n v="3244"/>
    <x v="2"/>
    <s v="Mary Nnamdi"/>
    <x v="0"/>
    <x v="7"/>
    <x v="1"/>
  </r>
  <r>
    <s v="TXN-00648"/>
    <d v="2025-10-17T00:00:00"/>
    <x v="0"/>
    <s v="North-Central"/>
    <x v="3"/>
    <s v="Wristwatch"/>
    <n v="10"/>
    <n v="26160"/>
    <n v="15"/>
    <n v="222360"/>
    <n v="261600"/>
    <n v="39240"/>
    <x v="0"/>
    <s v="Ifeoma Adeyemi"/>
    <x v="0"/>
    <x v="6"/>
    <x v="0"/>
  </r>
  <r>
    <s v="TXN-00386"/>
    <d v="2025-07-18T00:00:00"/>
    <x v="2"/>
    <s v="South-East"/>
    <x v="0"/>
    <s v="Hair Relaxer Kit"/>
    <n v="8"/>
    <n v="7710"/>
    <n v="0"/>
    <n v="61680"/>
    <n v="61680"/>
    <n v="0"/>
    <x v="0"/>
    <s v="Amaka Onwuka"/>
    <x v="0"/>
    <x v="10"/>
    <x v="0"/>
  </r>
  <r>
    <s v="TXN-00928"/>
    <d v="2025-01-26T00:00:00"/>
    <x v="1"/>
    <s v="South-West"/>
    <x v="2"/>
    <s v="Non-stick Frying Pan"/>
    <n v="8"/>
    <n v="1120"/>
    <n v="10"/>
    <n v="8064"/>
    <n v="8960"/>
    <n v="896"/>
    <x v="3"/>
    <s v="Obinna Yusuf"/>
    <x v="0"/>
    <x v="7"/>
    <x v="1"/>
  </r>
  <r>
    <s v="TXN-00835"/>
    <d v="2025-12-20T00:00:00"/>
    <x v="6"/>
    <s v="South-South"/>
    <x v="4"/>
    <s v="Spaghetti Pack"/>
    <n v="1"/>
    <n v="16220"/>
    <n v="15"/>
    <n v="13787"/>
    <n v="16220"/>
    <n v="2433"/>
    <x v="3"/>
    <s v="Mary Nnamdi"/>
    <x v="0"/>
    <x v="11"/>
    <x v="1"/>
  </r>
  <r>
    <s v="TXN-00046"/>
    <d v="2025-08-22T00:00:00"/>
    <x v="4"/>
    <s v="North-West"/>
    <x v="4"/>
    <s v="Indomie Carton"/>
    <n v="9"/>
    <n v="7370"/>
    <n v="0"/>
    <n v="66330"/>
    <n v="66330"/>
    <n v="0"/>
    <x v="0"/>
    <s v="Chidera Bello"/>
    <x v="0"/>
    <x v="2"/>
    <x v="1"/>
  </r>
  <r>
    <s v="TXN-01040"/>
    <d v="2025-12-30T00:00:00"/>
    <x v="2"/>
    <s v="South-East"/>
    <x v="0"/>
    <s v="Body Lotion 400ml"/>
    <n v="1"/>
    <n v="19940"/>
    <n v="15"/>
    <n v="16949"/>
    <n v="19940"/>
    <n v="2991"/>
    <x v="0"/>
    <s v="Chidera Bello"/>
    <x v="0"/>
    <x v="11"/>
    <x v="1"/>
  </r>
  <r>
    <s v="TXN-01152"/>
    <d v="2025-04-27T00:00:00"/>
    <x v="0"/>
    <s v="North-Central"/>
    <x v="3"/>
    <s v="Denim Jeans"/>
    <n v="6"/>
    <n v="3240"/>
    <n v="10"/>
    <n v="17496"/>
    <n v="19440"/>
    <n v="1944"/>
    <x v="1"/>
    <s v="Tunde Balogun"/>
    <x v="0"/>
    <x v="4"/>
    <x v="0"/>
  </r>
  <r>
    <s v="TXN-00570"/>
    <d v="2025-11-22T00:00:00"/>
    <x v="6"/>
    <s v="South-South"/>
    <x v="4"/>
    <s v="Milo 500g"/>
    <n v="7"/>
    <n v="47440"/>
    <n v="0"/>
    <n v="332080"/>
    <n v="332080"/>
    <n v="0"/>
    <x v="3"/>
    <s v="Segun Chukwu"/>
    <x v="0"/>
    <x v="3"/>
    <x v="1"/>
  </r>
  <r>
    <s v="TXN-00128"/>
    <d v="2025-02-22T00:00:00"/>
    <x v="6"/>
    <s v="South-South"/>
    <x v="2"/>
    <s v="Non-stick Frying Pan"/>
    <n v="9"/>
    <n v="2520"/>
    <n v="0"/>
    <n v="22680"/>
    <n v="22680"/>
    <n v="0"/>
    <x v="1"/>
    <s v="Ade Abubakar"/>
    <x v="0"/>
    <x v="8"/>
    <x v="0"/>
  </r>
  <r>
    <s v="TXN-00343"/>
    <d v="2025-08-16T00:00:00"/>
    <x v="3"/>
    <s v="South-South"/>
    <x v="2"/>
    <s v="Curtain Set"/>
    <n v="2"/>
    <n v="13420"/>
    <n v="5"/>
    <n v="25498"/>
    <n v="26840"/>
    <n v="1342"/>
    <x v="3"/>
    <s v="Amaka Onwuka"/>
    <x v="0"/>
    <x v="2"/>
    <x v="1"/>
  </r>
  <r>
    <s v="TXN-00616"/>
    <d v="2025-03-27T00:00:00"/>
    <x v="4"/>
    <s v="South-South"/>
    <x v="3"/>
    <s v="Ladies Ankara Gown"/>
    <n v="7"/>
    <n v="470"/>
    <n v="0"/>
    <n v="3290"/>
    <n v="3290"/>
    <n v="0"/>
    <x v="0"/>
    <s v="Obinna Yusuf"/>
    <x v="0"/>
    <x v="9"/>
    <x v="0"/>
  </r>
  <r>
    <s v="TXN-00187"/>
    <d v="2025-01-06T00:00:00"/>
    <x v="6"/>
    <s v="South-South"/>
    <x v="0"/>
    <s v="Body Lotion 400ml"/>
    <n v="1"/>
    <n v="42070"/>
    <n v="0"/>
    <n v="42070"/>
    <n v="42070"/>
    <n v="0"/>
    <x v="3"/>
    <s v="Funmi Eze"/>
    <x v="0"/>
    <x v="7"/>
    <x v="1"/>
  </r>
  <r>
    <s v="TXN-01312"/>
    <d v="2025-09-01T00:00:00"/>
    <x v="4"/>
    <s v="North-West"/>
    <x v="1"/>
    <s v="Power Bank 20000mAh"/>
    <n v="11"/>
    <n v="60090"/>
    <n v="10"/>
    <n v="594891"/>
    <n v="660990"/>
    <n v="66099"/>
    <x v="3"/>
    <s v="Uche Okoro"/>
    <x v="0"/>
    <x v="0"/>
    <x v="0"/>
  </r>
  <r>
    <s v="TXN-00285"/>
    <d v="2025-08-15T00:00:00"/>
    <x v="6"/>
    <s v="South-South"/>
    <x v="1"/>
    <s v="Standing Fan"/>
    <n v="8"/>
    <n v="26620"/>
    <n v="0"/>
    <n v="212960"/>
    <n v="212960"/>
    <n v="0"/>
    <x v="1"/>
    <s v="Ngozi Ibrahim"/>
    <x v="0"/>
    <x v="2"/>
    <x v="0"/>
  </r>
  <r>
    <s v="TXN-00365"/>
    <d v="2025-04-20T00:00:00"/>
    <x v="1"/>
    <s v="South-West"/>
    <x v="3"/>
    <s v="School Sandals"/>
    <n v="3"/>
    <n v="48410"/>
    <n v="0"/>
    <n v="145230"/>
    <n v="145230"/>
    <n v="0"/>
    <x v="1"/>
    <s v="Uche Okoro"/>
    <x v="0"/>
    <x v="4"/>
    <x v="0"/>
  </r>
  <r>
    <s v="TXN-00899"/>
    <d v="2025-03-01T00:00:00"/>
    <x v="5"/>
    <s v="South-West"/>
    <x v="1"/>
    <s v="Power Bank 20000mAh"/>
    <n v="2"/>
    <n v="8380"/>
    <n v="5"/>
    <n v="15922"/>
    <n v="16760"/>
    <n v="838"/>
    <x v="0"/>
    <s v="Ade Abubakar"/>
    <x v="0"/>
    <x v="9"/>
    <x v="1"/>
  </r>
  <r>
    <s v="TXN-00024"/>
    <d v="2025-03-04T00:00:00"/>
    <x v="6"/>
    <s v="South-South"/>
    <x v="4"/>
    <s v="Electric Kettle"/>
    <n v="1"/>
    <n v="66920"/>
    <n v="5"/>
    <n v="63574"/>
    <n v="66920"/>
    <n v="3346"/>
    <x v="1"/>
    <s v="Ngozi Ibrahim"/>
    <x v="0"/>
    <x v="9"/>
    <x v="0"/>
  </r>
  <r>
    <s v="TXN-01226"/>
    <d v="2025-03-17T00:00:00"/>
    <x v="3"/>
    <s v="South-South"/>
    <x v="1"/>
    <s v="Electric Kettle"/>
    <n v="11"/>
    <n v="13200"/>
    <n v="0"/>
    <n v="145200"/>
    <n v="145200"/>
    <n v="0"/>
    <x v="2"/>
    <s v="Ifeoma Adeyemi"/>
    <x v="0"/>
    <x v="9"/>
    <x v="1"/>
  </r>
  <r>
    <s v="TXN-01117"/>
    <d v="2025-08-13T00:00:00"/>
    <x v="1"/>
    <s v="South-West"/>
    <x v="0"/>
    <s v="Baby Diaper Pack"/>
    <n v="12"/>
    <n v="4530"/>
    <n v="5"/>
    <n v="51642"/>
    <n v="54360"/>
    <n v="2718"/>
    <x v="2"/>
    <s v="Grace Okafor"/>
    <x v="0"/>
    <x v="2"/>
    <x v="1"/>
  </r>
  <r>
    <s v="TXN-00273"/>
    <d v="2025-02-25T00:00:00"/>
    <x v="3"/>
    <s v="South-South"/>
    <x v="1"/>
    <s v="Electric Kettle"/>
    <n v="11"/>
    <n v="50090"/>
    <n v="15"/>
    <n v="468341.5"/>
    <n v="550990"/>
    <n v="82648.5"/>
    <x v="3"/>
    <s v="Funmi Eze"/>
    <x v="0"/>
    <x v="8"/>
    <x v="1"/>
  </r>
  <r>
    <s v="TXN-00432"/>
    <d v="2025-03-05T00:00:00"/>
    <x v="2"/>
    <s v="South-East"/>
    <x v="4"/>
    <s v="Tomato Paste Carton"/>
    <n v="5"/>
    <n v="8510"/>
    <n v="0"/>
    <n v="42550"/>
    <n v="42550"/>
    <n v="0"/>
    <x v="0"/>
    <s v="Funmi Eze"/>
    <x v="0"/>
    <x v="9"/>
    <x v="0"/>
  </r>
  <r>
    <s v="TXN-01348"/>
    <d v="2025-05-05T00:00:00"/>
    <x v="3"/>
    <s v="South-South"/>
    <x v="4"/>
    <s v="Sugar 1kg"/>
    <n v="9"/>
    <n v="1170"/>
    <n v="0"/>
    <n v="10530"/>
    <n v="10530"/>
    <n v="0"/>
    <x v="2"/>
    <s v="Funmi Eze"/>
    <x v="0"/>
    <x v="5"/>
    <x v="0"/>
  </r>
  <r>
    <s v="TXN-00763"/>
    <d v="2025-03-11T00:00:00"/>
    <x v="0"/>
    <s v="North-Central"/>
    <x v="3"/>
    <s v="Wristwatch"/>
    <n v="11"/>
    <n v="490"/>
    <n v="0"/>
    <n v="5390"/>
    <n v="5390"/>
    <n v="0"/>
    <x v="3"/>
    <s v="Mary Nnamdi"/>
    <x v="0"/>
    <x v="9"/>
    <x v="0"/>
  </r>
  <r>
    <s v="TXN-00393"/>
    <d v="2025-01-19T00:00:00"/>
    <x v="2"/>
    <s v="South-East"/>
    <x v="3"/>
    <s v="Handbag"/>
    <n v="12"/>
    <n v="67900"/>
    <n v="10"/>
    <n v="733320"/>
    <n v="814800"/>
    <n v="81480"/>
    <x v="0"/>
    <s v="Segun Chukwu"/>
    <x v="0"/>
    <x v="7"/>
    <x v="1"/>
  </r>
  <r>
    <s v="TXN-00768"/>
    <d v="2025-01-20T00:00:00"/>
    <x v="6"/>
    <s v="South-South"/>
    <x v="0"/>
    <s v="Perfume 100ml"/>
    <n v="1"/>
    <n v="46020"/>
    <n v="0"/>
    <n v="46020"/>
    <n v="46020"/>
    <n v="0"/>
    <x v="2"/>
    <s v="Obinna Yusuf"/>
    <x v="0"/>
    <x v="7"/>
    <x v="1"/>
  </r>
  <r>
    <s v="TXN-00116"/>
    <d v="2025-01-30T00:00:00"/>
    <x v="1"/>
    <s v="South-West"/>
    <x v="3"/>
    <s v="Denim Jeans"/>
    <n v="3"/>
    <n v="5570"/>
    <n v="0"/>
    <n v="16710"/>
    <n v="16710"/>
    <n v="0"/>
    <x v="3"/>
    <s v="Segun Chukwu"/>
    <x v="0"/>
    <x v="7"/>
    <x v="0"/>
  </r>
  <r>
    <s v="TXN-00998"/>
    <d v="2025-05-05T00:00:00"/>
    <x v="5"/>
    <s v="South-West"/>
    <x v="4"/>
    <s v="Spaghetti Pack"/>
    <n v="3"/>
    <n v="11880"/>
    <n v="0"/>
    <n v="35640"/>
    <n v="35640"/>
    <n v="0"/>
    <x v="2"/>
    <s v="Ade Abubakar"/>
    <x v="0"/>
    <x v="5"/>
    <x v="1"/>
  </r>
  <r>
    <s v="TXN-01280"/>
    <d v="2025-07-01T00:00:00"/>
    <x v="0"/>
    <s v="North-Central"/>
    <x v="1"/>
    <s v="Standing Fan"/>
    <n v="1"/>
    <n v="8240"/>
    <n v="15"/>
    <n v="7004"/>
    <n v="8240"/>
    <n v="1236"/>
    <x v="2"/>
    <s v="Grace Okafor"/>
    <x v="0"/>
    <x v="10"/>
    <x v="0"/>
  </r>
  <r>
    <s v="TXN-00887"/>
    <d v="2025-07-19T00:00:00"/>
    <x v="3"/>
    <s v="South-South"/>
    <x v="3"/>
    <s v="Ladies Ankara Gown"/>
    <n v="7"/>
    <n v="3930"/>
    <n v="0"/>
    <n v="27510"/>
    <n v="27510"/>
    <n v="0"/>
    <x v="2"/>
    <s v="Amaka Onwuka"/>
    <x v="0"/>
    <x v="10"/>
    <x v="0"/>
  </r>
  <r>
    <s v="TXN-01231"/>
    <d v="2025-04-29T00:00:00"/>
    <x v="0"/>
    <s v="North-Central"/>
    <x v="4"/>
    <s v="Sugar 1kg"/>
    <n v="12"/>
    <n v="7820"/>
    <n v="15"/>
    <n v="79764"/>
    <n v="93840"/>
    <n v="14076"/>
    <x v="2"/>
    <s v="Mary Nnamdi"/>
    <x v="0"/>
    <x v="4"/>
    <x v="1"/>
  </r>
  <r>
    <s v="TXN-01187"/>
    <d v="2025-09-22T00:00:00"/>
    <x v="5"/>
    <s v="South-West"/>
    <x v="3"/>
    <s v="School Sandals"/>
    <n v="3"/>
    <n v="5360"/>
    <n v="5"/>
    <n v="15276"/>
    <n v="16080"/>
    <n v="804"/>
    <x v="2"/>
    <s v="Obinna Yusuf"/>
    <x v="0"/>
    <x v="0"/>
    <x v="0"/>
  </r>
  <r>
    <s v="TXN-00141"/>
    <d v="2025-10-21T00:00:00"/>
    <x v="0"/>
    <s v="North-Central"/>
    <x v="4"/>
    <s v="Milo 500g"/>
    <n v="8"/>
    <n v="27140"/>
    <n v="0"/>
    <n v="217120"/>
    <n v="217120"/>
    <n v="0"/>
    <x v="2"/>
    <s v="Ade Abubakar"/>
    <x v="0"/>
    <x v="6"/>
    <x v="1"/>
  </r>
  <r>
    <s v="TXN-00764"/>
    <d v="2025-04-27T00:00:00"/>
    <x v="1"/>
    <s v="South-West"/>
    <x v="0"/>
    <s v="Shea Butter Cream"/>
    <n v="9"/>
    <n v="22530"/>
    <n v="0"/>
    <n v="202770"/>
    <n v="202770"/>
    <n v="0"/>
    <x v="1"/>
    <s v="Chidera Bello"/>
    <x v="0"/>
    <x v="4"/>
    <x v="1"/>
  </r>
  <r>
    <s v="TXN-00861"/>
    <d v="2025-09-02T00:00:00"/>
    <x v="3"/>
    <s v="South-South"/>
    <x v="0"/>
    <s v="Toothpaste Pack"/>
    <n v="3"/>
    <n v="27450"/>
    <n v="0"/>
    <n v="82350"/>
    <n v="82350"/>
    <n v="0"/>
    <x v="1"/>
    <s v="Obinna Yusuf"/>
    <x v="0"/>
    <x v="0"/>
    <x v="1"/>
  </r>
  <r>
    <s v="TXN-01053"/>
    <d v="2025-01-08T00:00:00"/>
    <x v="4"/>
    <s v="North-West"/>
    <x v="2"/>
    <s v="Bedsheet Set"/>
    <n v="3"/>
    <n v="47900"/>
    <n v="15"/>
    <n v="122145"/>
    <n v="143700"/>
    <n v="21555"/>
    <x v="0"/>
    <s v="Obinna Yusuf"/>
    <x v="0"/>
    <x v="7"/>
    <x v="1"/>
  </r>
  <r>
    <s v="TXN-00293"/>
    <d v="2025-08-20T00:00:00"/>
    <x v="6"/>
    <s v="South-South"/>
    <x v="2"/>
    <s v="Plastic Chair Set"/>
    <n v="4"/>
    <n v="1230"/>
    <n v="15"/>
    <n v="4182"/>
    <n v="4920"/>
    <n v="738"/>
    <x v="1"/>
    <s v="Grace Okafor"/>
    <x v="0"/>
    <x v="2"/>
    <x v="1"/>
  </r>
  <r>
    <s v="TXN-00336"/>
    <d v="2025-02-09T00:00:00"/>
    <x v="1"/>
    <s v="South-West"/>
    <x v="2"/>
    <s v="Non-stick Frying Pan"/>
    <n v="3"/>
    <n v="1100"/>
    <n v="10"/>
    <n v="2970"/>
    <n v="3300"/>
    <n v="330"/>
    <x v="0"/>
    <s v="Ngozi Ibrahim"/>
    <x v="0"/>
    <x v="8"/>
    <x v="1"/>
  </r>
  <r>
    <s v="TXN-00643"/>
    <d v="2025-01-21T00:00:00"/>
    <x v="4"/>
    <s v="North-West"/>
    <x v="2"/>
    <s v="Curtain Set"/>
    <n v="10"/>
    <n v="71830"/>
    <n v="0"/>
    <n v="718300"/>
    <n v="718300"/>
    <n v="0"/>
    <x v="2"/>
    <s v="Tunde Balogun"/>
    <x v="0"/>
    <x v="7"/>
    <x v="0"/>
  </r>
  <r>
    <s v="TXN-00893"/>
    <d v="2025-04-25T00:00:00"/>
    <x v="4"/>
    <s v="North-West"/>
    <x v="0"/>
    <s v="Deodorant Roll-on"/>
    <n v="5"/>
    <n v="13120"/>
    <n v="10"/>
    <n v="59040"/>
    <n v="65600"/>
    <n v="6560"/>
    <x v="2"/>
    <s v="Ifeoma Adeyemi"/>
    <x v="0"/>
    <x v="4"/>
    <x v="1"/>
  </r>
  <r>
    <s v="TXN-00900"/>
    <d v="2025-08-05T00:00:00"/>
    <x v="1"/>
    <s v="South-West"/>
    <x v="3"/>
    <s v="Handbag"/>
    <n v="12"/>
    <n v="2560"/>
    <n v="5"/>
    <n v="29184"/>
    <n v="30720"/>
    <n v="1536"/>
    <x v="0"/>
    <s v="Peter Adekunle"/>
    <x v="0"/>
    <x v="2"/>
    <x v="1"/>
  </r>
  <r>
    <s v="TXN-00752"/>
    <d v="2025-04-27T00:00:00"/>
    <x v="4"/>
    <s v="South-West"/>
    <x v="3"/>
    <s v="School Sandals"/>
    <n v="2"/>
    <n v="3540"/>
    <n v="10"/>
    <n v="6372"/>
    <n v="7080"/>
    <n v="708"/>
    <x v="2"/>
    <s v="Chidera Bello"/>
    <x v="0"/>
    <x v="4"/>
    <x v="0"/>
  </r>
  <r>
    <s v="TXN-00197"/>
    <d v="2025-03-01T00:00:00"/>
    <x v="6"/>
    <s v="South-South"/>
    <x v="4"/>
    <s v="Rice 50kg Bag"/>
    <n v="6"/>
    <n v="8250"/>
    <n v="0"/>
    <n v="49500"/>
    <n v="49500"/>
    <n v="0"/>
    <x v="2"/>
    <s v="Mary Nnamdi"/>
    <x v="0"/>
    <x v="9"/>
    <x v="1"/>
  </r>
  <r>
    <s v="TXN-00951"/>
    <d v="2025-08-02T00:00:00"/>
    <x v="3"/>
    <s v="South-South"/>
    <x v="2"/>
    <s v="Laundry Basket"/>
    <n v="11"/>
    <n v="5570"/>
    <n v="0"/>
    <n v="61270"/>
    <n v="61270"/>
    <n v="0"/>
    <x v="3"/>
    <s v="Ade Abubakar"/>
    <x v="0"/>
    <x v="2"/>
    <x v="1"/>
  </r>
  <r>
    <s v="TXN-01192"/>
    <d v="2025-01-12T00:00:00"/>
    <x v="4"/>
    <s v="North-West"/>
    <x v="0"/>
    <s v="Toothpaste Pack"/>
    <n v="8"/>
    <n v="9190"/>
    <n v="5"/>
    <n v="69844"/>
    <n v="73520"/>
    <n v="3676"/>
    <x v="3"/>
    <s v="Ngozi Ibrahim"/>
    <x v="0"/>
    <x v="7"/>
    <x v="0"/>
  </r>
  <r>
    <s v="TXN-00123"/>
    <d v="2025-10-17T00:00:00"/>
    <x v="1"/>
    <s v="South-West"/>
    <x v="4"/>
    <s v="Curtain Set"/>
    <n v="7"/>
    <n v="1190"/>
    <n v="0"/>
    <n v="8330"/>
    <n v="8330"/>
    <n v="0"/>
    <x v="2"/>
    <s v="Grace Okafor"/>
    <x v="0"/>
    <x v="6"/>
    <x v="1"/>
  </r>
  <r>
    <s v="TXN-01410"/>
    <d v="2025-07-06T00:00:00"/>
    <x v="2"/>
    <s v="South-East"/>
    <x v="3"/>
    <s v="Handbag"/>
    <n v="1"/>
    <n v="17180"/>
    <n v="15"/>
    <n v="14603"/>
    <n v="17180"/>
    <n v="2577"/>
    <x v="0"/>
    <s v="Uche Okoro"/>
    <x v="0"/>
    <x v="10"/>
    <x v="1"/>
  </r>
  <r>
    <s v="TXN-00384"/>
    <d v="2025-10-19T00:00:00"/>
    <x v="0"/>
    <s v="North-Central"/>
    <x v="0"/>
    <s v="Shea Butter Cream"/>
    <n v="8"/>
    <n v="47500"/>
    <n v="15"/>
    <n v="323000"/>
    <n v="380000"/>
    <n v="57000"/>
    <x v="1"/>
    <s v="Amaka Onwuka"/>
    <x v="0"/>
    <x v="6"/>
    <x v="0"/>
  </r>
  <r>
    <s v="TXN-00860"/>
    <d v="2025-12-19T00:00:00"/>
    <x v="6"/>
    <s v="South-South"/>
    <x v="3"/>
    <s v="Ladies Ankara Gown"/>
    <n v="1"/>
    <n v="25770"/>
    <n v="5"/>
    <n v="24481.5"/>
    <n v="25770"/>
    <n v="1288.5"/>
    <x v="1"/>
    <s v="Chidera Bello"/>
    <x v="0"/>
    <x v="11"/>
    <x v="0"/>
  </r>
  <r>
    <s v="TXN-00125"/>
    <d v="2025-12-31T00:00:00"/>
    <x v="1"/>
    <s v="South-West"/>
    <x v="1"/>
    <s v="Rice Cooker"/>
    <n v="10"/>
    <n v="570"/>
    <n v="0"/>
    <n v="5700"/>
    <n v="5700"/>
    <n v="0"/>
    <x v="3"/>
    <s v="Uche Okoro"/>
    <x v="0"/>
    <x v="11"/>
    <x v="1"/>
  </r>
  <r>
    <s v="TXN-00606"/>
    <d v="2025-10-06T00:00:00"/>
    <x v="0"/>
    <s v="North-Central"/>
    <x v="4"/>
    <s v="Milo 500g"/>
    <n v="7"/>
    <n v="13190"/>
    <n v="15"/>
    <n v="78480.5"/>
    <n v="92330"/>
    <n v="13849.5"/>
    <x v="0"/>
    <s v="Funmi Eze"/>
    <x v="0"/>
    <x v="6"/>
    <x v="1"/>
  </r>
  <r>
    <s v="TXN-00358"/>
    <d v="2025-08-27T00:00:00"/>
    <x v="5"/>
    <s v="South-West"/>
    <x v="3"/>
    <s v="Office Blazer"/>
    <n v="2"/>
    <n v="26400"/>
    <n v="0"/>
    <n v="52800"/>
    <n v="52800"/>
    <n v="0"/>
    <x v="2"/>
    <s v="Ade Abubakar"/>
    <x v="0"/>
    <x v="2"/>
    <x v="1"/>
  </r>
  <r>
    <s v="TXN-00551"/>
    <d v="2025-07-01T00:00:00"/>
    <x v="6"/>
    <s v="South-South"/>
    <x v="4"/>
    <s v="Sugar 1kg"/>
    <n v="1"/>
    <n v="1370"/>
    <n v="5"/>
    <n v="1301.5"/>
    <n v="1370"/>
    <n v="68.5"/>
    <x v="0"/>
    <s v="Kelechi Nwosu"/>
    <x v="0"/>
    <x v="10"/>
    <x v="0"/>
  </r>
  <r>
    <s v="TXN-00553"/>
    <d v="2025-08-24T00:00:00"/>
    <x v="6"/>
    <s v="South-South"/>
    <x v="0"/>
    <s v="Perfume 100ml"/>
    <n v="4"/>
    <n v="1300"/>
    <n v="0"/>
    <n v="5200"/>
    <n v="5200"/>
    <n v="0"/>
    <x v="0"/>
    <s v="Ade Abubakar"/>
    <x v="0"/>
    <x v="2"/>
    <x v="1"/>
  </r>
  <r>
    <s v="TXN-00574"/>
    <d v="2025-09-13T00:00:00"/>
    <x v="6"/>
    <s v="South-South"/>
    <x v="3"/>
    <s v="Ladies Ankara Gown"/>
    <n v="2"/>
    <n v="61090"/>
    <n v="0"/>
    <n v="122180"/>
    <n v="122180"/>
    <n v="0"/>
    <x v="2"/>
    <s v="Ifeoma Adeyemi"/>
    <x v="0"/>
    <x v="0"/>
    <x v="0"/>
  </r>
  <r>
    <s v="TXN-00178"/>
    <d v="2025-11-18T00:00:00"/>
    <x v="5"/>
    <s v="South-West"/>
    <x v="4"/>
    <s v="Spaghetti Pack"/>
    <n v="7"/>
    <n v="1380"/>
    <n v="5"/>
    <n v="9177"/>
    <n v="9660"/>
    <n v="483"/>
    <x v="2"/>
    <s v="Ifeoma Adeyemi"/>
    <x v="0"/>
    <x v="3"/>
    <x v="1"/>
  </r>
  <r>
    <s v="TXN-01172"/>
    <d v="2025-04-12T00:00:00"/>
    <x v="1"/>
    <s v="South-West"/>
    <x v="3"/>
    <s v="Ladies Ankara Gown"/>
    <n v="10"/>
    <n v="450"/>
    <n v="0"/>
    <n v="4500"/>
    <n v="4500"/>
    <n v="0"/>
    <x v="3"/>
    <s v="Tunde Balogun"/>
    <x v="0"/>
    <x v="4"/>
    <x v="0"/>
  </r>
  <r>
    <s v="TXN-01000"/>
    <d v="2025-03-03T00:00:00"/>
    <x v="2"/>
    <s v="South-West"/>
    <x v="1"/>
    <s v="Standing Fan"/>
    <n v="3"/>
    <n v="22760"/>
    <n v="5"/>
    <n v="64866"/>
    <n v="68280"/>
    <n v="3414"/>
    <x v="1"/>
    <s v="Grace Okafor"/>
    <x v="0"/>
    <x v="9"/>
    <x v="1"/>
  </r>
  <r>
    <s v="TXN-00789"/>
    <d v="2025-08-17T00:00:00"/>
    <x v="2"/>
    <s v="South-East"/>
    <x v="1"/>
    <s v="Electric Kettle"/>
    <n v="8"/>
    <n v="7460"/>
    <n v="0"/>
    <n v="59680"/>
    <n v="59680"/>
    <n v="0"/>
    <x v="1"/>
    <s v="Peter Adekunle"/>
    <x v="0"/>
    <x v="2"/>
    <x v="1"/>
  </r>
  <r>
    <s v="TXN-01488"/>
    <d v="2025-10-03T00:00:00"/>
    <x v="1"/>
    <s v="South-West"/>
    <x v="2"/>
    <s v="Cleaning Mop"/>
    <n v="9"/>
    <n v="43450"/>
    <n v="0"/>
    <n v="391050"/>
    <n v="391050"/>
    <n v="0"/>
    <x v="1"/>
    <s v="Funmi Eze"/>
    <x v="0"/>
    <x v="6"/>
    <x v="0"/>
  </r>
  <r>
    <s v="TXN-00550"/>
    <d v="2025-10-23T00:00:00"/>
    <x v="0"/>
    <s v="North-Central"/>
    <x v="4"/>
    <s v="Tomato Paste Carton"/>
    <n v="9"/>
    <n v="41880.000000000007"/>
    <n v="5"/>
    <n v="358074"/>
    <n v="376920.00000000006"/>
    <n v="18846.000000000004"/>
    <x v="0"/>
    <s v="Funmi Eze"/>
    <x v="0"/>
    <x v="6"/>
    <x v="1"/>
  </r>
  <r>
    <s v="TXN-00691"/>
    <d v="2025-09-26T00:00:00"/>
    <x v="4"/>
    <s v="North-West"/>
    <x v="4"/>
    <s v="Milo 500g"/>
    <n v="9"/>
    <n v="530"/>
    <n v="10"/>
    <n v="4293"/>
    <n v="4770"/>
    <n v="477"/>
    <x v="0"/>
    <s v="Mary Nnamdi"/>
    <x v="0"/>
    <x v="0"/>
    <x v="1"/>
  </r>
  <r>
    <s v="TXN-00397"/>
    <d v="2025-03-19T00:00:00"/>
    <x v="4"/>
    <s v="South-West"/>
    <x v="2"/>
    <s v="Curtain Set"/>
    <n v="9"/>
    <n v="550"/>
    <n v="10"/>
    <n v="4455"/>
    <n v="4950"/>
    <n v="495"/>
    <x v="2"/>
    <s v="Mary Nnamdi"/>
    <x v="0"/>
    <x v="9"/>
    <x v="1"/>
  </r>
  <r>
    <s v="TXN-01455"/>
    <d v="2025-04-15T00:00:00"/>
    <x v="2"/>
    <s v="South-East"/>
    <x v="3"/>
    <s v="Handbag"/>
    <n v="4"/>
    <n v="11710"/>
    <n v="0"/>
    <n v="46840"/>
    <n v="46840"/>
    <n v="0"/>
    <x v="3"/>
    <s v="Grace Okafor"/>
    <x v="0"/>
    <x v="4"/>
    <x v="1"/>
  </r>
  <r>
    <s v="TXN-00344"/>
    <d v="2025-02-15T00:00:00"/>
    <x v="4"/>
    <s v="South-West"/>
    <x v="4"/>
    <s v="Milo 500g"/>
    <n v="10"/>
    <n v="1360"/>
    <n v="0"/>
    <n v="13600"/>
    <n v="13600"/>
    <n v="0"/>
    <x v="3"/>
    <s v="Tunde Balogun"/>
    <x v="0"/>
    <x v="8"/>
    <x v="1"/>
  </r>
  <r>
    <s v="TXN-01077"/>
    <d v="2025-10-05T00:00:00"/>
    <x v="3"/>
    <s v="South-South"/>
    <x v="4"/>
    <s v="Tomato Paste Carton"/>
    <n v="5"/>
    <n v="480"/>
    <n v="10"/>
    <n v="2160"/>
    <n v="2400"/>
    <n v="240"/>
    <x v="0"/>
    <s v="Amaka Onwuka"/>
    <x v="0"/>
    <x v="6"/>
    <x v="0"/>
  </r>
  <r>
    <s v="TXN-01016"/>
    <d v="2025-04-12T00:00:00"/>
    <x v="2"/>
    <s v="South-East"/>
    <x v="3"/>
    <s v="Denim Jeans"/>
    <n v="10"/>
    <n v="64570"/>
    <n v="15"/>
    <n v="548845"/>
    <n v="645700"/>
    <n v="96855"/>
    <x v="3"/>
    <s v="Amaka Onwuka"/>
    <x v="0"/>
    <x v="4"/>
    <x v="0"/>
  </r>
  <r>
    <s v="TXN-00234"/>
    <d v="2025-07-25T00:00:00"/>
    <x v="3"/>
    <s v="South-South"/>
    <x v="1"/>
    <s v="Microwave Oven"/>
    <n v="12"/>
    <n v="1260"/>
    <n v="0"/>
    <n v="15120"/>
    <n v="15120"/>
    <n v="0"/>
    <x v="2"/>
    <s v="Mary Nnamdi"/>
    <x v="0"/>
    <x v="10"/>
    <x v="1"/>
  </r>
  <r>
    <s v="TXN-00531"/>
    <d v="2025-09-07T00:00:00"/>
    <x v="5"/>
    <s v="South-West"/>
    <x v="3"/>
    <s v="School Sandals"/>
    <n v="4"/>
    <n v="3450"/>
    <n v="0"/>
    <n v="13800"/>
    <n v="13800"/>
    <n v="0"/>
    <x v="2"/>
    <s v="Peter Adekunle"/>
    <x v="0"/>
    <x v="0"/>
    <x v="1"/>
  </r>
  <r>
    <s v="TXN-00221"/>
    <d v="2025-08-25T00:00:00"/>
    <x v="2"/>
    <s v="South-East"/>
    <x v="3"/>
    <s v="Kids Sneakers"/>
    <n v="6"/>
    <n v="2670"/>
    <n v="0"/>
    <n v="16020"/>
    <n v="16020"/>
    <n v="0"/>
    <x v="2"/>
    <s v="Segun Chukwu"/>
    <x v="0"/>
    <x v="2"/>
    <x v="1"/>
  </r>
  <r>
    <s v="TXN-00155"/>
    <d v="2025-09-12T00:00:00"/>
    <x v="3"/>
    <s v="South-South"/>
    <x v="2"/>
    <s v="Dinner Set"/>
    <n v="10"/>
    <n v="5390"/>
    <n v="0"/>
    <n v="53900"/>
    <n v="53900"/>
    <n v="0"/>
    <x v="3"/>
    <s v="Grace Okafor"/>
    <x v="0"/>
    <x v="0"/>
    <x v="0"/>
  </r>
  <r>
    <s v="TXN-00438"/>
    <d v="2025-10-24T00:00:00"/>
    <x v="1"/>
    <s v="South-West"/>
    <x v="4"/>
    <s v="Milo 500g"/>
    <n v="7"/>
    <n v="5530"/>
    <n v="0"/>
    <n v="38710"/>
    <n v="38710"/>
    <n v="0"/>
    <x v="0"/>
    <s v="Ifeoma Adeyemi"/>
    <x v="0"/>
    <x v="6"/>
    <x v="1"/>
  </r>
  <r>
    <s v="TXN-01008"/>
    <d v="2025-11-13T00:00:00"/>
    <x v="3"/>
    <s v="South-South"/>
    <x v="4"/>
    <s v="Semovita 2kg"/>
    <n v="1"/>
    <n v="520"/>
    <n v="15"/>
    <n v="442"/>
    <n v="520"/>
    <n v="78"/>
    <x v="0"/>
    <s v="Grace Okafor"/>
    <x v="0"/>
    <x v="3"/>
    <x v="1"/>
  </r>
  <r>
    <s v="TXN-00937"/>
    <d v="2025-09-15T00:00:00"/>
    <x v="0"/>
    <s v="North-Central"/>
    <x v="0"/>
    <s v="Toothpaste Pack"/>
    <n v="3"/>
    <n v="5180"/>
    <n v="0"/>
    <n v="15540"/>
    <n v="15540"/>
    <n v="0"/>
    <x v="0"/>
    <s v="Segun Chukwu"/>
    <x v="0"/>
    <x v="0"/>
    <x v="1"/>
  </r>
  <r>
    <s v="TXN-00613"/>
    <d v="2025-08-20T00:00:00"/>
    <x v="4"/>
    <s v="North-West"/>
    <x v="2"/>
    <s v="Cleaning Mop"/>
    <n v="6"/>
    <n v="12980"/>
    <n v="0"/>
    <n v="77880"/>
    <n v="77880"/>
    <n v="0"/>
    <x v="0"/>
    <s v="Obinna Yusuf"/>
    <x v="0"/>
    <x v="2"/>
    <x v="0"/>
  </r>
  <r>
    <s v="TXN-01173"/>
    <d v="2025-02-21T00:00:00"/>
    <x v="5"/>
    <s v="South-West"/>
    <x v="2"/>
    <s v="Curtain Set"/>
    <n v="12"/>
    <n v="1160"/>
    <n v="0"/>
    <n v="13920"/>
    <n v="13920"/>
    <n v="0"/>
    <x v="0"/>
    <s v="Ifeoma Adeyemi"/>
    <x v="0"/>
    <x v="8"/>
    <x v="1"/>
  </r>
  <r>
    <s v="TXN-00953"/>
    <d v="2025-11-30T00:00:00"/>
    <x v="6"/>
    <s v="South-South"/>
    <x v="4"/>
    <s v="Plastic Chair Set"/>
    <n v="6"/>
    <n v="4880"/>
    <n v="10"/>
    <n v="26352"/>
    <n v="29280"/>
    <n v="2928"/>
    <x v="2"/>
    <s v="Ifeoma Adeyemi"/>
    <x v="0"/>
    <x v="3"/>
    <x v="1"/>
  </r>
  <r>
    <s v="TXN-01246"/>
    <d v="2025-08-31T00:00:00"/>
    <x v="4"/>
    <s v="North-West"/>
    <x v="2"/>
    <s v="Plastic Chair Set"/>
    <n v="11"/>
    <n v="4520"/>
    <n v="0"/>
    <n v="49720"/>
    <n v="49720"/>
    <n v="0"/>
    <x v="3"/>
    <s v="Ade Abubakar"/>
    <x v="0"/>
    <x v="2"/>
    <x v="1"/>
  </r>
  <r>
    <s v="TXN-00392"/>
    <d v="2025-09-06T00:00:00"/>
    <x v="6"/>
    <s v="South-West"/>
    <x v="3"/>
    <s v="School Sandals"/>
    <n v="3"/>
    <n v="460"/>
    <n v="0"/>
    <n v="1380"/>
    <n v="1380"/>
    <n v="0"/>
    <x v="3"/>
    <s v="Tunde Balogun"/>
    <x v="0"/>
    <x v="0"/>
    <x v="1"/>
  </r>
  <r>
    <s v="TXN-00940"/>
    <d v="2025-08-08T00:00:00"/>
    <x v="5"/>
    <s v="South-West"/>
    <x v="2"/>
    <s v="Storage Basket"/>
    <n v="2"/>
    <n v="11230"/>
    <n v="0"/>
    <n v="22460"/>
    <n v="22460"/>
    <n v="0"/>
    <x v="2"/>
    <s v="Mary Nnamdi"/>
    <x v="0"/>
    <x v="2"/>
    <x v="1"/>
  </r>
  <r>
    <s v="TXN-00711"/>
    <d v="2025-07-26T00:00:00"/>
    <x v="3"/>
    <s v="South-South"/>
    <x v="0"/>
    <s v="Perfume 100ml"/>
    <n v="8"/>
    <n v="7020"/>
    <n v="5"/>
    <n v="53352"/>
    <n v="56160"/>
    <n v="2808"/>
    <x v="2"/>
    <s v="Amaka Onwuka"/>
    <x v="0"/>
    <x v="10"/>
    <x v="0"/>
  </r>
  <r>
    <s v="TXN-01337"/>
    <d v="2025-12-13T00:00:00"/>
    <x v="5"/>
    <s v="South-West"/>
    <x v="3"/>
    <s v="Men's Polo Shirt"/>
    <n v="6"/>
    <n v="24350"/>
    <n v="5"/>
    <n v="138795"/>
    <n v="146100"/>
    <n v="7305"/>
    <x v="0"/>
    <s v="Mary Nnamdi"/>
    <x v="0"/>
    <x v="11"/>
    <x v="0"/>
  </r>
  <r>
    <s v="TXN-00061"/>
    <d v="2025-12-26T00:00:00"/>
    <x v="1"/>
    <s v="South-West"/>
    <x v="2"/>
    <s v="Dinner Set"/>
    <n v="7"/>
    <n v="12320"/>
    <n v="0"/>
    <n v="86240"/>
    <n v="86240"/>
    <n v="0"/>
    <x v="3"/>
    <s v="Peter Adekunle"/>
    <x v="0"/>
    <x v="11"/>
    <x v="1"/>
  </r>
  <r>
    <s v="TXN-00093"/>
    <d v="2025-10-06T00:00:00"/>
    <x v="3"/>
    <s v="South-South"/>
    <x v="4"/>
    <s v="Indomie Carton"/>
    <n v="10"/>
    <n v="11410"/>
    <n v="0"/>
    <n v="114100"/>
    <n v="114100"/>
    <n v="0"/>
    <x v="0"/>
    <s v="Obinna Yusuf"/>
    <x v="0"/>
    <x v="6"/>
    <x v="1"/>
  </r>
  <r>
    <s v="TXN-01300"/>
    <d v="2025-07-03T00:00:00"/>
    <x v="4"/>
    <s v="North-West"/>
    <x v="3"/>
    <s v="Office Blazer"/>
    <n v="10"/>
    <n v="7140"/>
    <n v="0"/>
    <n v="71400"/>
    <n v="71400"/>
    <n v="0"/>
    <x v="3"/>
    <s v="Funmi Eze"/>
    <x v="0"/>
    <x v="10"/>
    <x v="0"/>
  </r>
  <r>
    <s v="TXN-01095"/>
    <d v="2025-05-05T00:00:00"/>
    <x v="1"/>
    <s v="South-West"/>
    <x v="4"/>
    <s v="Indomie Carton"/>
    <n v="6"/>
    <n v="50240"/>
    <n v="0"/>
    <n v="301440"/>
    <n v="301440"/>
    <n v="0"/>
    <x v="1"/>
    <s v="Grace Okafor"/>
    <x v="0"/>
    <x v="5"/>
    <x v="0"/>
  </r>
  <r>
    <s v="TXN-00434"/>
    <d v="2025-09-23T00:00:00"/>
    <x v="3"/>
    <s v="South-South"/>
    <x v="3"/>
    <s v="Ladies Ankara Gown"/>
    <n v="6"/>
    <n v="48950"/>
    <n v="0"/>
    <n v="293700"/>
    <n v="293700"/>
    <n v="0"/>
    <x v="0"/>
    <s v="Ade Abubakar"/>
    <x v="0"/>
    <x v="0"/>
    <x v="1"/>
  </r>
  <r>
    <s v="TXN-00068"/>
    <d v="2025-07-27T00:00:00"/>
    <x v="6"/>
    <s v="South-South"/>
    <x v="2"/>
    <s v="Dinner Set"/>
    <n v="5"/>
    <n v="68900"/>
    <n v="0"/>
    <n v="344500"/>
    <n v="344500"/>
    <n v="0"/>
    <x v="0"/>
    <s v="Peter Adekunle"/>
    <x v="0"/>
    <x v="10"/>
    <x v="1"/>
  </r>
  <r>
    <s v="TXN-00414"/>
    <d v="2025-10-11T00:00:00"/>
    <x v="1"/>
    <s v="South-West"/>
    <x v="0"/>
    <s v="Toothpaste Pack"/>
    <n v="6"/>
    <n v="1160"/>
    <n v="0"/>
    <n v="6960"/>
    <n v="6960"/>
    <n v="0"/>
    <x v="2"/>
    <s v="Tunde Balogun"/>
    <x v="0"/>
    <x v="6"/>
    <x v="1"/>
  </r>
  <r>
    <s v="TXN-00195"/>
    <d v="2025-02-28T00:00:00"/>
    <x v="1"/>
    <s v="South-West"/>
    <x v="4"/>
    <s v="Tomato Paste Carton"/>
    <n v="2"/>
    <n v="19430"/>
    <n v="10"/>
    <n v="34974"/>
    <n v="38860"/>
    <n v="3886"/>
    <x v="3"/>
    <s v="Segun Chukwu"/>
    <x v="0"/>
    <x v="8"/>
    <x v="0"/>
  </r>
  <r>
    <s v="TXN-00294"/>
    <d v="2025-06-17T00:00:00"/>
    <x v="4"/>
    <s v="North-West"/>
    <x v="0"/>
    <s v="Hair Relaxer Kit"/>
    <n v="9"/>
    <n v="13000"/>
    <n v="10"/>
    <n v="105300"/>
    <n v="117000"/>
    <n v="11700"/>
    <x v="3"/>
    <s v="Ngozi Ibrahim"/>
    <x v="0"/>
    <x v="1"/>
    <x v="1"/>
  </r>
  <r>
    <s v="TXN-00644"/>
    <d v="2025-08-10T00:00:00"/>
    <x v="0"/>
    <s v="North-Central"/>
    <x v="3"/>
    <s v="Handbag"/>
    <n v="11"/>
    <n v="62670"/>
    <n v="0"/>
    <n v="689370"/>
    <n v="689370"/>
    <n v="0"/>
    <x v="3"/>
    <s v="Ifeoma Adeyemi"/>
    <x v="0"/>
    <x v="2"/>
    <x v="0"/>
  </r>
  <r>
    <s v="TXN-00410"/>
    <d v="2025-12-29T00:00:00"/>
    <x v="4"/>
    <s v="North-West"/>
    <x v="2"/>
    <s v="Plastic Chair Set"/>
    <n v="2"/>
    <n v="63010"/>
    <n v="0"/>
    <n v="126020"/>
    <n v="126020"/>
    <n v="0"/>
    <x v="2"/>
    <s v="Funmi Eze"/>
    <x v="0"/>
    <x v="11"/>
    <x v="1"/>
  </r>
  <r>
    <s v="TXN-01114"/>
    <d v="2025-04-17T00:00:00"/>
    <x v="1"/>
    <s v="South-West"/>
    <x v="4"/>
    <s v="Storage Basket"/>
    <n v="7"/>
    <n v="13450"/>
    <n v="0"/>
    <n v="94150"/>
    <n v="94150"/>
    <n v="0"/>
    <x v="1"/>
    <s v="Kelechi Nwosu"/>
    <x v="0"/>
    <x v="4"/>
    <x v="1"/>
  </r>
  <r>
    <s v="TXN-01389"/>
    <d v="2025-03-14T00:00:00"/>
    <x v="5"/>
    <s v="South-West"/>
    <x v="0"/>
    <s v="Toothpaste Pack"/>
    <n v="4"/>
    <n v="66100"/>
    <n v="0"/>
    <n v="264400"/>
    <n v="264400"/>
    <n v="0"/>
    <x v="2"/>
    <s v="Peter Adekunle"/>
    <x v="0"/>
    <x v="9"/>
    <x v="0"/>
  </r>
  <r>
    <s v="TXN-00685"/>
    <d v="2025-11-18T00:00:00"/>
    <x v="5"/>
    <s v="South-West"/>
    <x v="4"/>
    <s v="Tomato Paste Carton"/>
    <n v="6"/>
    <n v="25500"/>
    <n v="5"/>
    <n v="145350"/>
    <n v="153000"/>
    <n v="7650"/>
    <x v="2"/>
    <s v="Amaka Onwuka"/>
    <x v="0"/>
    <x v="3"/>
    <x v="0"/>
  </r>
  <r>
    <s v="TXN-00820"/>
    <d v="2025-03-09T00:00:00"/>
    <x v="6"/>
    <s v="South-South"/>
    <x v="1"/>
    <s v="Bluetooth Speaker"/>
    <n v="12"/>
    <n v="7050"/>
    <n v="5"/>
    <n v="80370"/>
    <n v="84600"/>
    <n v="4230"/>
    <x v="2"/>
    <s v="Ade Abubakar"/>
    <x v="0"/>
    <x v="9"/>
    <x v="0"/>
  </r>
  <r>
    <s v="TXN-00732"/>
    <d v="2025-05-15T00:00:00"/>
    <x v="3"/>
    <s v="South-South"/>
    <x v="3"/>
    <s v="Office Blazer"/>
    <n v="12"/>
    <n v="530"/>
    <n v="10"/>
    <n v="5724"/>
    <n v="6360"/>
    <n v="636"/>
    <x v="0"/>
    <s v="Uche Okoro"/>
    <x v="0"/>
    <x v="5"/>
    <x v="0"/>
  </r>
  <r>
    <s v="TXN-00360"/>
    <d v="2025-10-30T00:00:00"/>
    <x v="1"/>
    <s v="South-West"/>
    <x v="3"/>
    <s v="Wristwatch"/>
    <n v="5"/>
    <n v="16450"/>
    <n v="0"/>
    <n v="82250"/>
    <n v="82250"/>
    <n v="0"/>
    <x v="1"/>
    <s v="Tunde Balogun"/>
    <x v="0"/>
    <x v="6"/>
    <x v="0"/>
  </r>
  <r>
    <s v="TXN-00558"/>
    <d v="2025-09-26T00:00:00"/>
    <x v="5"/>
    <s v="South-West"/>
    <x v="3"/>
    <s v="Ladies Ankara Gown"/>
    <n v="5"/>
    <n v="26750"/>
    <n v="5"/>
    <n v="127062.5"/>
    <n v="133750"/>
    <n v="6687.5"/>
    <x v="2"/>
    <s v="Ifeoma Adeyemi"/>
    <x v="0"/>
    <x v="0"/>
    <x v="0"/>
  </r>
  <r>
    <s v="TXN-00968"/>
    <d v="2025-10-20T00:00:00"/>
    <x v="2"/>
    <s v="South-East"/>
    <x v="2"/>
    <s v="Laundry Basket"/>
    <n v="2"/>
    <n v="8130"/>
    <n v="0"/>
    <n v="16260"/>
    <n v="16260"/>
    <n v="0"/>
    <x v="1"/>
    <s v="Segun Chukwu"/>
    <x v="0"/>
    <x v="6"/>
    <x v="0"/>
  </r>
  <r>
    <s v="TXN-00632"/>
    <d v="2025-08-04T00:00:00"/>
    <x v="1"/>
    <s v="South-West"/>
    <x v="1"/>
    <s v="Home Theatre System"/>
    <n v="1"/>
    <n v="44540"/>
    <n v="0"/>
    <n v="44540"/>
    <n v="44540"/>
    <n v="0"/>
    <x v="3"/>
    <s v="Kelechi Nwosu"/>
    <x v="0"/>
    <x v="2"/>
    <x v="0"/>
  </r>
  <r>
    <s v="TXN-01452"/>
    <d v="2025-03-04T00:00:00"/>
    <x v="2"/>
    <s v="South-East"/>
    <x v="0"/>
    <s v="Perfume 100ml"/>
    <n v="4"/>
    <n v="62280"/>
    <n v="0"/>
    <n v="249120"/>
    <n v="249120"/>
    <n v="0"/>
    <x v="2"/>
    <s v="Grace Okafor"/>
    <x v="0"/>
    <x v="9"/>
    <x v="0"/>
  </r>
  <r>
    <s v="TXN-01320"/>
    <d v="2025-08-30T00:00:00"/>
    <x v="5"/>
    <s v="South-West"/>
    <x v="0"/>
    <s v="Hair Relaxer Kit"/>
    <n v="1"/>
    <n v="16900"/>
    <n v="10"/>
    <n v="15210"/>
    <n v="16900"/>
    <n v="1690"/>
    <x v="1"/>
    <s v="Ade Abubakar"/>
    <x v="0"/>
    <x v="2"/>
    <x v="0"/>
  </r>
  <r>
    <s v="TXN-01009"/>
    <d v="2025-03-05T00:00:00"/>
    <x v="6"/>
    <s v="South-South"/>
    <x v="3"/>
    <s v="School Sandals"/>
    <n v="5"/>
    <n v="510"/>
    <n v="0"/>
    <n v="2550"/>
    <n v="2550"/>
    <n v="0"/>
    <x v="1"/>
    <s v="Chinwe Etim"/>
    <x v="0"/>
    <x v="9"/>
    <x v="0"/>
  </r>
  <r>
    <s v="TXN-00770"/>
    <d v="2025-05-31T00:00:00"/>
    <x v="4"/>
    <s v="North-West"/>
    <x v="0"/>
    <s v="Shea Butter Cream"/>
    <n v="3"/>
    <n v="66900"/>
    <n v="0"/>
    <n v="200700"/>
    <n v="200700"/>
    <n v="0"/>
    <x v="2"/>
    <s v="Grace Okafor"/>
    <x v="0"/>
    <x v="5"/>
    <x v="0"/>
  </r>
  <r>
    <s v="TXN-00871"/>
    <d v="2025-12-22T00:00:00"/>
    <x v="3"/>
    <s v="South-South"/>
    <x v="2"/>
    <s v="Plastic Chair Set"/>
    <n v="2"/>
    <n v="10100"/>
    <n v="0"/>
    <n v="20200"/>
    <n v="20200"/>
    <n v="0"/>
    <x v="3"/>
    <s v="Uche Okoro"/>
    <x v="0"/>
    <x v="11"/>
    <x v="1"/>
  </r>
  <r>
    <s v="TXN-00363"/>
    <d v="2025-04-14T00:00:00"/>
    <x v="5"/>
    <s v="South-West"/>
    <x v="2"/>
    <s v="Laundry Basket"/>
    <n v="6"/>
    <n v="2630"/>
    <n v="0"/>
    <n v="15780"/>
    <n v="15780"/>
    <n v="0"/>
    <x v="3"/>
    <s v="Chidera Bello"/>
    <x v="0"/>
    <x v="4"/>
    <x v="1"/>
  </r>
  <r>
    <s v="TXN-00277"/>
    <d v="2025-05-04T00:00:00"/>
    <x v="6"/>
    <s v="South-South"/>
    <x v="4"/>
    <s v="Spaghetti Pack"/>
    <n v="12"/>
    <n v="18600"/>
    <n v="0"/>
    <n v="223200"/>
    <n v="223200"/>
    <n v="0"/>
    <x v="1"/>
    <s v="Amaka Onwuka"/>
    <x v="0"/>
    <x v="5"/>
    <x v="0"/>
  </r>
  <r>
    <s v="TXN-00782"/>
    <d v="2025-08-21T00:00:00"/>
    <x v="6"/>
    <s v="South-West"/>
    <x v="0"/>
    <s v="Body Lotion 400ml"/>
    <n v="5"/>
    <n v="3860"/>
    <n v="0"/>
    <n v="19300"/>
    <n v="19300"/>
    <n v="0"/>
    <x v="0"/>
    <s v="Ifeoma Adeyemi"/>
    <x v="0"/>
    <x v="2"/>
    <x v="0"/>
  </r>
  <r>
    <s v="TXN-00600"/>
    <d v="2025-05-27T00:00:00"/>
    <x v="3"/>
    <s v="South-South"/>
    <x v="4"/>
    <s v="Milo 500g"/>
    <n v="9"/>
    <n v="520"/>
    <n v="0"/>
    <n v="4680"/>
    <n v="4680"/>
    <n v="0"/>
    <x v="2"/>
    <s v="Tunde Balogun"/>
    <x v="0"/>
    <x v="5"/>
    <x v="1"/>
  </r>
  <r>
    <s v="TXN-00104"/>
    <d v="2025-11-30T00:00:00"/>
    <x v="4"/>
    <s v="North-West"/>
    <x v="3"/>
    <s v="Denim Jeans"/>
    <n v="1"/>
    <n v="7290"/>
    <n v="0"/>
    <n v="7290"/>
    <n v="7290"/>
    <n v="0"/>
    <x v="2"/>
    <s v="Mary Nnamdi"/>
    <x v="0"/>
    <x v="3"/>
    <x v="1"/>
  </r>
  <r>
    <s v="TXN-01363"/>
    <d v="2025-03-03T00:00:00"/>
    <x v="3"/>
    <s v="South-South"/>
    <x v="2"/>
    <s v="Laundry Basket"/>
    <n v="10"/>
    <n v="11080"/>
    <n v="0"/>
    <n v="110800"/>
    <n v="110800"/>
    <n v="0"/>
    <x v="0"/>
    <s v="Segun Chukwu"/>
    <x v="0"/>
    <x v="9"/>
    <x v="1"/>
  </r>
  <r>
    <s v="TXN-00919"/>
    <d v="2025-12-11T00:00:00"/>
    <x v="2"/>
    <s v="South-East"/>
    <x v="1"/>
    <s v="Power Bank 20000mAh"/>
    <n v="2"/>
    <n v="480"/>
    <n v="0"/>
    <n v="960"/>
    <n v="960"/>
    <n v="0"/>
    <x v="0"/>
    <s v="Kelechi Nwosu"/>
    <x v="0"/>
    <x v="11"/>
    <x v="1"/>
  </r>
  <r>
    <s v="TXN-00199"/>
    <d v="2025-12-17T00:00:00"/>
    <x v="3"/>
    <s v="South-South"/>
    <x v="3"/>
    <s v="Wristwatch"/>
    <n v="6"/>
    <n v="2630"/>
    <n v="0"/>
    <n v="15780"/>
    <n v="15780"/>
    <n v="0"/>
    <x v="2"/>
    <s v="Mary Nnamdi"/>
    <x v="0"/>
    <x v="11"/>
    <x v="1"/>
  </r>
  <r>
    <s v="TXN-01216"/>
    <d v="2025-12-06T00:00:00"/>
    <x v="6"/>
    <s v="South-South"/>
    <x v="2"/>
    <s v="Plastic Chair Set"/>
    <n v="2"/>
    <n v="5110"/>
    <n v="0"/>
    <n v="10220"/>
    <n v="10220"/>
    <n v="0"/>
    <x v="1"/>
    <s v="Grace Okafor"/>
    <x v="0"/>
    <x v="11"/>
    <x v="0"/>
  </r>
  <r>
    <s v="TXN-00018"/>
    <d v="2025-05-17T00:00:00"/>
    <x v="5"/>
    <s v="South-West"/>
    <x v="3"/>
    <s v="Men's Polo Shirt"/>
    <n v="12"/>
    <n v="9910"/>
    <n v="5"/>
    <n v="112974"/>
    <n v="118920"/>
    <n v="5946"/>
    <x v="0"/>
    <s v="Ade Abubakar"/>
    <x v="0"/>
    <x v="5"/>
    <x v="1"/>
  </r>
  <r>
    <s v="TXN-00829"/>
    <d v="2025-12-20T00:00:00"/>
    <x v="4"/>
    <s v="North-Central"/>
    <x v="0"/>
    <s v="Bathing Soap Pack"/>
    <n v="12"/>
    <n v="9430"/>
    <n v="10"/>
    <n v="101844"/>
    <n v="113160"/>
    <n v="11316"/>
    <x v="2"/>
    <s v="Ifeoma Adeyemi"/>
    <x v="0"/>
    <x v="11"/>
    <x v="0"/>
  </r>
  <r>
    <s v="TXN-00721"/>
    <d v="2025-03-15T00:00:00"/>
    <x v="3"/>
    <s v="South-South"/>
    <x v="3"/>
    <s v="Men's Polo Shirt"/>
    <n v="6"/>
    <n v="73660"/>
    <n v="0"/>
    <n v="441960"/>
    <n v="441960"/>
    <n v="0"/>
    <x v="2"/>
    <s v="Peter Adekunle"/>
    <x v="0"/>
    <x v="9"/>
    <x v="0"/>
  </r>
  <r>
    <s v="TXN-00039"/>
    <d v="2025-12-26T00:00:00"/>
    <x v="5"/>
    <s v="South-West"/>
    <x v="1"/>
    <s v="Electric Kettle"/>
    <n v="5"/>
    <n v="4540"/>
    <n v="10"/>
    <n v="20430"/>
    <n v="22700"/>
    <n v="2270"/>
    <x v="3"/>
    <s v="Tunde Balogun"/>
    <x v="0"/>
    <x v="11"/>
    <x v="1"/>
  </r>
  <r>
    <s v="TXN-00932"/>
    <d v="2025-09-17T00:00:00"/>
    <x v="5"/>
    <s v="South-West"/>
    <x v="4"/>
    <s v="Vegetable Oil 5L"/>
    <n v="4"/>
    <n v="18510"/>
    <n v="0"/>
    <n v="74040"/>
    <n v="74040"/>
    <n v="0"/>
    <x v="2"/>
    <s v="Tunde Balogun"/>
    <x v="0"/>
    <x v="0"/>
    <x v="1"/>
  </r>
  <r>
    <s v="TXN-00922"/>
    <d v="2025-07-29T00:00:00"/>
    <x v="4"/>
    <s v="South-West"/>
    <x v="1"/>
    <s v="Bluetooth Speaker"/>
    <n v="9"/>
    <n v="11050"/>
    <n v="0"/>
    <n v="99450"/>
    <n v="99450"/>
    <n v="0"/>
    <x v="3"/>
    <s v="Amaka Onwuka"/>
    <x v="0"/>
    <x v="10"/>
    <x v="0"/>
  </r>
  <r>
    <s v="TXN-00917"/>
    <d v="2025-01-14T00:00:00"/>
    <x v="0"/>
    <s v="North-Central"/>
    <x v="4"/>
    <s v="Sugar 1kg"/>
    <n v="12"/>
    <n v="5680"/>
    <n v="0"/>
    <n v="68160"/>
    <n v="68160"/>
    <n v="0"/>
    <x v="2"/>
    <s v="Segun Chukwu"/>
    <x v="0"/>
    <x v="7"/>
    <x v="0"/>
  </r>
  <r>
    <s v="TXN-01007"/>
    <d v="2025-09-07T00:00:00"/>
    <x v="4"/>
    <s v="North-West"/>
    <x v="3"/>
    <s v="Kids Sneakers"/>
    <n v="4"/>
    <n v="3470"/>
    <n v="0"/>
    <n v="13880"/>
    <n v="13880"/>
    <n v="0"/>
    <x v="0"/>
    <s v="Kelechi Nwosu"/>
    <x v="0"/>
    <x v="0"/>
    <x v="1"/>
  </r>
  <r>
    <s v="TXN-01018"/>
    <d v="2025-07-15T00:00:00"/>
    <x v="3"/>
    <s v="South-South"/>
    <x v="4"/>
    <s v="Hair Relaxer Kit"/>
    <n v="3"/>
    <n v="1310"/>
    <n v="5"/>
    <n v="3733.5"/>
    <n v="3930"/>
    <n v="196.5"/>
    <x v="0"/>
    <s v="Obinna Yusuf"/>
    <x v="0"/>
    <x v="10"/>
    <x v="1"/>
  </r>
  <r>
    <s v="TXN-00225"/>
    <d v="2025-12-01T00:00:00"/>
    <x v="3"/>
    <s v="South-South"/>
    <x v="0"/>
    <s v="Baby Diaper Pack"/>
    <n v="3"/>
    <n v="25900"/>
    <n v="0"/>
    <n v="77700"/>
    <n v="77700"/>
    <n v="0"/>
    <x v="1"/>
    <s v="Segun Chukwu"/>
    <x v="0"/>
    <x v="11"/>
    <x v="1"/>
  </r>
  <r>
    <s v="TXN-01189"/>
    <d v="2025-07-12T00:00:00"/>
    <x v="3"/>
    <s v="South-South"/>
    <x v="2"/>
    <s v="Cleaning Mop"/>
    <n v="1"/>
    <n v="4770"/>
    <n v="0"/>
    <n v="4770"/>
    <n v="4770"/>
    <n v="0"/>
    <x v="0"/>
    <s v="Tunde Balogun"/>
    <x v="0"/>
    <x v="10"/>
    <x v="1"/>
  </r>
  <r>
    <s v="TXN-00320"/>
    <d v="2025-09-13T00:00:00"/>
    <x v="5"/>
    <s v="South-West"/>
    <x v="1"/>
    <s v="Power Bank 20000mAh"/>
    <n v="11"/>
    <n v="1320"/>
    <n v="10"/>
    <n v="13068"/>
    <n v="14520"/>
    <n v="1452"/>
    <x v="2"/>
    <s v="Tunde Balogun"/>
    <x v="0"/>
    <x v="0"/>
    <x v="1"/>
  </r>
  <r>
    <s v="TXN-01278"/>
    <d v="2025-11-25T00:00:00"/>
    <x v="2"/>
    <s v="South-East"/>
    <x v="1"/>
    <s v="Rice Cooker"/>
    <n v="12"/>
    <n v="7800"/>
    <n v="10"/>
    <n v="84240"/>
    <n v="93600"/>
    <n v="9360"/>
    <x v="1"/>
    <s v="Peter Adekunle"/>
    <x v="0"/>
    <x v="3"/>
    <x v="0"/>
  </r>
  <r>
    <s v="TXN-00037"/>
    <d v="2025-02-28T00:00:00"/>
    <x v="0"/>
    <s v="North-Central"/>
    <x v="3"/>
    <s v="Wristwatch"/>
    <n v="5"/>
    <n v="2850"/>
    <n v="0"/>
    <n v="14250"/>
    <n v="14250"/>
    <n v="0"/>
    <x v="3"/>
    <s v="Tunde Balogun"/>
    <x v="0"/>
    <x v="8"/>
    <x v="1"/>
  </r>
  <r>
    <s v="TXN-00445"/>
    <d v="2025-04-12T00:00:00"/>
    <x v="6"/>
    <s v="South-South"/>
    <x v="4"/>
    <s v="Tomato Paste Carton"/>
    <n v="8"/>
    <n v="27080"/>
    <n v="0"/>
    <n v="216640"/>
    <n v="216640"/>
    <n v="0"/>
    <x v="3"/>
    <s v="Ngozi Ibrahim"/>
    <x v="0"/>
    <x v="4"/>
    <x v="0"/>
  </r>
  <r>
    <s v="TXN-00391"/>
    <d v="2025-12-23T00:00:00"/>
    <x v="2"/>
    <s v="South-East"/>
    <x v="3"/>
    <s v="Kids Sneakers"/>
    <n v="2"/>
    <n v="2260"/>
    <n v="0"/>
    <n v="4520"/>
    <n v="4520"/>
    <n v="0"/>
    <x v="2"/>
    <s v="Chinwe Etim"/>
    <x v="0"/>
    <x v="11"/>
    <x v="0"/>
  </r>
  <r>
    <s v="TXN-01224"/>
    <d v="2025-08-10T00:00:00"/>
    <x v="5"/>
    <s v="South-West"/>
    <x v="0"/>
    <s v="Bathing Soap Pack"/>
    <n v="9"/>
    <n v="510"/>
    <n v="0"/>
    <n v="4590"/>
    <n v="4590"/>
    <n v="0"/>
    <x v="0"/>
    <s v="Grace Okafor"/>
    <x v="0"/>
    <x v="2"/>
    <x v="1"/>
  </r>
  <r>
    <s v="TXN-00867"/>
    <d v="2025-10-17T00:00:00"/>
    <x v="3"/>
    <s v="South-South"/>
    <x v="1"/>
    <s v="Home Theatre System"/>
    <n v="9"/>
    <n v="27640"/>
    <n v="15"/>
    <n v="211446"/>
    <n v="248760"/>
    <n v="37314"/>
    <x v="2"/>
    <s v="Tunde Balogun"/>
    <x v="0"/>
    <x v="6"/>
    <x v="0"/>
  </r>
  <r>
    <s v="TXN-00354"/>
    <d v="2025-10-13T00:00:00"/>
    <x v="6"/>
    <s v="South-South"/>
    <x v="2"/>
    <s v="Non-stick Frying Pan"/>
    <n v="6"/>
    <n v="16810"/>
    <n v="10"/>
    <n v="90774"/>
    <n v="100860"/>
    <n v="10086"/>
    <x v="0"/>
    <s v="Tunde Balogun"/>
    <x v="0"/>
    <x v="6"/>
    <x v="0"/>
  </r>
  <r>
    <s v="TXN-00268"/>
    <d v="2025-04-24T00:00:00"/>
    <x v="1"/>
    <s v="South-West"/>
    <x v="4"/>
    <s v="Spaghetti Pack"/>
    <n v="10"/>
    <n v="13060"/>
    <n v="0"/>
    <n v="130600"/>
    <n v="130600"/>
    <n v="0"/>
    <x v="1"/>
    <s v="Ifeoma Adeyemi"/>
    <x v="0"/>
    <x v="4"/>
    <x v="1"/>
  </r>
  <r>
    <s v="TXN-00564"/>
    <d v="2025-08-05T00:00:00"/>
    <x v="3"/>
    <s v="South-South"/>
    <x v="2"/>
    <s v="Cleaning Mop"/>
    <n v="11"/>
    <n v="7220"/>
    <n v="0"/>
    <n v="79420"/>
    <n v="79420"/>
    <n v="0"/>
    <x v="1"/>
    <s v="Ifeoma Adeyemi"/>
    <x v="0"/>
    <x v="2"/>
    <x v="1"/>
  </r>
  <r>
    <s v="TXN-00779"/>
    <d v="2025-09-05T00:00:00"/>
    <x v="2"/>
    <s v="South-West"/>
    <x v="0"/>
    <s v="Hair Relaxer Kit"/>
    <n v="6"/>
    <n v="1290"/>
    <n v="0"/>
    <n v="7740"/>
    <n v="7740"/>
    <n v="0"/>
    <x v="3"/>
    <s v="Tunde Balogun"/>
    <x v="0"/>
    <x v="0"/>
    <x v="1"/>
  </r>
  <r>
    <s v="TXN-00157"/>
    <d v="2025-07-25T00:00:00"/>
    <x v="3"/>
    <s v="South-South"/>
    <x v="0"/>
    <s v="Deodorant Roll-on"/>
    <n v="9"/>
    <n v="2390"/>
    <n v="0"/>
    <n v="21510"/>
    <n v="21510"/>
    <n v="0"/>
    <x v="1"/>
    <s v="Chinwe Etim"/>
    <x v="0"/>
    <x v="10"/>
    <x v="0"/>
  </r>
  <r>
    <s v="TXN-01439"/>
    <d v="2025-02-04T00:00:00"/>
    <x v="4"/>
    <s v="North-West"/>
    <x v="0"/>
    <s v="Toothpaste Pack"/>
    <n v="12"/>
    <n v="4560"/>
    <n v="10"/>
    <n v="49248"/>
    <n v="54720"/>
    <n v="5472"/>
    <x v="3"/>
    <s v="Tunde Balogun"/>
    <x v="0"/>
    <x v="8"/>
    <x v="1"/>
  </r>
  <r>
    <s v="TXN-01057"/>
    <d v="2025-09-02T00:00:00"/>
    <x v="1"/>
    <s v="South-West"/>
    <x v="4"/>
    <s v="Spaghetti Pack"/>
    <n v="2"/>
    <n v="2780"/>
    <n v="0"/>
    <n v="5560"/>
    <n v="5560"/>
    <n v="0"/>
    <x v="1"/>
    <s v="Chinwe Etim"/>
    <x v="0"/>
    <x v="0"/>
    <x v="0"/>
  </r>
  <r>
    <s v="TXN-01091"/>
    <d v="2025-02-11T00:00:00"/>
    <x v="1"/>
    <s v="South-West"/>
    <x v="3"/>
    <s v="Ladies Ankara Gown"/>
    <n v="4"/>
    <n v="5160"/>
    <n v="0"/>
    <n v="20640"/>
    <n v="20640"/>
    <n v="0"/>
    <x v="1"/>
    <s v="Segun Chukwu"/>
    <x v="0"/>
    <x v="8"/>
    <x v="0"/>
  </r>
  <r>
    <s v="TXN-01472"/>
    <d v="2025-06-19T00:00:00"/>
    <x v="5"/>
    <s v="South-West"/>
    <x v="3"/>
    <s v="Wristwatch"/>
    <n v="7"/>
    <n v="19620"/>
    <n v="0"/>
    <n v="137340"/>
    <n v="137340"/>
    <n v="0"/>
    <x v="1"/>
    <s v="Ifeoma Adeyemi"/>
    <x v="0"/>
    <x v="1"/>
    <x v="1"/>
  </r>
  <r>
    <s v="TXN-01071"/>
    <d v="2025-02-27T00:00:00"/>
    <x v="6"/>
    <s v="South-South"/>
    <x v="0"/>
    <s v="Baby Diaper Pack"/>
    <n v="4"/>
    <n v="1370"/>
    <n v="10"/>
    <n v="4932"/>
    <n v="5480"/>
    <n v="548"/>
    <x v="1"/>
    <s v="Obinna Yusuf"/>
    <x v="0"/>
    <x v="8"/>
    <x v="1"/>
  </r>
  <r>
    <s v="TXN-00461"/>
    <d v="2025-01-07T00:00:00"/>
    <x v="2"/>
    <s v="South-East"/>
    <x v="4"/>
    <s v="Milo 500g"/>
    <n v="4"/>
    <n v="42160"/>
    <n v="0"/>
    <n v="168640"/>
    <n v="168640"/>
    <n v="0"/>
    <x v="0"/>
    <s v="Peter Adekunle"/>
    <x v="0"/>
    <x v="7"/>
    <x v="1"/>
  </r>
  <r>
    <s v="TXN-00599"/>
    <d v="2025-03-19T00:00:00"/>
    <x v="2"/>
    <s v="South-East"/>
    <x v="3"/>
    <s v="Handbag"/>
    <n v="3"/>
    <n v="60690"/>
    <n v="0"/>
    <n v="182070"/>
    <n v="182070"/>
    <n v="0"/>
    <x v="0"/>
    <s v="Grace Okafor"/>
    <x v="0"/>
    <x v="9"/>
    <x v="1"/>
  </r>
  <r>
    <s v="TXN-00223"/>
    <d v="2025-09-15T00:00:00"/>
    <x v="4"/>
    <s v="North-West"/>
    <x v="4"/>
    <s v="Milo 500g"/>
    <n v="7"/>
    <n v="18500"/>
    <n v="15"/>
    <n v="110075"/>
    <n v="129500"/>
    <n v="19425"/>
    <x v="3"/>
    <s v="Ade Abubakar"/>
    <x v="0"/>
    <x v="0"/>
    <x v="1"/>
  </r>
  <r>
    <s v="TXN-00513"/>
    <d v="2025-07-16T00:00:00"/>
    <x v="6"/>
    <s v="South-South"/>
    <x v="4"/>
    <s v="Tomato Paste Carton"/>
    <n v="9"/>
    <n v="18600"/>
    <n v="5"/>
    <n v="159030"/>
    <n v="167400"/>
    <n v="8370"/>
    <x v="3"/>
    <s v="Obinna Yusuf"/>
    <x v="0"/>
    <x v="10"/>
    <x v="1"/>
  </r>
  <r>
    <s v="TXN-00807"/>
    <d v="2025-05-17T00:00:00"/>
    <x v="3"/>
    <s v="South-South"/>
    <x v="1"/>
    <s v="LED TV 43&quot;"/>
    <n v="8"/>
    <n v="2810"/>
    <n v="0"/>
    <n v="22480"/>
    <n v="22480"/>
    <n v="0"/>
    <x v="1"/>
    <s v="Segun Chukwu"/>
    <x v="0"/>
    <x v="5"/>
    <x v="0"/>
  </r>
  <r>
    <s v="TXN-00240"/>
    <d v="2025-04-09T00:00:00"/>
    <x v="3"/>
    <s v="South-South"/>
    <x v="1"/>
    <s v="Bluetooth Speaker"/>
    <n v="9"/>
    <n v="22540"/>
    <n v="0"/>
    <n v="202860"/>
    <n v="202860"/>
    <n v="0"/>
    <x v="1"/>
    <s v="Funmi Eze"/>
    <x v="0"/>
    <x v="4"/>
    <x v="1"/>
  </r>
  <r>
    <s v="TXN-00854"/>
    <d v="2025-08-25T00:00:00"/>
    <x v="0"/>
    <s v="North-Central"/>
    <x v="0"/>
    <s v="Body Lotion 400ml"/>
    <n v="5"/>
    <n v="5700"/>
    <n v="0"/>
    <n v="28500"/>
    <n v="28500"/>
    <n v="0"/>
    <x v="3"/>
    <s v="Ngozi Ibrahim"/>
    <x v="0"/>
    <x v="2"/>
    <x v="0"/>
  </r>
  <r>
    <s v="TXN-00591"/>
    <d v="2025-09-01T00:00:00"/>
    <x v="1"/>
    <s v="South-West"/>
    <x v="2"/>
    <s v="Plastic Chair Set"/>
    <n v="5"/>
    <n v="570"/>
    <n v="10"/>
    <n v="2565"/>
    <n v="2850"/>
    <n v="285"/>
    <x v="2"/>
    <s v="Chidera Bello"/>
    <x v="0"/>
    <x v="0"/>
    <x v="0"/>
  </r>
  <r>
    <s v="TXN-00762"/>
    <d v="2025-08-28T00:00:00"/>
    <x v="0"/>
    <s v="North-Central"/>
    <x v="2"/>
    <s v="Bedsheet Set"/>
    <n v="7"/>
    <n v="8490"/>
    <n v="15"/>
    <n v="50515.5"/>
    <n v="59430"/>
    <n v="8914.5"/>
    <x v="0"/>
    <s v="Amaka Onwuka"/>
    <x v="0"/>
    <x v="2"/>
    <x v="1"/>
  </r>
  <r>
    <s v="TXN-00140"/>
    <d v="2025-07-29T00:00:00"/>
    <x v="6"/>
    <s v="South-South"/>
    <x v="2"/>
    <s v="Plastic Chair Set"/>
    <n v="9"/>
    <n v="3860"/>
    <n v="0"/>
    <n v="34740"/>
    <n v="34740"/>
    <n v="0"/>
    <x v="0"/>
    <s v="Tunde Balogun"/>
    <x v="0"/>
    <x v="10"/>
    <x v="0"/>
  </r>
  <r>
    <s v="TXN-00915"/>
    <d v="2025-10-03T00:00:00"/>
    <x v="6"/>
    <s v="South-South"/>
    <x v="0"/>
    <s v="Body Lotion 400ml"/>
    <n v="10"/>
    <n v="8360"/>
    <n v="15"/>
    <n v="71060"/>
    <n v="83600"/>
    <n v="12540"/>
    <x v="3"/>
    <s v="Funmi Eze"/>
    <x v="0"/>
    <x v="6"/>
    <x v="0"/>
  </r>
  <r>
    <s v="TXN-01044"/>
    <d v="2025-05-23T00:00:00"/>
    <x v="4"/>
    <s v="North-West"/>
    <x v="0"/>
    <s v="Deodorant Roll-on"/>
    <n v="1"/>
    <n v="3940"/>
    <n v="0"/>
    <n v="3940"/>
    <n v="3940"/>
    <n v="0"/>
    <x v="3"/>
    <s v="Mary Nnamdi"/>
    <x v="0"/>
    <x v="5"/>
    <x v="1"/>
  </r>
  <r>
    <s v="TXN-01026"/>
    <d v="2025-04-21T00:00:00"/>
    <x v="4"/>
    <s v="North-West"/>
    <x v="0"/>
    <s v="Body Lotion 400ml"/>
    <n v="9"/>
    <n v="8180"/>
    <n v="0"/>
    <n v="73620"/>
    <n v="73620"/>
    <n v="0"/>
    <x v="3"/>
    <s v="Mary Nnamdi"/>
    <x v="0"/>
    <x v="4"/>
    <x v="1"/>
  </r>
  <r>
    <s v="TXN-00604"/>
    <d v="2025-10-28T00:00:00"/>
    <x v="1"/>
    <s v="South-West"/>
    <x v="2"/>
    <s v="Cleaning Mop"/>
    <n v="4"/>
    <n v="47560"/>
    <n v="0"/>
    <n v="190240"/>
    <n v="190240"/>
    <n v="0"/>
    <x v="1"/>
    <s v="Segun Chukwu"/>
    <x v="0"/>
    <x v="6"/>
    <x v="0"/>
  </r>
  <r>
    <s v="TXN-01158"/>
    <d v="2025-09-04T00:00:00"/>
    <x v="5"/>
    <s v="South-West"/>
    <x v="3"/>
    <s v="Denim Jeans"/>
    <n v="11"/>
    <n v="61360"/>
    <n v="0"/>
    <n v="674960"/>
    <n v="674960"/>
    <n v="0"/>
    <x v="1"/>
    <s v="Ade Abubakar"/>
    <x v="0"/>
    <x v="0"/>
    <x v="0"/>
  </r>
  <r>
    <s v="TXN-00472"/>
    <d v="2025-07-18T00:00:00"/>
    <x v="0"/>
    <s v="North-Central"/>
    <x v="4"/>
    <s v="Semovita 2kg"/>
    <n v="9"/>
    <n v="4580"/>
    <n v="5"/>
    <n v="39159"/>
    <n v="41220"/>
    <n v="2061"/>
    <x v="2"/>
    <s v="Obinna Yusuf"/>
    <x v="0"/>
    <x v="10"/>
    <x v="0"/>
  </r>
  <r>
    <s v="TXN-01037"/>
    <d v="2025-08-25T00:00:00"/>
    <x v="6"/>
    <s v="South-South"/>
    <x v="1"/>
    <s v="Rice Cooker"/>
    <n v="2"/>
    <n v="1120"/>
    <n v="5"/>
    <n v="2128"/>
    <n v="2240"/>
    <n v="112"/>
    <x v="0"/>
    <s v="Uche Okoro"/>
    <x v="0"/>
    <x v="2"/>
    <x v="1"/>
  </r>
  <r>
    <s v="TXN-00870"/>
    <d v="2025-09-24T00:00:00"/>
    <x v="6"/>
    <s v="South-South"/>
    <x v="3"/>
    <s v="Men's Polo Shirt"/>
    <n v="5"/>
    <n v="2720"/>
    <n v="5"/>
    <n v="12920"/>
    <n v="13600"/>
    <n v="680"/>
    <x v="1"/>
    <s v="Funmi Eze"/>
    <x v="0"/>
    <x v="0"/>
    <x v="1"/>
  </r>
  <r>
    <s v="TXN-00129"/>
    <d v="2025-10-09T00:00:00"/>
    <x v="1"/>
    <s v="South-West"/>
    <x v="4"/>
    <s v="Spaghetti Pack"/>
    <n v="5"/>
    <n v="2340"/>
    <n v="10"/>
    <n v="10530"/>
    <n v="11700"/>
    <n v="1170"/>
    <x v="1"/>
    <s v="Funmi Eze"/>
    <x v="0"/>
    <x v="6"/>
    <x v="1"/>
  </r>
  <r>
    <s v="TXN-01371"/>
    <d v="2025-03-11T00:00:00"/>
    <x v="5"/>
    <s v="South-West"/>
    <x v="1"/>
    <s v="Power Bank 20000mAh"/>
    <n v="4"/>
    <n v="10000"/>
    <n v="0"/>
    <n v="40000"/>
    <n v="40000"/>
    <n v="0"/>
    <x v="2"/>
    <s v="Ngozi Ibrahim"/>
    <x v="0"/>
    <x v="9"/>
    <x v="1"/>
  </r>
  <r>
    <s v="TXN-00282"/>
    <d v="2025-07-21T00:00:00"/>
    <x v="5"/>
    <s v="South-West"/>
    <x v="3"/>
    <s v="Wristwatch"/>
    <n v="12"/>
    <n v="2740"/>
    <n v="0"/>
    <n v="32880"/>
    <n v="32880"/>
    <n v="0"/>
    <x v="3"/>
    <s v="Chinwe Etim"/>
    <x v="0"/>
    <x v="10"/>
    <x v="0"/>
  </r>
  <r>
    <s v="TXN-00466"/>
    <d v="2025-02-21T00:00:00"/>
    <x v="0"/>
    <s v="North-Central"/>
    <x v="2"/>
    <s v="Cleaning Mop"/>
    <n v="6"/>
    <n v="9470"/>
    <n v="15"/>
    <n v="48297"/>
    <n v="56820"/>
    <n v="8523"/>
    <x v="2"/>
    <s v="Amaka Onwuka"/>
    <x v="0"/>
    <x v="8"/>
    <x v="1"/>
  </r>
  <r>
    <s v="TXN-00673"/>
    <d v="2025-07-02T00:00:00"/>
    <x v="1"/>
    <s v="South-West"/>
    <x v="4"/>
    <s v="Rice Cooker"/>
    <n v="10"/>
    <n v="28270"/>
    <n v="5"/>
    <n v="268565"/>
    <n v="282700"/>
    <n v="14135"/>
    <x v="3"/>
    <s v="Mary Nnamdi"/>
    <x v="0"/>
    <x v="10"/>
    <x v="0"/>
  </r>
  <r>
    <s v="TXN-01496"/>
    <d v="2025-09-24T00:00:00"/>
    <x v="2"/>
    <s v="South-East"/>
    <x v="4"/>
    <s v="Semovita 2kg"/>
    <n v="2"/>
    <n v="13110"/>
    <n v="10"/>
    <n v="23598"/>
    <n v="26220"/>
    <n v="2622"/>
    <x v="2"/>
    <s v="Tunde Balogun"/>
    <x v="0"/>
    <x v="0"/>
    <x v="1"/>
  </r>
  <r>
    <s v="TXN-00176"/>
    <d v="2025-04-26T00:00:00"/>
    <x v="0"/>
    <s v="North-Central"/>
    <x v="3"/>
    <s v="Office Blazer"/>
    <n v="8"/>
    <n v="480"/>
    <n v="10"/>
    <n v="3456"/>
    <n v="3840"/>
    <n v="384"/>
    <x v="2"/>
    <s v="Ade Abubakar"/>
    <x v="0"/>
    <x v="4"/>
    <x v="1"/>
  </r>
  <r>
    <s v="TXN-01314"/>
    <d v="2025-03-28T00:00:00"/>
    <x v="3"/>
    <s v="South-South"/>
    <x v="3"/>
    <s v="Kids Sneakers"/>
    <n v="2"/>
    <n v="51590"/>
    <n v="10"/>
    <n v="92862"/>
    <n v="103180"/>
    <n v="10318"/>
    <x v="2"/>
    <s v="Peter Adekunle"/>
    <x v="0"/>
    <x v="9"/>
    <x v="0"/>
  </r>
  <r>
    <s v="TXN-00080"/>
    <d v="2025-02-02T00:00:00"/>
    <x v="0"/>
    <s v="North-Central"/>
    <x v="4"/>
    <s v="Milo 500g"/>
    <n v="10"/>
    <n v="3520"/>
    <n v="0"/>
    <n v="35200"/>
    <n v="35200"/>
    <n v="0"/>
    <x v="2"/>
    <s v="Chinwe Etim"/>
    <x v="0"/>
    <x v="8"/>
    <x v="0"/>
  </r>
  <r>
    <s v="TXN-01396"/>
    <d v="2025-06-03T00:00:00"/>
    <x v="3"/>
    <s v="South-South"/>
    <x v="3"/>
    <s v="Wristwatch"/>
    <n v="6"/>
    <n v="6810"/>
    <n v="0"/>
    <n v="40860"/>
    <n v="40860"/>
    <n v="0"/>
    <x v="2"/>
    <s v="Ifeoma Adeyemi"/>
    <x v="0"/>
    <x v="1"/>
    <x v="1"/>
  </r>
  <r>
    <s v="TXN-01213"/>
    <d v="2025-12-10T00:00:00"/>
    <x v="2"/>
    <s v="South-East"/>
    <x v="0"/>
    <s v="Bathing Soap Pack"/>
    <n v="7"/>
    <n v="26330"/>
    <n v="15"/>
    <n v="156663.5"/>
    <n v="184310"/>
    <n v="27646.5"/>
    <x v="1"/>
    <s v="Ade Abubakar"/>
    <x v="0"/>
    <x v="11"/>
    <x v="1"/>
  </r>
  <r>
    <s v="TXN-00219"/>
    <d v="2025-11-27T00:00:00"/>
    <x v="4"/>
    <s v="South-West"/>
    <x v="2"/>
    <s v="Cleaning Mop"/>
    <n v="1"/>
    <n v="49500"/>
    <n v="0"/>
    <n v="49500"/>
    <n v="49500"/>
    <n v="0"/>
    <x v="2"/>
    <s v="Chinwe Etim"/>
    <x v="0"/>
    <x v="3"/>
    <x v="0"/>
  </r>
  <r>
    <s v="TXN-00010"/>
    <d v="2025-02-01T00:00:00"/>
    <x v="2"/>
    <s v="South-East"/>
    <x v="3"/>
    <s v="Office Blazer"/>
    <n v="1"/>
    <n v="13390"/>
    <n v="0"/>
    <n v="13390"/>
    <n v="13390"/>
    <n v="0"/>
    <x v="3"/>
    <s v="Obinna Yusuf"/>
    <x v="0"/>
    <x v="8"/>
    <x v="1"/>
  </r>
  <r>
    <s v="TXN-00381"/>
    <d v="2025-08-29T00:00:00"/>
    <x v="4"/>
    <s v="South-West"/>
    <x v="0"/>
    <s v="Bathing Soap Pack"/>
    <n v="3"/>
    <n v="2280"/>
    <n v="0"/>
    <n v="6840"/>
    <n v="6840"/>
    <n v="0"/>
    <x v="0"/>
    <s v="Ifeoma Adeyemi"/>
    <x v="0"/>
    <x v="2"/>
    <x v="0"/>
  </r>
  <r>
    <s v="TXN-00523"/>
    <d v="2025-04-02T00:00:00"/>
    <x v="6"/>
    <s v="South-South"/>
    <x v="2"/>
    <s v="Non-stick Frying Pan"/>
    <n v="5"/>
    <n v="11740"/>
    <n v="0"/>
    <n v="58700"/>
    <n v="58700"/>
    <n v="0"/>
    <x v="3"/>
    <s v="Tunde Balogun"/>
    <x v="0"/>
    <x v="4"/>
    <x v="0"/>
  </r>
  <r>
    <s v="TXN-01448"/>
    <d v="2025-02-12T00:00:00"/>
    <x v="0"/>
    <s v="North-Central"/>
    <x v="0"/>
    <s v="Hair Relaxer Kit"/>
    <n v="4"/>
    <n v="62780"/>
    <n v="15"/>
    <n v="213452"/>
    <n v="251120"/>
    <n v="37668"/>
    <x v="3"/>
    <s v="Ngozi Ibrahim"/>
    <x v="0"/>
    <x v="8"/>
    <x v="1"/>
  </r>
  <r>
    <s v="TXN-01407"/>
    <d v="2025-12-01T00:00:00"/>
    <x v="1"/>
    <s v="South-West"/>
    <x v="0"/>
    <s v="Baby Diaper Pack"/>
    <n v="1"/>
    <n v="9180"/>
    <n v="0"/>
    <n v="9180"/>
    <n v="9180"/>
    <n v="0"/>
    <x v="2"/>
    <s v="Funmi Eze"/>
    <x v="0"/>
    <x v="11"/>
    <x v="1"/>
  </r>
  <r>
    <s v="TXN-00361"/>
    <d v="2025-07-30T00:00:00"/>
    <x v="2"/>
    <s v="South-East"/>
    <x v="0"/>
    <s v="Shea Butter Cream"/>
    <n v="6"/>
    <n v="8320"/>
    <n v="15"/>
    <n v="42432"/>
    <n v="49920"/>
    <n v="7488"/>
    <x v="1"/>
    <s v="Mary Nnamdi"/>
    <x v="0"/>
    <x v="10"/>
    <x v="1"/>
  </r>
  <r>
    <s v="TXN-01421"/>
    <d v="2025-03-16T00:00:00"/>
    <x v="4"/>
    <s v="North-West"/>
    <x v="4"/>
    <s v="Vegetable Oil 5L"/>
    <n v="4"/>
    <n v="5750"/>
    <n v="0"/>
    <n v="23000"/>
    <n v="23000"/>
    <n v="0"/>
    <x v="0"/>
    <s v="Ade Abubakar"/>
    <x v="0"/>
    <x v="9"/>
    <x v="1"/>
  </r>
  <r>
    <s v="TXN-00641"/>
    <d v="2025-08-24T00:00:00"/>
    <x v="1"/>
    <s v="South-West"/>
    <x v="0"/>
    <s v="Bathing Soap Pack"/>
    <n v="2"/>
    <n v="11650"/>
    <n v="0"/>
    <n v="23300"/>
    <n v="23300"/>
    <n v="0"/>
    <x v="1"/>
    <s v="Obinna Yusuf"/>
    <x v="0"/>
    <x v="2"/>
    <x v="0"/>
  </r>
  <r>
    <s v="TXN-00507"/>
    <d v="2025-02-26T00:00:00"/>
    <x v="4"/>
    <s v="North-West"/>
    <x v="1"/>
    <s v="Rice Cooker"/>
    <n v="7"/>
    <n v="23120"/>
    <n v="0"/>
    <n v="161840"/>
    <n v="161840"/>
    <n v="0"/>
    <x v="3"/>
    <s v="Kelechi Nwosu"/>
    <x v="0"/>
    <x v="8"/>
    <x v="0"/>
  </r>
  <r>
    <s v="TXN-00297"/>
    <d v="2025-02-14T00:00:00"/>
    <x v="4"/>
    <s v="South-West"/>
    <x v="1"/>
    <s v="Rice Cooker"/>
    <n v="7"/>
    <n v="41070"/>
    <n v="0"/>
    <n v="287490"/>
    <n v="287490"/>
    <n v="0"/>
    <x v="0"/>
    <s v="Ifeoma Adeyemi"/>
    <x v="0"/>
    <x v="8"/>
    <x v="1"/>
  </r>
  <r>
    <s v="TXN-00555"/>
    <d v="2025-10-22T00:00:00"/>
    <x v="4"/>
    <s v="North-West"/>
    <x v="1"/>
    <s v="LED TV 43&quot;"/>
    <n v="1"/>
    <n v="1150"/>
    <n v="0"/>
    <n v="1150"/>
    <n v="1150"/>
    <n v="0"/>
    <x v="3"/>
    <s v="Funmi Eze"/>
    <x v="0"/>
    <x v="6"/>
    <x v="0"/>
  </r>
  <r>
    <s v="TXN-01082"/>
    <d v="2025-03-29T00:00:00"/>
    <x v="0"/>
    <s v="North-Central"/>
    <x v="0"/>
    <s v="Deodorant Roll-on"/>
    <n v="3"/>
    <n v="17660"/>
    <n v="10"/>
    <n v="47682"/>
    <n v="52980"/>
    <n v="5298"/>
    <x v="2"/>
    <s v="Kelechi Nwosu"/>
    <x v="0"/>
    <x v="9"/>
    <x v="1"/>
  </r>
  <r>
    <s v="TXN-00665"/>
    <d v="2025-09-29T00:00:00"/>
    <x v="5"/>
    <s v="South-West"/>
    <x v="4"/>
    <s v="Vegetable Oil 5L"/>
    <n v="5"/>
    <n v="3420"/>
    <n v="15"/>
    <n v="14535"/>
    <n v="17100"/>
    <n v="2565"/>
    <x v="3"/>
    <s v="Mary Nnamdi"/>
    <x v="0"/>
    <x v="0"/>
    <x v="0"/>
  </r>
  <r>
    <s v="TXN-01499"/>
    <d v="2025-05-16T00:00:00"/>
    <x v="6"/>
    <s v="South-South"/>
    <x v="4"/>
    <s v="Semovita 2kg"/>
    <n v="6"/>
    <n v="10300"/>
    <n v="0"/>
    <n v="61800"/>
    <n v="61800"/>
    <n v="0"/>
    <x v="3"/>
    <s v="Mary Nnamdi"/>
    <x v="0"/>
    <x v="5"/>
    <x v="1"/>
  </r>
  <r>
    <s v="TXN-00476"/>
    <d v="2025-12-14T00:00:00"/>
    <x v="5"/>
    <s v="South-West"/>
    <x v="4"/>
    <s v="Sugar 1kg"/>
    <n v="6"/>
    <n v="69080"/>
    <n v="0"/>
    <n v="414480"/>
    <n v="414480"/>
    <n v="0"/>
    <x v="2"/>
    <s v="Mary Nnamdi"/>
    <x v="0"/>
    <x v="11"/>
    <x v="0"/>
  </r>
  <r>
    <s v="TXN-00733"/>
    <d v="2025-01-19T00:00:00"/>
    <x v="3"/>
    <s v="South-South"/>
    <x v="0"/>
    <s v="Shea Butter Cream"/>
    <n v="7"/>
    <n v="3940"/>
    <n v="0"/>
    <n v="27580"/>
    <n v="27580"/>
    <n v="0"/>
    <x v="1"/>
    <s v="Grace Okafor"/>
    <x v="0"/>
    <x v="7"/>
    <x v="1"/>
  </r>
  <r>
    <s v="TXN-00367"/>
    <d v="2025-06-09T00:00:00"/>
    <x v="5"/>
    <s v="South-West"/>
    <x v="3"/>
    <s v="Denim Jeans"/>
    <n v="5"/>
    <n v="3170"/>
    <n v="0"/>
    <n v="15850"/>
    <n v="15850"/>
    <n v="0"/>
    <x v="2"/>
    <s v="Chinwe Etim"/>
    <x v="0"/>
    <x v="1"/>
    <x v="0"/>
  </r>
  <r>
    <s v="TXN-00692"/>
    <d v="2025-10-27T00:00:00"/>
    <x v="6"/>
    <s v="South-South"/>
    <x v="2"/>
    <s v="Storage Basket"/>
    <n v="8"/>
    <n v="5140"/>
    <n v="0"/>
    <n v="41120"/>
    <n v="41120"/>
    <n v="0"/>
    <x v="1"/>
    <s v="Ifeoma Adeyemi"/>
    <x v="0"/>
    <x v="6"/>
    <x v="1"/>
  </r>
  <r>
    <s v="TXN-00683"/>
    <d v="2025-12-04T00:00:00"/>
    <x v="2"/>
    <s v="South-East"/>
    <x v="0"/>
    <s v="Toothpaste Pack"/>
    <n v="3"/>
    <n v="16780"/>
    <n v="5"/>
    <n v="47823"/>
    <n v="50340"/>
    <n v="2517"/>
    <x v="2"/>
    <s v="Ade Abubakar"/>
    <x v="0"/>
    <x v="11"/>
    <x v="0"/>
  </r>
  <r>
    <s v="TXN-01235"/>
    <d v="2025-06-02T00:00:00"/>
    <x v="4"/>
    <s v="North-West"/>
    <x v="1"/>
    <s v="Rice Cooker"/>
    <n v="6"/>
    <n v="1190"/>
    <n v="0"/>
    <n v="7140"/>
    <n v="7140"/>
    <n v="0"/>
    <x v="0"/>
    <s v="Ngozi Ibrahim"/>
    <x v="0"/>
    <x v="1"/>
    <x v="1"/>
  </r>
  <r>
    <s v="TXN-01386"/>
    <d v="2025-11-19T00:00:00"/>
    <x v="1"/>
    <s v="South-West"/>
    <x v="4"/>
    <s v="Milo 500g"/>
    <n v="6"/>
    <n v="51070"/>
    <n v="0"/>
    <n v="306420"/>
    <n v="306420"/>
    <n v="0"/>
    <x v="0"/>
    <s v="Chidera Bello"/>
    <x v="0"/>
    <x v="3"/>
    <x v="0"/>
  </r>
  <r>
    <s v="TXN-00041"/>
    <d v="2025-11-12T00:00:00"/>
    <x v="2"/>
    <s v="South-East"/>
    <x v="2"/>
    <s v="Storage Basket"/>
    <n v="10"/>
    <n v="3990"/>
    <n v="0"/>
    <n v="39900"/>
    <n v="39900"/>
    <n v="0"/>
    <x v="2"/>
    <s v="Ifeoma Adeyemi"/>
    <x v="0"/>
    <x v="3"/>
    <x v="0"/>
  </r>
  <r>
    <s v="TXN-00751"/>
    <d v="2025-05-01T00:00:00"/>
    <x v="2"/>
    <s v="South-East"/>
    <x v="4"/>
    <s v="Indomie Carton"/>
    <n v="9"/>
    <n v="2340"/>
    <n v="0"/>
    <n v="21060"/>
    <n v="21060"/>
    <n v="0"/>
    <x v="2"/>
    <s v="Chinwe Etim"/>
    <x v="0"/>
    <x v="5"/>
    <x v="0"/>
  </r>
  <r>
    <s v="TXN-00679"/>
    <d v="2025-10-17T00:00:00"/>
    <x v="4"/>
    <s v="North-West"/>
    <x v="1"/>
    <s v="Microwave Oven"/>
    <n v="4"/>
    <n v="470"/>
    <n v="0"/>
    <n v="1880"/>
    <n v="1880"/>
    <n v="0"/>
    <x v="0"/>
    <s v="Kelechi Nwosu"/>
    <x v="0"/>
    <x v="6"/>
    <x v="1"/>
  </r>
  <r>
    <s v="TXN-00464"/>
    <d v="2025-11-17T00:00:00"/>
    <x v="5"/>
    <s v="South-West"/>
    <x v="4"/>
    <s v="Rice 50kg Bag"/>
    <n v="7"/>
    <n v="3380"/>
    <n v="0"/>
    <n v="23660"/>
    <n v="23660"/>
    <n v="0"/>
    <x v="1"/>
    <s v="Kelechi Nwosu"/>
    <x v="0"/>
    <x v="3"/>
    <x v="0"/>
  </r>
  <r>
    <s v="TXN-00383"/>
    <d v="2025-11-07T00:00:00"/>
    <x v="4"/>
    <s v="North-West"/>
    <x v="1"/>
    <s v="Home Theatre System"/>
    <n v="2"/>
    <n v="51540"/>
    <n v="0"/>
    <n v="103080"/>
    <n v="103080"/>
    <n v="0"/>
    <x v="3"/>
    <s v="Ifeoma Adeyemi"/>
    <x v="0"/>
    <x v="3"/>
    <x v="1"/>
  </r>
  <r>
    <s v="TXN-00078"/>
    <d v="2025-01-28T00:00:00"/>
    <x v="6"/>
    <s v="South-South"/>
    <x v="3"/>
    <s v="Ladies Ankara Gown"/>
    <n v="1"/>
    <n v="13450"/>
    <n v="0"/>
    <n v="13450"/>
    <n v="13450"/>
    <n v="0"/>
    <x v="1"/>
    <s v="Mary Nnamdi"/>
    <x v="0"/>
    <x v="7"/>
    <x v="0"/>
  </r>
  <r>
    <s v="TXN-00408"/>
    <d v="2025-01-25T00:00:00"/>
    <x v="0"/>
    <s v="North-Central"/>
    <x v="2"/>
    <s v="Storage Basket"/>
    <n v="3"/>
    <n v="550"/>
    <n v="0"/>
    <n v="1650"/>
    <n v="1650"/>
    <n v="0"/>
    <x v="2"/>
    <s v="Grace Okafor"/>
    <x v="0"/>
    <x v="7"/>
    <x v="1"/>
  </r>
  <r>
    <s v="TXN-01272"/>
    <d v="2025-09-09T00:00:00"/>
    <x v="4"/>
    <s v="North-West"/>
    <x v="2"/>
    <s v="Laundry Basket"/>
    <n v="1"/>
    <n v="3770"/>
    <n v="0"/>
    <n v="3770"/>
    <n v="3770"/>
    <n v="0"/>
    <x v="3"/>
    <s v="Uche Okoro"/>
    <x v="0"/>
    <x v="0"/>
    <x v="0"/>
  </r>
  <r>
    <s v="TXN-00452"/>
    <d v="2025-02-22T00:00:00"/>
    <x v="1"/>
    <s v="South-West"/>
    <x v="2"/>
    <s v="Plastic Chair Set"/>
    <n v="10"/>
    <n v="8780"/>
    <n v="0"/>
    <n v="87800"/>
    <n v="87800"/>
    <n v="0"/>
    <x v="3"/>
    <s v="Chinwe Etim"/>
    <x v="0"/>
    <x v="8"/>
    <x v="0"/>
  </r>
  <r>
    <s v="TXN-00376"/>
    <d v="2025-04-25T00:00:00"/>
    <x v="5"/>
    <s v="South-West"/>
    <x v="0"/>
    <s v="Perfume 100ml"/>
    <n v="8"/>
    <n v="13280"/>
    <n v="0"/>
    <n v="106240"/>
    <n v="106240"/>
    <n v="0"/>
    <x v="2"/>
    <s v="Ifeoma Adeyemi"/>
    <x v="0"/>
    <x v="4"/>
    <x v="1"/>
  </r>
  <r>
    <s v="TXN-01427"/>
    <d v="2025-03-28T00:00:00"/>
    <x v="0"/>
    <s v="North-Central"/>
    <x v="1"/>
    <s v="Bluetooth Speaker"/>
    <n v="5"/>
    <n v="49400"/>
    <n v="10"/>
    <n v="222300"/>
    <n v="247000"/>
    <n v="24700"/>
    <x v="3"/>
    <s v="Uche Okoro"/>
    <x v="0"/>
    <x v="9"/>
    <x v="0"/>
  </r>
  <r>
    <s v="TXN-00086"/>
    <d v="2025-07-05T00:00:00"/>
    <x v="5"/>
    <s v="South-West"/>
    <x v="4"/>
    <s v="Bathing Soap Pack"/>
    <n v="11"/>
    <n v="1150"/>
    <n v="15"/>
    <n v="10752.5"/>
    <n v="12650"/>
    <n v="1897.5"/>
    <x v="0"/>
    <s v="Ifeoma Adeyemi"/>
    <x v="0"/>
    <x v="10"/>
    <x v="0"/>
  </r>
  <r>
    <s v="TXN-01471"/>
    <d v="2025-10-15T00:00:00"/>
    <x v="1"/>
    <s v="South-West"/>
    <x v="1"/>
    <s v="Microwave Oven"/>
    <n v="8"/>
    <n v="7190"/>
    <n v="0"/>
    <n v="57520"/>
    <n v="57520"/>
    <n v="0"/>
    <x v="0"/>
    <s v="Tunde Balogun"/>
    <x v="0"/>
    <x v="6"/>
    <x v="0"/>
  </r>
  <r>
    <s v="TXN-00576"/>
    <d v="2025-01-18T00:00:00"/>
    <x v="5"/>
    <s v="South-West"/>
    <x v="3"/>
    <s v="Denim Jeans"/>
    <n v="2"/>
    <n v="51300"/>
    <n v="5"/>
    <n v="97470"/>
    <n v="102600"/>
    <n v="5130"/>
    <x v="2"/>
    <s v="Mary Nnamdi"/>
    <x v="0"/>
    <x v="7"/>
    <x v="0"/>
  </r>
  <r>
    <s v="TXN-01177"/>
    <d v="2025-06-06T00:00:00"/>
    <x v="2"/>
    <s v="South-East"/>
    <x v="4"/>
    <s v="Baby Diaper Pack"/>
    <n v="3"/>
    <n v="2660"/>
    <n v="15"/>
    <n v="6783"/>
    <n v="7980"/>
    <n v="1197"/>
    <x v="2"/>
    <s v="Obinna Yusuf"/>
    <x v="0"/>
    <x v="1"/>
    <x v="1"/>
  </r>
  <r>
    <s v="TXN-00577"/>
    <d v="2025-02-04T00:00:00"/>
    <x v="4"/>
    <s v="North-West"/>
    <x v="4"/>
    <s v="Sugar 1kg"/>
    <n v="10"/>
    <n v="17780"/>
    <n v="0"/>
    <n v="177800"/>
    <n v="177800"/>
    <n v="0"/>
    <x v="2"/>
    <s v="Peter Adekunle"/>
    <x v="0"/>
    <x v="8"/>
    <x v="1"/>
  </r>
  <r>
    <s v="TXN-01311"/>
    <d v="2025-10-30T00:00:00"/>
    <x v="5"/>
    <s v="South-West"/>
    <x v="1"/>
    <s v="Electric Kettle"/>
    <n v="2"/>
    <n v="28650"/>
    <n v="0"/>
    <n v="57300"/>
    <n v="57300"/>
    <n v="0"/>
    <x v="2"/>
    <s v="Ifeoma Adeyemi"/>
    <x v="0"/>
    <x v="6"/>
    <x v="1"/>
  </r>
  <r>
    <s v="TXN-00378"/>
    <d v="2025-10-13T00:00:00"/>
    <x v="2"/>
    <s v="South-East"/>
    <x v="4"/>
    <s v="Tomato Paste Carton"/>
    <n v="2"/>
    <n v="68200"/>
    <n v="0"/>
    <n v="136400"/>
    <n v="136400"/>
    <n v="0"/>
    <x v="1"/>
    <s v="Kelechi Nwosu"/>
    <x v="0"/>
    <x v="6"/>
    <x v="1"/>
  </r>
  <r>
    <s v="TXN-00735"/>
    <d v="2025-03-21T00:00:00"/>
    <x v="5"/>
    <s v="South-West"/>
    <x v="1"/>
    <s v="Bluetooth Speaker"/>
    <n v="10"/>
    <n v="71610"/>
    <n v="0"/>
    <n v="716100"/>
    <n v="716100"/>
    <n v="0"/>
    <x v="1"/>
    <s v="Ifeoma Adeyemi"/>
    <x v="0"/>
    <x v="9"/>
    <x v="0"/>
  </r>
  <r>
    <s v="TXN-00827"/>
    <d v="2025-11-19T00:00:00"/>
    <x v="6"/>
    <s v="South-South"/>
    <x v="4"/>
    <s v="Vegetable Oil 5L"/>
    <n v="10"/>
    <n v="2660"/>
    <n v="0"/>
    <n v="26600"/>
    <n v="26600"/>
    <n v="0"/>
    <x v="3"/>
    <s v="Amaka Onwuka"/>
    <x v="0"/>
    <x v="3"/>
    <x v="0"/>
  </r>
  <r>
    <s v="TXN-00162"/>
    <d v="2025-07-22T00:00:00"/>
    <x v="6"/>
    <s v="South-South"/>
    <x v="0"/>
    <s v="Shea Butter Cream"/>
    <n v="4"/>
    <n v="2310"/>
    <n v="15"/>
    <n v="7854"/>
    <n v="9240"/>
    <n v="1386"/>
    <x v="2"/>
    <s v="Mary Nnamdi"/>
    <x v="0"/>
    <x v="10"/>
    <x v="1"/>
  </r>
  <r>
    <s v="TXN-00784"/>
    <d v="2025-05-26T00:00:00"/>
    <x v="2"/>
    <s v="South-East"/>
    <x v="0"/>
    <s v="Shea Butter Cream"/>
    <n v="12"/>
    <n v="8580"/>
    <n v="10"/>
    <n v="92664"/>
    <n v="102960"/>
    <n v="10296"/>
    <x v="1"/>
    <s v="Ifeoma Adeyemi"/>
    <x v="0"/>
    <x v="5"/>
    <x v="0"/>
  </r>
  <r>
    <s v="TXN-01035"/>
    <d v="2025-03-08T00:00:00"/>
    <x v="2"/>
    <s v="South-East"/>
    <x v="0"/>
    <s v="Baby Diaper Pack"/>
    <n v="1"/>
    <n v="2310"/>
    <n v="0"/>
    <n v="2310"/>
    <n v="2310"/>
    <n v="0"/>
    <x v="2"/>
    <s v="Mary Nnamdi"/>
    <x v="0"/>
    <x v="9"/>
    <x v="0"/>
  </r>
  <r>
    <s v="TXN-01203"/>
    <d v="2025-03-09T00:00:00"/>
    <x v="1"/>
    <s v="South-West"/>
    <x v="1"/>
    <s v="Electric Kettle"/>
    <n v="7"/>
    <n v="2750"/>
    <n v="0"/>
    <n v="19250"/>
    <n v="19250"/>
    <n v="0"/>
    <x v="3"/>
    <s v="Segun Chukwu"/>
    <x v="0"/>
    <x v="9"/>
    <x v="0"/>
  </r>
  <r>
    <s v="TXN-00579"/>
    <d v="2025-01-17T00:00:00"/>
    <x v="4"/>
    <s v="North-West"/>
    <x v="0"/>
    <s v="Shea Butter Cream"/>
    <n v="5"/>
    <n v="25440"/>
    <n v="0"/>
    <n v="127200"/>
    <n v="127200"/>
    <n v="0"/>
    <x v="3"/>
    <s v="Chidera Bello"/>
    <x v="0"/>
    <x v="7"/>
    <x v="0"/>
  </r>
  <r>
    <s v="TXN-00450"/>
    <d v="2025-04-23T00:00:00"/>
    <x v="3"/>
    <s v="South-South"/>
    <x v="1"/>
    <s v="Electric Kettle"/>
    <n v="11"/>
    <n v="8290"/>
    <n v="0"/>
    <n v="91190"/>
    <n v="91190"/>
    <n v="0"/>
    <x v="3"/>
    <s v="Ifeoma Adeyemi"/>
    <x v="0"/>
    <x v="4"/>
    <x v="0"/>
  </r>
  <r>
    <s v="TXN-01047"/>
    <d v="2025-03-21T00:00:00"/>
    <x v="4"/>
    <s v="North-West"/>
    <x v="4"/>
    <s v="Indomie Carton"/>
    <n v="2"/>
    <n v="7700"/>
    <n v="0"/>
    <n v="15400"/>
    <n v="15400"/>
    <n v="0"/>
    <x v="2"/>
    <s v="Funmi Eze"/>
    <x v="0"/>
    <x v="9"/>
    <x v="0"/>
  </r>
  <r>
    <s v="TXN-00335"/>
    <d v="2025-05-22T00:00:00"/>
    <x v="6"/>
    <s v="South-South"/>
    <x v="0"/>
    <s v="Toothpaste Pack"/>
    <n v="5"/>
    <n v="7410"/>
    <n v="0"/>
    <n v="37050"/>
    <n v="37050"/>
    <n v="0"/>
    <x v="2"/>
    <s v="Mary Nnamdi"/>
    <x v="0"/>
    <x v="5"/>
    <x v="0"/>
  </r>
  <r>
    <s v="TXN-01430"/>
    <d v="2025-03-04T00:00:00"/>
    <x v="6"/>
    <s v="South-South"/>
    <x v="1"/>
    <s v="LED TV 43&quot;"/>
    <n v="10"/>
    <n v="7470"/>
    <n v="10"/>
    <n v="67230"/>
    <n v="74700"/>
    <n v="7470"/>
    <x v="3"/>
    <s v="Funmi Eze"/>
    <x v="0"/>
    <x v="9"/>
    <x v="0"/>
  </r>
  <r>
    <s v="TXN-01353"/>
    <d v="2025-05-25T00:00:00"/>
    <x v="1"/>
    <s v="South-West"/>
    <x v="1"/>
    <s v="LED TV 43&quot;"/>
    <n v="2"/>
    <n v="4820"/>
    <n v="0"/>
    <n v="9640"/>
    <n v="9640"/>
    <n v="0"/>
    <x v="0"/>
    <s v="Ngozi Ibrahim"/>
    <x v="0"/>
    <x v="5"/>
    <x v="0"/>
  </r>
  <r>
    <s v="TXN-00075"/>
    <d v="2025-05-12T00:00:00"/>
    <x v="0"/>
    <s v="North-Central"/>
    <x v="3"/>
    <s v="Denim Jeans"/>
    <n v="2"/>
    <n v="2300"/>
    <n v="0"/>
    <n v="4600"/>
    <n v="4600"/>
    <n v="0"/>
    <x v="0"/>
    <s v="Ngozi Ibrahim"/>
    <x v="0"/>
    <x v="5"/>
    <x v="0"/>
  </r>
  <r>
    <s v="TXN-01133"/>
    <d v="2025-11-24T00:00:00"/>
    <x v="1"/>
    <s v="South-West"/>
    <x v="2"/>
    <s v="Storage Basket"/>
    <n v="10"/>
    <n v="1280"/>
    <n v="0"/>
    <n v="12800"/>
    <n v="12800"/>
    <n v="0"/>
    <x v="1"/>
    <s v="Tunde Balogun"/>
    <x v="0"/>
    <x v="3"/>
    <x v="1"/>
  </r>
  <r>
    <s v="TXN-01269"/>
    <d v="2025-09-26T00:00:00"/>
    <x v="4"/>
    <s v="North-West"/>
    <x v="0"/>
    <s v="Toothpaste Pack"/>
    <n v="7"/>
    <n v="18500"/>
    <n v="5"/>
    <n v="123025"/>
    <n v="129500"/>
    <n v="6475"/>
    <x v="0"/>
    <s v="Chidera Bello"/>
    <x v="0"/>
    <x v="0"/>
    <x v="1"/>
  </r>
  <r>
    <s v="TXN-01428"/>
    <d v="2025-09-12T00:00:00"/>
    <x v="3"/>
    <s v="South-South"/>
    <x v="0"/>
    <s v="Baby Diaper Pack"/>
    <n v="2"/>
    <n v="8070"/>
    <n v="0"/>
    <n v="16140"/>
    <n v="16140"/>
    <n v="0"/>
    <x v="0"/>
    <s v="Tunde Balogun"/>
    <x v="0"/>
    <x v="0"/>
    <x v="1"/>
  </r>
  <r>
    <s v="TXN-01063"/>
    <d v="2025-04-12T00:00:00"/>
    <x v="1"/>
    <s v="South-West"/>
    <x v="4"/>
    <s v="Rice 50kg Bag"/>
    <n v="5"/>
    <n v="19300"/>
    <n v="0"/>
    <n v="96500"/>
    <n v="96500"/>
    <n v="0"/>
    <x v="0"/>
    <s v="Uche Okoro"/>
    <x v="0"/>
    <x v="4"/>
    <x v="1"/>
  </r>
  <r>
    <s v="TXN-01484"/>
    <d v="2025-03-20T00:00:00"/>
    <x v="0"/>
    <s v="South-West"/>
    <x v="1"/>
    <s v="Bluetooth Speaker"/>
    <n v="6"/>
    <n v="12250"/>
    <n v="0"/>
    <n v="73500"/>
    <n v="73500"/>
    <n v="0"/>
    <x v="1"/>
    <s v="Peter Adekunle"/>
    <x v="0"/>
    <x v="9"/>
    <x v="0"/>
  </r>
  <r>
    <s v="TXN-01167"/>
    <d v="2025-06-26T00:00:00"/>
    <x v="3"/>
    <s v="South-South"/>
    <x v="4"/>
    <s v="Sugar 1kg"/>
    <n v="6"/>
    <n v="470"/>
    <n v="15"/>
    <n v="2397"/>
    <n v="2820"/>
    <n v="423"/>
    <x v="1"/>
    <s v="Amaka Onwuka"/>
    <x v="0"/>
    <x v="1"/>
    <x v="0"/>
  </r>
  <r>
    <s v="TXN-00082"/>
    <d v="2025-12-17T00:00:00"/>
    <x v="3"/>
    <s v="South-South"/>
    <x v="0"/>
    <s v="Deodorant Roll-on"/>
    <n v="11"/>
    <n v="7770"/>
    <n v="0"/>
    <n v="85470"/>
    <n v="85470"/>
    <n v="0"/>
    <x v="3"/>
    <s v="Ade Abubakar"/>
    <x v="0"/>
    <x v="11"/>
    <x v="0"/>
  </r>
  <r>
    <s v="TXN-00044"/>
    <d v="2025-02-17T00:00:00"/>
    <x v="3"/>
    <s v="South-South"/>
    <x v="0"/>
    <s v="Toothpaste Pack"/>
    <n v="9"/>
    <n v="5190"/>
    <n v="0"/>
    <n v="46710"/>
    <n v="46710"/>
    <n v="0"/>
    <x v="2"/>
    <s v="Kelechi Nwosu"/>
    <x v="0"/>
    <x v="8"/>
    <x v="0"/>
  </r>
  <r>
    <s v="TXN-00246"/>
    <d v="2025-10-06T00:00:00"/>
    <x v="2"/>
    <s v="South-East"/>
    <x v="2"/>
    <s v="Dinner Set"/>
    <n v="6"/>
    <n v="1100"/>
    <n v="5"/>
    <n v="6270"/>
    <n v="6600"/>
    <n v="330"/>
    <x v="0"/>
    <s v="Funmi Eze"/>
    <x v="0"/>
    <x v="6"/>
    <x v="1"/>
  </r>
  <r>
    <s v="TXN-00436"/>
    <d v="2025-07-08T00:00:00"/>
    <x v="5"/>
    <s v="South-West"/>
    <x v="0"/>
    <s v="Shea Butter Cream"/>
    <n v="7"/>
    <n v="9120"/>
    <n v="0"/>
    <n v="63840"/>
    <n v="63840"/>
    <n v="0"/>
    <x v="0"/>
    <s v="Tunde Balogun"/>
    <x v="0"/>
    <x v="10"/>
    <x v="1"/>
  </r>
  <r>
    <s v="TXN-01218"/>
    <d v="2025-05-19T00:00:00"/>
    <x v="0"/>
    <s v="North-Central"/>
    <x v="4"/>
    <s v="Milo 500g"/>
    <n v="5"/>
    <n v="5560"/>
    <n v="0"/>
    <n v="27800"/>
    <n v="27800"/>
    <n v="0"/>
    <x v="0"/>
    <s v="Segun Chukwu"/>
    <x v="0"/>
    <x v="5"/>
    <x v="1"/>
  </r>
  <r>
    <s v="TXN-01169"/>
    <d v="2025-08-16T00:00:00"/>
    <x v="1"/>
    <s v="South-West"/>
    <x v="4"/>
    <s v="Vegetable Oil 5L"/>
    <n v="10"/>
    <n v="4610"/>
    <n v="0"/>
    <n v="46100"/>
    <n v="46100"/>
    <n v="0"/>
    <x v="3"/>
    <s v="Ade Abubakar"/>
    <x v="0"/>
    <x v="2"/>
    <x v="1"/>
  </r>
  <r>
    <s v="TXN-00002"/>
    <d v="2025-04-30T00:00:00"/>
    <x v="0"/>
    <s v="North-Central"/>
    <x v="0"/>
    <s v="Toothpaste Pack"/>
    <n v="5"/>
    <n v="530"/>
    <n v="0"/>
    <n v="2650"/>
    <n v="2650"/>
    <n v="0"/>
    <x v="3"/>
    <s v="Kelechi Nwosu"/>
    <x v="0"/>
    <x v="4"/>
    <x v="0"/>
  </r>
  <r>
    <s v="TXN-00058"/>
    <d v="2025-03-17T00:00:00"/>
    <x v="5"/>
    <s v="South-West"/>
    <x v="4"/>
    <s v="Sugar 1kg"/>
    <n v="4"/>
    <n v="23850"/>
    <n v="15"/>
    <n v="81090"/>
    <n v="95400"/>
    <n v="14310"/>
    <x v="3"/>
    <s v="Chinwe Etim"/>
    <x v="0"/>
    <x v="9"/>
    <x v="0"/>
  </r>
  <r>
    <s v="TXN-00965"/>
    <d v="2025-01-01T00:00:00"/>
    <x v="3"/>
    <s v="South-South"/>
    <x v="3"/>
    <s v="Office Blazer"/>
    <n v="4"/>
    <n v="59970"/>
    <n v="10"/>
    <n v="215892"/>
    <n v="239880"/>
    <n v="23988"/>
    <x v="1"/>
    <s v="Grace Okafor"/>
    <x v="0"/>
    <x v="7"/>
    <x v="0"/>
  </r>
  <r>
    <s v="TXN-01070"/>
    <d v="2025-09-06T00:00:00"/>
    <x v="5"/>
    <s v="South-West"/>
    <x v="4"/>
    <s v="Body Lotion 400ml"/>
    <n v="10"/>
    <n v="1310"/>
    <n v="0"/>
    <n v="13100"/>
    <n v="13100"/>
    <n v="0"/>
    <x v="0"/>
    <s v="Obinna Yusuf"/>
    <x v="0"/>
    <x v="0"/>
    <x v="1"/>
  </r>
  <r>
    <s v="TXN-00409"/>
    <d v="2025-12-03T00:00:00"/>
    <x v="0"/>
    <s v="North-Central"/>
    <x v="0"/>
    <s v="Bathing Soap Pack"/>
    <n v="12"/>
    <n v="9170"/>
    <n v="0"/>
    <n v="110040"/>
    <n v="110040"/>
    <n v="0"/>
    <x v="3"/>
    <s v="Uche Okoro"/>
    <x v="0"/>
    <x v="11"/>
    <x v="1"/>
  </r>
  <r>
    <s v="TXN-01178"/>
    <d v="2025-03-28T00:00:00"/>
    <x v="6"/>
    <s v="South-South"/>
    <x v="2"/>
    <s v="Plastic Chair Set"/>
    <n v="12"/>
    <n v="17030"/>
    <n v="0"/>
    <n v="204360"/>
    <n v="204360"/>
    <n v="0"/>
    <x v="1"/>
    <s v="Mary Nnamdi"/>
    <x v="0"/>
    <x v="9"/>
    <x v="0"/>
  </r>
  <r>
    <s v="TXN-00484"/>
    <d v="2025-03-02T00:00:00"/>
    <x v="1"/>
    <s v="South-West"/>
    <x v="4"/>
    <s v="Vegetable Oil 5L"/>
    <n v="9"/>
    <n v="16690"/>
    <n v="0"/>
    <n v="150210"/>
    <n v="150210"/>
    <n v="0"/>
    <x v="1"/>
    <s v="Grace Okafor"/>
    <x v="0"/>
    <x v="9"/>
    <x v="0"/>
  </r>
  <r>
    <s v="TXN-01318"/>
    <d v="2025-09-18T00:00:00"/>
    <x v="3"/>
    <s v="South-South"/>
    <x v="1"/>
    <s v="Microwave Oven"/>
    <n v="1"/>
    <n v="1330"/>
    <n v="0"/>
    <n v="1330"/>
    <n v="1330"/>
    <n v="0"/>
    <x v="1"/>
    <s v="Segun Chukwu"/>
    <x v="0"/>
    <x v="0"/>
    <x v="1"/>
  </r>
  <r>
    <s v="TXN-01401"/>
    <d v="2025-08-15T00:00:00"/>
    <x v="5"/>
    <s v="South-West"/>
    <x v="4"/>
    <s v="Vegetable Oil 5L"/>
    <n v="2"/>
    <n v="9380"/>
    <n v="15"/>
    <n v="15946"/>
    <n v="18760"/>
    <n v="2814"/>
    <x v="2"/>
    <s v="Peter Adekunle"/>
    <x v="0"/>
    <x v="2"/>
    <x v="0"/>
  </r>
  <r>
    <s v="TXN-01137"/>
    <d v="2025-11-04T00:00:00"/>
    <x v="6"/>
    <s v="South-South"/>
    <x v="1"/>
    <s v="LED TV 43&quot;"/>
    <n v="6"/>
    <n v="2760"/>
    <n v="10"/>
    <n v="14904"/>
    <n v="16560"/>
    <n v="1656"/>
    <x v="3"/>
    <s v="Mary Nnamdi"/>
    <x v="0"/>
    <x v="3"/>
    <x v="0"/>
  </r>
  <r>
    <s v="TXN-01030"/>
    <d v="2025-06-19T00:00:00"/>
    <x v="3"/>
    <s v="South-South"/>
    <x v="3"/>
    <s v="Denim Jeans"/>
    <n v="1"/>
    <n v="9650"/>
    <n v="10"/>
    <n v="8685"/>
    <n v="9650"/>
    <n v="965"/>
    <x v="3"/>
    <s v="Obinna Yusuf"/>
    <x v="0"/>
    <x v="1"/>
    <x v="1"/>
  </r>
  <r>
    <s v="TXN-00978"/>
    <d v="2025-01-20T00:00:00"/>
    <x v="6"/>
    <s v="South-South"/>
    <x v="4"/>
    <s v="Tomato Paste Carton"/>
    <n v="9"/>
    <n v="10040"/>
    <n v="0"/>
    <n v="90360"/>
    <n v="90360"/>
    <n v="0"/>
    <x v="3"/>
    <s v="Chidera Bello"/>
    <x v="0"/>
    <x v="7"/>
    <x v="0"/>
  </r>
  <r>
    <s v="TXN-00565"/>
    <d v="2025-02-13T00:00:00"/>
    <x v="1"/>
    <s v="South-West"/>
    <x v="4"/>
    <s v="Sugar 1kg"/>
    <n v="5"/>
    <n v="9350"/>
    <n v="10"/>
    <n v="42075"/>
    <n v="46750"/>
    <n v="4675"/>
    <x v="3"/>
    <s v="Grace Okafor"/>
    <x v="0"/>
    <x v="8"/>
    <x v="0"/>
  </r>
  <r>
    <s v="TXN-01365"/>
    <d v="2025-05-13T00:00:00"/>
    <x v="5"/>
    <s v="South-West"/>
    <x v="3"/>
    <s v="Denim Jeans"/>
    <n v="10"/>
    <n v="2770"/>
    <n v="0"/>
    <n v="27700"/>
    <n v="27700"/>
    <n v="0"/>
    <x v="2"/>
    <s v="Kelechi Nwosu"/>
    <x v="0"/>
    <x v="5"/>
    <x v="0"/>
  </r>
  <r>
    <s v="TXN-01006"/>
    <d v="2025-07-27T00:00:00"/>
    <x v="6"/>
    <s v="South-South"/>
    <x v="1"/>
    <s v="Power Bank 20000mAh"/>
    <n v="11"/>
    <n v="72060"/>
    <n v="0"/>
    <n v="792660"/>
    <n v="792660"/>
    <n v="0"/>
    <x v="0"/>
    <s v="Chinwe Etim"/>
    <x v="0"/>
    <x v="10"/>
    <x v="0"/>
  </r>
  <r>
    <s v="TXN-01059"/>
    <d v="2025-11-23T00:00:00"/>
    <x v="2"/>
    <s v="South-East"/>
    <x v="0"/>
    <s v="Bathing Soap Pack"/>
    <n v="12"/>
    <n v="17670"/>
    <n v="0"/>
    <n v="212040"/>
    <n v="212040"/>
    <n v="0"/>
    <x v="2"/>
    <s v="Ngozi Ibrahim"/>
    <x v="0"/>
    <x v="3"/>
    <x v="1"/>
  </r>
  <r>
    <s v="TXN-00387"/>
    <d v="2025-05-29T00:00:00"/>
    <x v="0"/>
    <s v="North-Central"/>
    <x v="3"/>
    <s v="Denim Jeans"/>
    <n v="11"/>
    <n v="12380"/>
    <n v="0"/>
    <n v="136180"/>
    <n v="136180"/>
    <n v="0"/>
    <x v="1"/>
    <s v="Funmi Eze"/>
    <x v="0"/>
    <x v="5"/>
    <x v="0"/>
  </r>
  <r>
    <s v="TXN-00756"/>
    <d v="2025-04-22T00:00:00"/>
    <x v="5"/>
    <s v="South-West"/>
    <x v="0"/>
    <s v="Baby Diaper Pack"/>
    <n v="4"/>
    <n v="530"/>
    <n v="10"/>
    <n v="1908"/>
    <n v="2120"/>
    <n v="212"/>
    <x v="1"/>
    <s v="Amaka Onwuka"/>
    <x v="0"/>
    <x v="4"/>
    <x v="1"/>
  </r>
  <r>
    <s v="TXN-00455"/>
    <d v="2025-05-05T00:00:00"/>
    <x v="6"/>
    <s v="South-South"/>
    <x v="3"/>
    <s v="Kids Sneakers"/>
    <n v="6"/>
    <n v="3890"/>
    <n v="15"/>
    <n v="19839"/>
    <n v="23340"/>
    <n v="3501"/>
    <x v="3"/>
    <s v="Mary Nnamdi"/>
    <x v="0"/>
    <x v="5"/>
    <x v="0"/>
  </r>
  <r>
    <s v="TXN-00100"/>
    <d v="2025-01-02T00:00:00"/>
    <x v="0"/>
    <s v="North-Central"/>
    <x v="3"/>
    <s v="School Sandals"/>
    <n v="10"/>
    <n v="9230"/>
    <n v="0"/>
    <n v="92300"/>
    <n v="92300"/>
    <n v="0"/>
    <x v="0"/>
    <s v="Obinna Yusuf"/>
    <x v="0"/>
    <x v="7"/>
    <x v="1"/>
  </r>
  <r>
    <s v="TXN-00536"/>
    <d v="2025-12-08T00:00:00"/>
    <x v="4"/>
    <s v="North-West"/>
    <x v="4"/>
    <s v="Tomato Paste Carton"/>
    <n v="9"/>
    <n v="10130"/>
    <n v="0"/>
    <n v="91170"/>
    <n v="91170"/>
    <n v="0"/>
    <x v="2"/>
    <s v="Kelechi Nwosu"/>
    <x v="0"/>
    <x v="11"/>
    <x v="0"/>
  </r>
  <r>
    <s v="TXN-00888"/>
    <d v="2025-09-16T00:00:00"/>
    <x v="2"/>
    <s v="South-East"/>
    <x v="3"/>
    <s v="Wristwatch"/>
    <n v="10"/>
    <n v="9320"/>
    <n v="0"/>
    <n v="93200"/>
    <n v="93200"/>
    <n v="0"/>
    <x v="1"/>
    <s v="Peter Adekunle"/>
    <x v="0"/>
    <x v="0"/>
    <x v="1"/>
  </r>
  <r>
    <s v="TXN-00898"/>
    <d v="2025-12-21T00:00:00"/>
    <x v="6"/>
    <s v="South-South"/>
    <x v="2"/>
    <s v="Storage Basket"/>
    <n v="2"/>
    <n v="5700"/>
    <n v="0"/>
    <n v="11400"/>
    <n v="11400"/>
    <n v="0"/>
    <x v="2"/>
    <s v="Ade Abubakar"/>
    <x v="0"/>
    <x v="11"/>
    <x v="0"/>
  </r>
  <r>
    <s v="TXN-01058"/>
    <d v="2025-07-19T00:00:00"/>
    <x v="4"/>
    <s v="North-West"/>
    <x v="4"/>
    <s v="Plastic Chair Set"/>
    <n v="9"/>
    <n v="17670"/>
    <n v="0"/>
    <n v="159030"/>
    <n v="159030"/>
    <n v="0"/>
    <x v="2"/>
    <s v="Chinwe Etim"/>
    <x v="0"/>
    <x v="10"/>
    <x v="0"/>
  </r>
  <r>
    <s v="TXN-00094"/>
    <d v="2025-08-05T00:00:00"/>
    <x v="3"/>
    <s v="South-South"/>
    <x v="2"/>
    <s v="Laundry Basket"/>
    <n v="7"/>
    <n v="1100"/>
    <n v="0"/>
    <n v="7700"/>
    <n v="7700"/>
    <n v="0"/>
    <x v="3"/>
    <s v="Ngozi Ibrahim"/>
    <x v="0"/>
    <x v="2"/>
    <x v="1"/>
  </r>
  <r>
    <s v="TXN-00836"/>
    <d v="2025-02-19T00:00:00"/>
    <x v="6"/>
    <s v="South-South"/>
    <x v="2"/>
    <s v="Cleaning Mop"/>
    <n v="10"/>
    <n v="49970"/>
    <n v="15"/>
    <n v="424745"/>
    <n v="499700"/>
    <n v="74955"/>
    <x v="1"/>
    <s v="Funmi Eze"/>
    <x v="0"/>
    <x v="8"/>
    <x v="1"/>
  </r>
  <r>
    <s v="TXN-01349"/>
    <d v="2025-09-24T00:00:00"/>
    <x v="4"/>
    <s v="North-West"/>
    <x v="3"/>
    <s v="Wristwatch"/>
    <n v="4"/>
    <n v="3510"/>
    <n v="0"/>
    <n v="14040"/>
    <n v="14040"/>
    <n v="0"/>
    <x v="3"/>
    <s v="Ifeoma Adeyemi"/>
    <x v="0"/>
    <x v="0"/>
    <x v="1"/>
  </r>
  <r>
    <s v="TXN-00084"/>
    <d v="2025-12-02T00:00:00"/>
    <x v="4"/>
    <s v="North-West"/>
    <x v="3"/>
    <s v="Office Blazer"/>
    <n v="9"/>
    <n v="66580"/>
    <n v="10"/>
    <n v="539298"/>
    <n v="599220"/>
    <n v="59922"/>
    <x v="1"/>
    <s v="Ade Abubakar"/>
    <x v="0"/>
    <x v="11"/>
    <x v="1"/>
  </r>
  <r>
    <s v="TXN-01309"/>
    <d v="2025-01-13T00:00:00"/>
    <x v="5"/>
    <s v="South-West"/>
    <x v="1"/>
    <s v="Bluetooth Speaker"/>
    <n v="5"/>
    <n v="1200"/>
    <n v="0"/>
    <n v="6000"/>
    <n v="6000"/>
    <n v="0"/>
    <x v="2"/>
    <s v="Grace Okafor"/>
    <x v="0"/>
    <x v="7"/>
    <x v="0"/>
  </r>
  <r>
    <s v="TXN-00995"/>
    <d v="2025-04-02T00:00:00"/>
    <x v="2"/>
    <s v="South-East"/>
    <x v="1"/>
    <s v="Home Theatre System"/>
    <n v="12"/>
    <n v="12400"/>
    <n v="5"/>
    <n v="141360"/>
    <n v="148800"/>
    <n v="7440"/>
    <x v="0"/>
    <s v="Mary Nnamdi"/>
    <x v="0"/>
    <x v="4"/>
    <x v="0"/>
  </r>
  <r>
    <s v="TXN-01198"/>
    <d v="2025-02-02T00:00:00"/>
    <x v="3"/>
    <s v="South-South"/>
    <x v="1"/>
    <s v="Microwave Oven"/>
    <n v="7"/>
    <n v="10880"/>
    <n v="0"/>
    <n v="76160"/>
    <n v="76160"/>
    <n v="0"/>
    <x v="2"/>
    <s v="Amaka Onwuka"/>
    <x v="0"/>
    <x v="8"/>
    <x v="1"/>
  </r>
  <r>
    <s v="TXN-01291"/>
    <d v="2025-11-20T00:00:00"/>
    <x v="4"/>
    <s v="South-South"/>
    <x v="1"/>
    <s v="Standing Fan"/>
    <n v="1"/>
    <n v="18250"/>
    <n v="0"/>
    <n v="18250"/>
    <n v="18250"/>
    <n v="0"/>
    <x v="0"/>
    <s v="Mary Nnamdi"/>
    <x v="0"/>
    <x v="3"/>
    <x v="0"/>
  </r>
  <r>
    <s v="TXN-00017"/>
    <d v="2025-04-18T00:00:00"/>
    <x v="3"/>
    <s v="South-South"/>
    <x v="2"/>
    <s v="Bedsheet Set"/>
    <n v="1"/>
    <n v="490"/>
    <n v="15"/>
    <n v="416.5"/>
    <n v="490"/>
    <n v="73.5"/>
    <x v="0"/>
    <s v="Obinna Yusuf"/>
    <x v="0"/>
    <x v="4"/>
    <x v="0"/>
  </r>
  <r>
    <s v="TXN-00637"/>
    <d v="2025-09-11T00:00:00"/>
    <x v="1"/>
    <s v="South-West"/>
    <x v="1"/>
    <s v="Power Bank 20000mAh"/>
    <n v="6"/>
    <n v="3470"/>
    <n v="0"/>
    <n v="20820"/>
    <n v="20820"/>
    <n v="0"/>
    <x v="3"/>
    <s v="Uche Okoro"/>
    <x v="0"/>
    <x v="0"/>
    <x v="0"/>
  </r>
  <r>
    <s v="TXN-00159"/>
    <d v="2025-12-31T00:00:00"/>
    <x v="2"/>
    <s v="South-East"/>
    <x v="2"/>
    <s v="Non-stick Frying Pan"/>
    <n v="1"/>
    <n v="9210"/>
    <n v="0"/>
    <n v="9210"/>
    <n v="9210"/>
    <n v="0"/>
    <x v="0"/>
    <s v="Mary Nnamdi"/>
    <x v="0"/>
    <x v="11"/>
    <x v="0"/>
  </r>
  <r>
    <s v="TXN-00750"/>
    <d v="2025-07-22T00:00:00"/>
    <x v="0"/>
    <s v="North-Central"/>
    <x v="4"/>
    <s v="Semovita 2kg"/>
    <n v="7"/>
    <n v="16310"/>
    <n v="15"/>
    <n v="97044.5"/>
    <n v="114170"/>
    <n v="17125.5"/>
    <x v="1"/>
    <s v="Segun Chukwu"/>
    <x v="0"/>
    <x v="10"/>
    <x v="1"/>
  </r>
  <r>
    <s v="TXN-00645"/>
    <d v="2025-05-20T00:00:00"/>
    <x v="2"/>
    <s v="South-East"/>
    <x v="4"/>
    <s v="Milo 500g"/>
    <n v="3"/>
    <n v="24990"/>
    <n v="10"/>
    <n v="67473"/>
    <n v="74970"/>
    <n v="7497"/>
    <x v="3"/>
    <s v="Chidera Bello"/>
    <x v="0"/>
    <x v="5"/>
    <x v="0"/>
  </r>
  <r>
    <s v="TXN-00572"/>
    <d v="2025-03-07T00:00:00"/>
    <x v="4"/>
    <s v="North-West"/>
    <x v="1"/>
    <s v="Home Theatre System"/>
    <n v="1"/>
    <n v="65950"/>
    <n v="0"/>
    <n v="65950"/>
    <n v="65950"/>
    <n v="0"/>
    <x v="0"/>
    <s v="Ade Abubakar"/>
    <x v="0"/>
    <x v="9"/>
    <x v="1"/>
  </r>
  <r>
    <s v="TXN-01089"/>
    <d v="2025-06-12T00:00:00"/>
    <x v="3"/>
    <s v="South-South"/>
    <x v="0"/>
    <s v="Toothpaste Pack"/>
    <n v="2"/>
    <n v="2310"/>
    <n v="0"/>
    <n v="4620"/>
    <n v="4620"/>
    <n v="0"/>
    <x v="0"/>
    <s v="Segun Chukwu"/>
    <x v="0"/>
    <x v="1"/>
    <x v="1"/>
  </r>
  <r>
    <s v="TXN-01180"/>
    <d v="2025-10-01T00:00:00"/>
    <x v="3"/>
    <s v="South-South"/>
    <x v="0"/>
    <s v="Deodorant Roll-on"/>
    <n v="5"/>
    <n v="2290"/>
    <n v="0"/>
    <n v="11450"/>
    <n v="11450"/>
    <n v="0"/>
    <x v="3"/>
    <s v="Obinna Yusuf"/>
    <x v="0"/>
    <x v="6"/>
    <x v="0"/>
  </r>
  <r>
    <s v="TXN-00486"/>
    <d v="2025-03-12T00:00:00"/>
    <x v="5"/>
    <s v="South-West"/>
    <x v="4"/>
    <s v="Dinner Set"/>
    <n v="9"/>
    <n v="4510"/>
    <n v="0"/>
    <n v="40590"/>
    <n v="40590"/>
    <n v="0"/>
    <x v="2"/>
    <s v="Tunde Balogun"/>
    <x v="0"/>
    <x v="9"/>
    <x v="0"/>
  </r>
  <r>
    <s v="TXN-00089"/>
    <d v="2025-11-10T00:00:00"/>
    <x v="5"/>
    <s v="South-West"/>
    <x v="4"/>
    <s v="Indomie Carton"/>
    <n v="8"/>
    <n v="18780"/>
    <n v="0"/>
    <n v="150240"/>
    <n v="150240"/>
    <n v="0"/>
    <x v="0"/>
    <s v="Ifeoma Adeyemi"/>
    <x v="0"/>
    <x v="3"/>
    <x v="1"/>
  </r>
  <r>
    <s v="TXN-00696"/>
    <d v="2025-05-30T00:00:00"/>
    <x v="2"/>
    <s v="South-East"/>
    <x v="1"/>
    <s v="Power Bank 20000mAh"/>
    <n v="6"/>
    <n v="530"/>
    <n v="0"/>
    <n v="3180"/>
    <n v="3180"/>
    <n v="0"/>
    <x v="1"/>
    <s v="Peter Adekunle"/>
    <x v="0"/>
    <x v="5"/>
    <x v="0"/>
  </r>
  <r>
    <s v="TXN-00718"/>
    <d v="2025-09-03T00:00:00"/>
    <x v="3"/>
    <s v="South-South"/>
    <x v="3"/>
    <s v="Denim Jeans"/>
    <n v="1"/>
    <n v="3260"/>
    <n v="0"/>
    <n v="3260"/>
    <n v="3260"/>
    <n v="0"/>
    <x v="3"/>
    <s v="Chinwe Etim"/>
    <x v="0"/>
    <x v="0"/>
    <x v="1"/>
  </r>
  <r>
    <s v="TXN-00686"/>
    <d v="2025-09-12T00:00:00"/>
    <x v="0"/>
    <s v="North-Central"/>
    <x v="2"/>
    <s v="Bedsheet Set"/>
    <n v="8"/>
    <n v="13120"/>
    <n v="0"/>
    <n v="104960"/>
    <n v="104960"/>
    <n v="0"/>
    <x v="0"/>
    <s v="Grace Okafor"/>
    <x v="0"/>
    <x v="0"/>
    <x v="1"/>
  </r>
  <r>
    <s v="TXN-00569"/>
    <d v="2025-07-05T00:00:00"/>
    <x v="5"/>
    <s v="South-West"/>
    <x v="1"/>
    <s v="Bluetooth Speaker"/>
    <n v="9"/>
    <n v="28000"/>
    <n v="0"/>
    <n v="252000"/>
    <n v="252000"/>
    <n v="0"/>
    <x v="0"/>
    <s v="Ifeoma Adeyemi"/>
    <x v="0"/>
    <x v="10"/>
    <x v="0"/>
  </r>
  <r>
    <s v="TXN-00465"/>
    <d v="2025-02-19T00:00:00"/>
    <x v="4"/>
    <s v="North-West"/>
    <x v="3"/>
    <s v="Ladies Ankara Gown"/>
    <n v="1"/>
    <n v="5440"/>
    <n v="0"/>
    <n v="5440"/>
    <n v="5440"/>
    <n v="0"/>
    <x v="1"/>
    <s v="Ifeoma Adeyemi"/>
    <x v="0"/>
    <x v="8"/>
    <x v="0"/>
  </r>
  <r>
    <s v="TXN-01454"/>
    <d v="2025-05-25T00:00:00"/>
    <x v="4"/>
    <s v="North-West"/>
    <x v="2"/>
    <s v="Storage Basket"/>
    <n v="10"/>
    <n v="470"/>
    <n v="10"/>
    <n v="4230"/>
    <n v="4700"/>
    <n v="470"/>
    <x v="3"/>
    <s v="Segun Chukwu"/>
    <x v="0"/>
    <x v="5"/>
    <x v="0"/>
  </r>
  <r>
    <s v="TXN-00237"/>
    <d v="2025-12-22T00:00:00"/>
    <x v="0"/>
    <s v="North-Central"/>
    <x v="2"/>
    <s v="Non-stick Frying Pan"/>
    <n v="10"/>
    <n v="19860"/>
    <n v="10"/>
    <n v="178740"/>
    <n v="198600"/>
    <n v="19860"/>
    <x v="1"/>
    <s v="Mary Nnamdi"/>
    <x v="0"/>
    <x v="11"/>
    <x v="1"/>
  </r>
  <r>
    <s v="TXN-01295"/>
    <d v="2025-02-08T00:00:00"/>
    <x v="0"/>
    <s v="North-Central"/>
    <x v="3"/>
    <s v="School Sandals"/>
    <n v="12"/>
    <n v="1370"/>
    <n v="0"/>
    <n v="16440"/>
    <n v="16440"/>
    <n v="0"/>
    <x v="3"/>
    <s v="Funmi Eze"/>
    <x v="0"/>
    <x v="8"/>
    <x v="0"/>
  </r>
  <r>
    <s v="TXN-00222"/>
    <d v="2025-10-25T00:00:00"/>
    <x v="1"/>
    <s v="South-West"/>
    <x v="4"/>
    <s v="Milo 500g"/>
    <n v="1"/>
    <n v="59730"/>
    <n v="0"/>
    <n v="59730"/>
    <n v="59730"/>
    <n v="0"/>
    <x v="1"/>
    <s v="Kelechi Nwosu"/>
    <x v="0"/>
    <x v="6"/>
    <x v="1"/>
  </r>
  <r>
    <s v="TXN-00885"/>
    <d v="2025-03-23T00:00:00"/>
    <x v="3"/>
    <s v="South-South"/>
    <x v="0"/>
    <s v="Baby Diaper Pack"/>
    <n v="5"/>
    <n v="26310"/>
    <n v="0"/>
    <n v="131550"/>
    <n v="131550"/>
    <n v="0"/>
    <x v="2"/>
    <s v="Ngozi Ibrahim"/>
    <x v="0"/>
    <x v="9"/>
    <x v="1"/>
  </r>
  <r>
    <s v="TXN-00731"/>
    <d v="2025-11-05T00:00:00"/>
    <x v="5"/>
    <s v="South-West"/>
    <x v="1"/>
    <s v="Power Bank 20000mAh"/>
    <n v="2"/>
    <n v="5390"/>
    <n v="15"/>
    <n v="9163"/>
    <n v="10780"/>
    <n v="1617"/>
    <x v="3"/>
    <s v="Funmi Eze"/>
    <x v="0"/>
    <x v="3"/>
    <x v="1"/>
  </r>
  <r>
    <s v="TXN-00725"/>
    <d v="2025-11-26T00:00:00"/>
    <x v="2"/>
    <s v="South-East"/>
    <x v="0"/>
    <s v="Deodorant Roll-on"/>
    <n v="7"/>
    <n v="20080"/>
    <n v="15"/>
    <n v="119476"/>
    <n v="140560"/>
    <n v="21084"/>
    <x v="0"/>
    <s v="Uche Okoro"/>
    <x v="0"/>
    <x v="3"/>
    <x v="1"/>
  </r>
  <r>
    <s v="TXN-01045"/>
    <d v="2025-02-16T00:00:00"/>
    <x v="6"/>
    <s v="South-South"/>
    <x v="4"/>
    <s v="Rice 50kg Bag"/>
    <n v="10"/>
    <n v="11000"/>
    <n v="0"/>
    <n v="110000"/>
    <n v="110000"/>
    <n v="0"/>
    <x v="1"/>
    <s v="Ade Abubakar"/>
    <x v="0"/>
    <x v="8"/>
    <x v="1"/>
  </r>
  <r>
    <s v="TXN-00054"/>
    <d v="2025-10-13T00:00:00"/>
    <x v="2"/>
    <s v="South-East"/>
    <x v="2"/>
    <s v="Non-stick Frying Pan"/>
    <n v="4"/>
    <n v="2720"/>
    <n v="0"/>
    <n v="10880"/>
    <n v="10880"/>
    <n v="0"/>
    <x v="2"/>
    <s v="Tunde Balogun"/>
    <x v="0"/>
    <x v="6"/>
    <x v="0"/>
  </r>
  <r>
    <s v="TXN-00206"/>
    <d v="2025-03-12T00:00:00"/>
    <x v="4"/>
    <s v="North-West"/>
    <x v="0"/>
    <s v="Toothpaste Pack"/>
    <n v="8"/>
    <n v="8570"/>
    <n v="0"/>
    <n v="68560"/>
    <n v="68560"/>
    <n v="0"/>
    <x v="1"/>
    <s v="Grace Okafor"/>
    <x v="0"/>
    <x v="9"/>
    <x v="1"/>
  </r>
  <r>
    <s v="TXN-00012"/>
    <d v="2025-10-24T00:00:00"/>
    <x v="6"/>
    <s v="South-South"/>
    <x v="3"/>
    <s v="Kids Sneakers"/>
    <n v="4"/>
    <n v="2370"/>
    <n v="0"/>
    <n v="9480"/>
    <n v="9480"/>
    <n v="0"/>
    <x v="2"/>
    <s v="Obinna Yusuf"/>
    <x v="0"/>
    <x v="6"/>
    <x v="1"/>
  </r>
  <r>
    <s v="TXN-00347"/>
    <d v="2025-03-08T00:00:00"/>
    <x v="3"/>
    <s v="South-South"/>
    <x v="4"/>
    <s v="Semovita 2kg"/>
    <n v="5"/>
    <n v="7060"/>
    <n v="15"/>
    <n v="30005"/>
    <n v="35300"/>
    <n v="5295"/>
    <x v="1"/>
    <s v="Tunde Balogun"/>
    <x v="0"/>
    <x v="9"/>
    <x v="0"/>
  </r>
  <r>
    <s v="TXN-00530"/>
    <d v="2025-12-12T00:00:00"/>
    <x v="6"/>
    <s v="South-South"/>
    <x v="2"/>
    <s v="Plastic Chair Set"/>
    <n v="6"/>
    <n v="2560"/>
    <n v="0"/>
    <n v="15360"/>
    <n v="15360"/>
    <n v="0"/>
    <x v="3"/>
    <s v="Ade Abubakar"/>
    <x v="0"/>
    <x v="11"/>
    <x v="1"/>
  </r>
  <r>
    <s v="TXN-00617"/>
    <d v="2025-09-25T00:00:00"/>
    <x v="1"/>
    <s v="South-West"/>
    <x v="3"/>
    <s v="Handbag"/>
    <n v="5"/>
    <n v="1210"/>
    <n v="10"/>
    <n v="5445"/>
    <n v="6050"/>
    <n v="605"/>
    <x v="3"/>
    <s v="Ifeoma Adeyemi"/>
    <x v="0"/>
    <x v="0"/>
    <x v="1"/>
  </r>
  <r>
    <s v="TXN-01380"/>
    <d v="2025-06-29T00:00:00"/>
    <x v="1"/>
    <s v="South-West"/>
    <x v="4"/>
    <s v="Vegetable Oil 5L"/>
    <n v="6"/>
    <n v="28480"/>
    <n v="0"/>
    <n v="170880"/>
    <n v="170880"/>
    <n v="0"/>
    <x v="1"/>
    <s v="Segun Chukwu"/>
    <x v="0"/>
    <x v="1"/>
    <x v="0"/>
  </r>
  <r>
    <s v="TXN-01124"/>
    <d v="2025-05-02T00:00:00"/>
    <x v="1"/>
    <s v="South-West"/>
    <x v="4"/>
    <s v="Milo 500g"/>
    <n v="11"/>
    <n v="3710"/>
    <n v="0"/>
    <n v="40810"/>
    <n v="40810"/>
    <n v="0"/>
    <x v="0"/>
    <s v="Ade Abubakar"/>
    <x v="0"/>
    <x v="5"/>
    <x v="1"/>
  </r>
  <r>
    <s v="TXN-00481"/>
    <d v="2025-04-12T00:00:00"/>
    <x v="5"/>
    <s v="South-West"/>
    <x v="3"/>
    <s v="Men's Polo Shirt"/>
    <n v="9"/>
    <n v="570"/>
    <n v="10"/>
    <n v="4617"/>
    <n v="5130"/>
    <n v="513"/>
    <x v="1"/>
    <s v="Ngozi Ibrahim"/>
    <x v="0"/>
    <x v="4"/>
    <x v="1"/>
  </r>
  <r>
    <s v="TXN-00573"/>
    <d v="2025-07-12T00:00:00"/>
    <x v="4"/>
    <s v="North-West"/>
    <x v="4"/>
    <s v="Milo 500g"/>
    <n v="11"/>
    <n v="8250"/>
    <n v="0"/>
    <n v="90750"/>
    <n v="90750"/>
    <n v="0"/>
    <x v="1"/>
    <s v="Mary Nnamdi"/>
    <x v="0"/>
    <x v="10"/>
    <x v="1"/>
  </r>
  <r>
    <s v="TXN-00459"/>
    <d v="2025-07-16T00:00:00"/>
    <x v="3"/>
    <s v="South-South"/>
    <x v="1"/>
    <s v="Home Theatre System"/>
    <n v="12"/>
    <n v="10220"/>
    <n v="15"/>
    <n v="104244"/>
    <n v="122640"/>
    <n v="18396"/>
    <x v="0"/>
    <s v="Tunde Balogun"/>
    <x v="0"/>
    <x v="10"/>
    <x v="1"/>
  </r>
  <r>
    <s v="TXN-00681"/>
    <d v="2025-03-15T00:00:00"/>
    <x v="1"/>
    <s v="South-West"/>
    <x v="2"/>
    <s v="Plastic Chair Set"/>
    <n v="8"/>
    <n v="6800"/>
    <n v="0"/>
    <n v="54400"/>
    <n v="54400"/>
    <n v="0"/>
    <x v="3"/>
    <s v="Mary Nnamdi"/>
    <x v="0"/>
    <x v="9"/>
    <x v="0"/>
  </r>
  <r>
    <s v="TXN-01232"/>
    <d v="2025-01-23T00:00:00"/>
    <x v="4"/>
    <s v="North-West"/>
    <x v="2"/>
    <s v="Laundry Basket"/>
    <n v="5"/>
    <n v="44120"/>
    <n v="0"/>
    <n v="220600"/>
    <n v="220600"/>
    <n v="0"/>
    <x v="1"/>
    <s v="Uche Okoro"/>
    <x v="0"/>
    <x v="7"/>
    <x v="1"/>
  </r>
  <r>
    <s v="TXN-00712"/>
    <d v="2025-05-30T00:00:00"/>
    <x v="2"/>
    <s v="South-East"/>
    <x v="0"/>
    <s v="Body Lotion 400ml"/>
    <n v="8"/>
    <n v="4900"/>
    <n v="5"/>
    <n v="37240"/>
    <n v="39200"/>
    <n v="1960"/>
    <x v="0"/>
    <s v="Mary Nnamdi"/>
    <x v="0"/>
    <x v="5"/>
    <x v="0"/>
  </r>
  <r>
    <s v="TXN-00289"/>
    <d v="2025-12-29T00:00:00"/>
    <x v="1"/>
    <s v="South-West"/>
    <x v="0"/>
    <s v="Bathing Soap Pack"/>
    <n v="10"/>
    <n v="13220"/>
    <n v="5"/>
    <n v="125590"/>
    <n v="132200"/>
    <n v="6610"/>
    <x v="0"/>
    <s v="Chidera Bello"/>
    <x v="0"/>
    <x v="11"/>
    <x v="1"/>
  </r>
  <r>
    <s v="TXN-00977"/>
    <d v="2025-04-24T00:00:00"/>
    <x v="6"/>
    <s v="South-South"/>
    <x v="1"/>
    <s v="LED TV 43&quot;"/>
    <n v="9"/>
    <n v="470"/>
    <n v="0"/>
    <n v="4230"/>
    <n v="4230"/>
    <n v="0"/>
    <x v="3"/>
    <s v="Grace Okafor"/>
    <x v="0"/>
    <x v="4"/>
    <x v="1"/>
  </r>
  <r>
    <s v="TXN-00218"/>
    <d v="2025-03-10T00:00:00"/>
    <x v="2"/>
    <s v="South-East"/>
    <x v="2"/>
    <s v="Plastic Chair Set"/>
    <n v="10"/>
    <n v="1090"/>
    <n v="0"/>
    <n v="10900"/>
    <n v="10900"/>
    <n v="0"/>
    <x v="3"/>
    <s v="Chidera Bello"/>
    <x v="0"/>
    <x v="9"/>
    <x v="0"/>
  </r>
  <r>
    <s v="TXN-01426"/>
    <d v="2025-12-19T00:00:00"/>
    <x v="5"/>
    <s v="South-West"/>
    <x v="2"/>
    <s v="Bedsheet Set"/>
    <n v="5"/>
    <n v="42420"/>
    <n v="0"/>
    <n v="212100"/>
    <n v="212100"/>
    <n v="0"/>
    <x v="2"/>
    <s v="Funmi Eze"/>
    <x v="0"/>
    <x v="11"/>
    <x v="0"/>
  </r>
  <r>
    <s v="TXN-01425"/>
    <d v="2025-04-09T00:00:00"/>
    <x v="3"/>
    <s v="South-West"/>
    <x v="3"/>
    <s v="Handbag"/>
    <n v="4"/>
    <n v="1340"/>
    <n v="0"/>
    <n v="5360"/>
    <n v="5360"/>
    <n v="0"/>
    <x v="2"/>
    <s v="Chidera Bello"/>
    <x v="0"/>
    <x v="4"/>
    <x v="0"/>
  </r>
  <r>
    <s v="TXN-01046"/>
    <d v="2025-06-14T00:00:00"/>
    <x v="6"/>
    <s v="South-South"/>
    <x v="2"/>
    <s v="Laundry Basket"/>
    <n v="12"/>
    <n v="12730"/>
    <n v="0"/>
    <n v="152760"/>
    <n v="152760"/>
    <n v="0"/>
    <x v="3"/>
    <s v="Kelechi Nwosu"/>
    <x v="0"/>
    <x v="1"/>
    <x v="0"/>
  </r>
  <r>
    <s v="TXN-00754"/>
    <d v="2025-11-18T00:00:00"/>
    <x v="0"/>
    <s v="North-Central"/>
    <x v="1"/>
    <s v="Home Theatre System"/>
    <n v="9"/>
    <n v="8580"/>
    <n v="0"/>
    <n v="77220"/>
    <n v="77220"/>
    <n v="0"/>
    <x v="0"/>
    <s v="Chidera Bello"/>
    <x v="0"/>
    <x v="3"/>
    <x v="0"/>
  </r>
  <r>
    <s v="TXN-00549"/>
    <d v="2025-02-26T00:00:00"/>
    <x v="3"/>
    <s v="South-South"/>
    <x v="4"/>
    <s v="Semovita 2kg"/>
    <n v="5"/>
    <n v="72610"/>
    <n v="0"/>
    <n v="363050"/>
    <n v="363050"/>
    <n v="0"/>
    <x v="0"/>
    <s v="Segun Chukwu"/>
    <x v="0"/>
    <x v="8"/>
    <x v="0"/>
  </r>
  <r>
    <s v="TXN-01306"/>
    <d v="2025-10-18T00:00:00"/>
    <x v="3"/>
    <s v="South-South"/>
    <x v="1"/>
    <s v="Rice Cooker"/>
    <n v="12"/>
    <n v="73300"/>
    <n v="10"/>
    <n v="791640"/>
    <n v="879600"/>
    <n v="87960"/>
    <x v="2"/>
    <s v="Funmi Eze"/>
    <x v="0"/>
    <x v="6"/>
    <x v="1"/>
  </r>
  <r>
    <s v="TXN-00205"/>
    <d v="2025-09-18T00:00:00"/>
    <x v="1"/>
    <s v="South-West"/>
    <x v="4"/>
    <s v="Indomie Carton"/>
    <n v="10"/>
    <n v="20410"/>
    <n v="0"/>
    <n v="204100"/>
    <n v="204100"/>
    <n v="0"/>
    <x v="2"/>
    <s v="Ifeoma Adeyemi"/>
    <x v="0"/>
    <x v="0"/>
    <x v="0"/>
  </r>
  <r>
    <s v="TXN-00962"/>
    <d v="2025-07-04T00:00:00"/>
    <x v="2"/>
    <s v="South-East"/>
    <x v="0"/>
    <s v="Bathing Soap Pack"/>
    <n v="2"/>
    <n v="1080"/>
    <n v="10"/>
    <n v="1944"/>
    <n v="2160"/>
    <n v="216"/>
    <x v="3"/>
    <s v="Kelechi Nwosu"/>
    <x v="0"/>
    <x v="10"/>
    <x v="1"/>
  </r>
  <r>
    <s v="TXN-00991"/>
    <d v="2025-06-15T00:00:00"/>
    <x v="5"/>
    <s v="South-West"/>
    <x v="4"/>
    <s v="Rice 50kg Bag"/>
    <n v="10"/>
    <n v="11800"/>
    <n v="0"/>
    <n v="118000"/>
    <n v="118000"/>
    <n v="0"/>
    <x v="0"/>
    <s v="Grace Okafor"/>
    <x v="0"/>
    <x v="1"/>
    <x v="1"/>
  </r>
  <r>
    <s v="TXN-01382"/>
    <d v="2025-10-20T00:00:00"/>
    <x v="5"/>
    <s v="South-West"/>
    <x v="2"/>
    <s v="Plastic Chair Set"/>
    <n v="5"/>
    <n v="40910"/>
    <n v="0"/>
    <n v="204550"/>
    <n v="204550"/>
    <n v="0"/>
    <x v="3"/>
    <s v="Chinwe Etim"/>
    <x v="0"/>
    <x v="6"/>
    <x v="1"/>
  </r>
  <r>
    <s v="TXN-01387"/>
    <d v="2025-05-05T00:00:00"/>
    <x v="2"/>
    <s v="South-East"/>
    <x v="3"/>
    <s v="Wristwatch"/>
    <n v="10"/>
    <n v="570"/>
    <n v="10"/>
    <n v="5130"/>
    <n v="5700"/>
    <n v="570"/>
    <x v="3"/>
    <s v="Amaka Onwuka"/>
    <x v="0"/>
    <x v="5"/>
    <x v="1"/>
  </r>
  <r>
    <s v="TXN-00092"/>
    <d v="2025-12-09T00:00:00"/>
    <x v="6"/>
    <s v="South-South"/>
    <x v="4"/>
    <s v="Baby Diaper Pack"/>
    <n v="11"/>
    <n v="25100"/>
    <n v="0"/>
    <n v="276100"/>
    <n v="276100"/>
    <n v="0"/>
    <x v="2"/>
    <s v="Funmi Eze"/>
    <x v="0"/>
    <x v="11"/>
    <x v="0"/>
  </r>
  <r>
    <s v="TXN-00267"/>
    <d v="2025-01-12T00:00:00"/>
    <x v="6"/>
    <s v="South-South"/>
    <x v="1"/>
    <s v="Home Theatre System"/>
    <n v="2"/>
    <n v="10190"/>
    <n v="0"/>
    <n v="20380"/>
    <n v="20380"/>
    <n v="0"/>
    <x v="0"/>
    <s v="Amaka Onwuka"/>
    <x v="0"/>
    <x v="7"/>
    <x v="1"/>
  </r>
  <r>
    <s v="TXN-01336"/>
    <d v="2025-04-30T00:00:00"/>
    <x v="5"/>
    <s v="South-West"/>
    <x v="4"/>
    <s v="Rice 50kg Bag"/>
    <n v="4"/>
    <n v="71560"/>
    <n v="0"/>
    <n v="286240"/>
    <n v="286240"/>
    <n v="0"/>
    <x v="0"/>
    <s v="Grace Okafor"/>
    <x v="0"/>
    <x v="4"/>
    <x v="1"/>
  </r>
  <r>
    <s v="TXN-01266"/>
    <d v="2025-12-14T00:00:00"/>
    <x v="2"/>
    <s v="South-East"/>
    <x v="3"/>
    <s v="Ladies Ankara Gown"/>
    <n v="4"/>
    <n v="2800"/>
    <n v="0"/>
    <n v="11200"/>
    <n v="11200"/>
    <n v="0"/>
    <x v="1"/>
    <s v="Tunde Balogun"/>
    <x v="0"/>
    <x v="11"/>
    <x v="0"/>
  </r>
  <r>
    <s v="TXN-00793"/>
    <d v="2025-04-05T00:00:00"/>
    <x v="6"/>
    <s v="South-South"/>
    <x v="4"/>
    <s v="LED TV 43&quot;"/>
    <n v="3"/>
    <n v="2280"/>
    <n v="0"/>
    <n v="6840"/>
    <n v="6840"/>
    <n v="0"/>
    <x v="0"/>
    <s v="Obinna Yusuf"/>
    <x v="0"/>
    <x v="4"/>
    <x v="0"/>
  </r>
  <r>
    <s v="TXN-00818"/>
    <d v="2025-09-02T00:00:00"/>
    <x v="5"/>
    <s v="South-West"/>
    <x v="2"/>
    <s v="Non-stick Frying Pan"/>
    <n v="12"/>
    <n v="5750"/>
    <n v="0"/>
    <n v="69000"/>
    <n v="69000"/>
    <n v="0"/>
    <x v="3"/>
    <s v="Mary Nnamdi"/>
    <x v="0"/>
    <x v="0"/>
    <x v="1"/>
  </r>
  <r>
    <s v="TXN-00348"/>
    <d v="2025-05-19T00:00:00"/>
    <x v="6"/>
    <s v="South-South"/>
    <x v="1"/>
    <s v="Rice Cooker"/>
    <n v="11"/>
    <n v="8300"/>
    <n v="10"/>
    <n v="82170"/>
    <n v="91300"/>
    <n v="9130"/>
    <x v="1"/>
    <s v="Chidera Bello"/>
    <x v="0"/>
    <x v="5"/>
    <x v="1"/>
  </r>
  <r>
    <s v="TXN-00862"/>
    <d v="2025-04-21T00:00:00"/>
    <x v="6"/>
    <s v="South-South"/>
    <x v="1"/>
    <s v="Rice Cooker"/>
    <n v="12"/>
    <n v="3300"/>
    <n v="0"/>
    <n v="39600"/>
    <n v="39600"/>
    <n v="0"/>
    <x v="0"/>
    <s v="Mary Nnamdi"/>
    <x v="0"/>
    <x v="4"/>
    <x v="1"/>
  </r>
  <r>
    <s v="TXN-01085"/>
    <d v="2025-08-07T00:00:00"/>
    <x v="1"/>
    <s v="South-West"/>
    <x v="4"/>
    <s v="Tomato Paste Carton"/>
    <n v="11"/>
    <n v="61770"/>
    <n v="0"/>
    <n v="679470"/>
    <n v="679470"/>
    <n v="0"/>
    <x v="2"/>
    <s v="Chinwe Etim"/>
    <x v="0"/>
    <x v="2"/>
    <x v="0"/>
  </r>
  <r>
    <s v="TXN-00308"/>
    <d v="2025-05-31T00:00:00"/>
    <x v="6"/>
    <s v="South-South"/>
    <x v="1"/>
    <s v="Standing Fan"/>
    <n v="7"/>
    <n v="27090"/>
    <n v="15"/>
    <n v="161185.5"/>
    <n v="189630"/>
    <n v="28444.5"/>
    <x v="1"/>
    <s v="Tunde Balogun"/>
    <x v="0"/>
    <x v="5"/>
    <x v="1"/>
  </r>
  <r>
    <s v="TXN-00371"/>
    <d v="2025-12-17T00:00:00"/>
    <x v="1"/>
    <s v="South-West"/>
    <x v="1"/>
    <s v="LED TV 43&quot;"/>
    <n v="5"/>
    <n v="5190"/>
    <n v="15"/>
    <n v="22057.5"/>
    <n v="25950"/>
    <n v="3892.5"/>
    <x v="2"/>
    <s v="Kelechi Nwosu"/>
    <x v="0"/>
    <x v="11"/>
    <x v="0"/>
  </r>
  <r>
    <s v="TXN-00296"/>
    <d v="2025-04-16T00:00:00"/>
    <x v="2"/>
    <s v="South-East"/>
    <x v="4"/>
    <s v="Microwave Oven"/>
    <n v="10"/>
    <n v="4640"/>
    <n v="0"/>
    <n v="46400"/>
    <n v="46400"/>
    <n v="0"/>
    <x v="1"/>
    <s v="Ade Abubakar"/>
    <x v="0"/>
    <x v="4"/>
    <x v="0"/>
  </r>
  <r>
    <s v="TXN-01161"/>
    <d v="2025-10-26T00:00:00"/>
    <x v="3"/>
    <s v="South-South"/>
    <x v="3"/>
    <s v="Denim Jeans"/>
    <n v="1"/>
    <n v="8030"/>
    <n v="10"/>
    <n v="7227"/>
    <n v="8030"/>
    <n v="803"/>
    <x v="3"/>
    <s v="Tunde Balogun"/>
    <x v="0"/>
    <x v="6"/>
    <x v="0"/>
  </r>
  <r>
    <s v="TXN-00654"/>
    <d v="2025-05-30T00:00:00"/>
    <x v="4"/>
    <s v="North-West"/>
    <x v="2"/>
    <s v="Non-stick Frying Pan"/>
    <n v="12"/>
    <n v="12240"/>
    <n v="0"/>
    <n v="146880"/>
    <n v="146880"/>
    <n v="0"/>
    <x v="1"/>
    <s v="Kelechi Nwosu"/>
    <x v="0"/>
    <x v="5"/>
    <x v="0"/>
  </r>
  <r>
    <s v="TXN-00210"/>
    <d v="2025-11-21T00:00:00"/>
    <x v="0"/>
    <s v="North-Central"/>
    <x v="0"/>
    <s v="Shea Butter Cream"/>
    <n v="8"/>
    <n v="3690"/>
    <n v="5"/>
    <n v="28044"/>
    <n v="29520"/>
    <n v="1476"/>
    <x v="3"/>
    <s v="Ifeoma Adeyemi"/>
    <x v="0"/>
    <x v="3"/>
    <x v="1"/>
  </r>
  <r>
    <s v="TXN-00635"/>
    <d v="2025-04-15T00:00:00"/>
    <x v="4"/>
    <s v="North-West"/>
    <x v="1"/>
    <s v="Rice Cooker"/>
    <n v="3"/>
    <n v="4880"/>
    <n v="0"/>
    <n v="14640"/>
    <n v="14640"/>
    <n v="0"/>
    <x v="1"/>
    <s v="Ngozi Ibrahim"/>
    <x v="0"/>
    <x v="4"/>
    <x v="0"/>
  </r>
  <r>
    <s v="TXN-00071"/>
    <d v="2025-08-07T00:00:00"/>
    <x v="0"/>
    <s v="North-Central"/>
    <x v="0"/>
    <s v="Shea Butter Cream"/>
    <n v="1"/>
    <n v="5080"/>
    <n v="0"/>
    <n v="5080"/>
    <n v="5080"/>
    <n v="0"/>
    <x v="0"/>
    <s v="Amaka Onwuka"/>
    <x v="0"/>
    <x v="2"/>
    <x v="0"/>
  </r>
  <r>
    <s v="TXN-00331"/>
    <d v="2025-06-08T00:00:00"/>
    <x v="1"/>
    <s v="South-West"/>
    <x v="1"/>
    <s v="Electric Kettle"/>
    <n v="9"/>
    <n v="13000"/>
    <n v="0"/>
    <n v="117000"/>
    <n v="117000"/>
    <n v="0"/>
    <x v="2"/>
    <s v="Ifeoma Adeyemi"/>
    <x v="0"/>
    <x v="1"/>
    <x v="0"/>
  </r>
  <r>
    <s v="TXN-00912"/>
    <d v="2025-03-19T00:00:00"/>
    <x v="3"/>
    <s v="South-South"/>
    <x v="4"/>
    <s v="Indomie Carton"/>
    <n v="11"/>
    <n v="2500"/>
    <n v="0"/>
    <n v="27500"/>
    <n v="27500"/>
    <n v="0"/>
    <x v="0"/>
    <s v="Chinwe Etim"/>
    <x v="0"/>
    <x v="9"/>
    <x v="0"/>
  </r>
  <r>
    <s v="TXN-00543"/>
    <d v="2025-11-07T00:00:00"/>
    <x v="2"/>
    <s v="South-East"/>
    <x v="2"/>
    <s v="Curtain Set"/>
    <n v="4"/>
    <n v="24890"/>
    <n v="15"/>
    <n v="84626"/>
    <n v="99560"/>
    <n v="14934"/>
    <x v="1"/>
    <s v="Peter Adekunle"/>
    <x v="0"/>
    <x v="3"/>
    <x v="0"/>
  </r>
  <r>
    <s v="TXN-00823"/>
    <d v="2025-02-24T00:00:00"/>
    <x v="1"/>
    <s v="South-West"/>
    <x v="1"/>
    <s v="Home Theatre System"/>
    <n v="5"/>
    <n v="19900"/>
    <n v="0"/>
    <n v="99500"/>
    <n v="99500"/>
    <n v="0"/>
    <x v="1"/>
    <s v="Ngozi Ibrahim"/>
    <x v="0"/>
    <x v="8"/>
    <x v="1"/>
  </r>
  <r>
    <s v="TXN-01055"/>
    <d v="2025-04-30T00:00:00"/>
    <x v="5"/>
    <s v="South-West"/>
    <x v="1"/>
    <s v="Rice Cooker"/>
    <n v="12"/>
    <n v="8170"/>
    <n v="0"/>
    <n v="98040"/>
    <n v="98040"/>
    <n v="0"/>
    <x v="0"/>
    <s v="Peter Adekunle"/>
    <x v="0"/>
    <x v="4"/>
    <x v="1"/>
  </r>
  <r>
    <s v="TXN-01079"/>
    <d v="2025-08-14T00:00:00"/>
    <x v="3"/>
    <s v="South-South"/>
    <x v="0"/>
    <s v="Shea Butter Cream"/>
    <n v="11"/>
    <n v="3970"/>
    <n v="10"/>
    <n v="39303"/>
    <n v="43670"/>
    <n v="4367"/>
    <x v="1"/>
    <s v="Amaka Onwuka"/>
    <x v="0"/>
    <x v="2"/>
    <x v="1"/>
  </r>
  <r>
    <s v="TXN-00049"/>
    <d v="2025-01-24T00:00:00"/>
    <x v="2"/>
    <s v="South-East"/>
    <x v="1"/>
    <s v="Electric Kettle"/>
    <n v="5"/>
    <n v="11300"/>
    <n v="0"/>
    <n v="56500"/>
    <n v="56500"/>
    <n v="0"/>
    <x v="0"/>
    <s v="Chinwe Etim"/>
    <x v="0"/>
    <x v="7"/>
    <x v="0"/>
  </r>
  <r>
    <s v="TXN-00411"/>
    <d v="2025-10-01T00:00:00"/>
    <x v="1"/>
    <s v="South-West"/>
    <x v="0"/>
    <s v="Toothpaste Pack"/>
    <n v="2"/>
    <n v="20240"/>
    <n v="0"/>
    <n v="40480"/>
    <n v="40480"/>
    <n v="0"/>
    <x v="0"/>
    <s v="Mary Nnamdi"/>
    <x v="0"/>
    <x v="6"/>
    <x v="1"/>
  </r>
  <r>
    <s v="TXN-00311"/>
    <d v="2025-01-09T00:00:00"/>
    <x v="5"/>
    <s v="South-West"/>
    <x v="0"/>
    <s v="Deodorant Roll-on"/>
    <n v="8"/>
    <n v="1100"/>
    <n v="0"/>
    <n v="8800"/>
    <n v="8800"/>
    <n v="0"/>
    <x v="3"/>
    <s v="Ifeoma Adeyemi"/>
    <x v="0"/>
    <x v="7"/>
    <x v="1"/>
  </r>
  <r>
    <s v="TXN-01061"/>
    <d v="2025-10-22T00:00:00"/>
    <x v="1"/>
    <s v="South-West"/>
    <x v="0"/>
    <s v="Perfume 100ml"/>
    <n v="7"/>
    <n v="25290"/>
    <n v="10"/>
    <n v="159327"/>
    <n v="177030"/>
    <n v="17703"/>
    <x v="3"/>
    <s v="Chinwe Etim"/>
    <x v="0"/>
    <x v="6"/>
    <x v="1"/>
  </r>
  <r>
    <s v="TXN-00394"/>
    <d v="2025-08-18T00:00:00"/>
    <x v="3"/>
    <s v="South-South"/>
    <x v="2"/>
    <s v="Dinner Set"/>
    <n v="11"/>
    <n v="1230"/>
    <n v="15"/>
    <n v="11500.5"/>
    <n v="13530"/>
    <n v="2029.5"/>
    <x v="0"/>
    <s v="Uche Okoro"/>
    <x v="0"/>
    <x v="2"/>
    <x v="1"/>
  </r>
  <r>
    <s v="TXN-00250"/>
    <d v="2025-06-26T00:00:00"/>
    <x v="0"/>
    <s v="South-West"/>
    <x v="2"/>
    <s v="Dinner Set"/>
    <n v="9"/>
    <n v="4510"/>
    <n v="0"/>
    <n v="40590"/>
    <n v="40590"/>
    <n v="0"/>
    <x v="0"/>
    <s v="Grace Okafor"/>
    <x v="0"/>
    <x v="1"/>
    <x v="0"/>
  </r>
  <r>
    <s v="TXN-00503"/>
    <d v="2025-11-25T00:00:00"/>
    <x v="1"/>
    <s v="South-West"/>
    <x v="4"/>
    <s v="Milo 500g"/>
    <n v="5"/>
    <n v="5660"/>
    <n v="0"/>
    <n v="28300"/>
    <n v="28300"/>
    <n v="0"/>
    <x v="2"/>
    <s v="Ifeoma Adeyemi"/>
    <x v="0"/>
    <x v="3"/>
    <x v="0"/>
  </r>
  <r>
    <s v="TXN-00542"/>
    <d v="2025-07-21T00:00:00"/>
    <x v="0"/>
    <s v="North-Central"/>
    <x v="3"/>
    <s v="Wristwatch"/>
    <n v="4"/>
    <n v="3370"/>
    <n v="10"/>
    <n v="12132"/>
    <n v="13480"/>
    <n v="1348"/>
    <x v="3"/>
    <s v="Obinna Yusuf"/>
    <x v="0"/>
    <x v="10"/>
    <x v="1"/>
  </r>
  <r>
    <s v="TXN-00986"/>
    <d v="2025-12-18T00:00:00"/>
    <x v="2"/>
    <s v="South-East"/>
    <x v="2"/>
    <s v="Bedsheet Set"/>
    <n v="4"/>
    <n v="8170"/>
    <n v="15"/>
    <n v="27778"/>
    <n v="32680"/>
    <n v="4902"/>
    <x v="2"/>
    <s v="Chidera Bello"/>
    <x v="0"/>
    <x v="11"/>
    <x v="1"/>
  </r>
  <r>
    <s v="TXN-00220"/>
    <d v="2025-12-11T00:00:00"/>
    <x v="2"/>
    <s v="South-East"/>
    <x v="4"/>
    <s v="Vegetable Oil 5L"/>
    <n v="8"/>
    <n v="3430"/>
    <n v="15"/>
    <n v="23324"/>
    <n v="27440"/>
    <n v="4116"/>
    <x v="1"/>
    <s v="Grace Okafor"/>
    <x v="0"/>
    <x v="11"/>
    <x v="0"/>
  </r>
  <r>
    <s v="TXN-01116"/>
    <d v="2025-07-11T00:00:00"/>
    <x v="6"/>
    <s v="South-South"/>
    <x v="1"/>
    <s v="Rice Cooker"/>
    <n v="12"/>
    <n v="20160"/>
    <n v="10"/>
    <n v="217728"/>
    <n v="241920"/>
    <n v="24192"/>
    <x v="0"/>
    <s v="Mary Nnamdi"/>
    <x v="0"/>
    <x v="10"/>
    <x v="1"/>
  </r>
  <r>
    <s v="TXN-00682"/>
    <d v="2025-06-09T00:00:00"/>
    <x v="3"/>
    <s v="South-South"/>
    <x v="1"/>
    <s v="Standing Fan"/>
    <n v="10"/>
    <n v="18180"/>
    <n v="0"/>
    <n v="181800"/>
    <n v="181800"/>
    <n v="0"/>
    <x v="1"/>
    <s v="Tunde Balogun"/>
    <x v="0"/>
    <x v="1"/>
    <x v="1"/>
  </r>
  <r>
    <s v="TXN-00761"/>
    <d v="2025-10-14T00:00:00"/>
    <x v="5"/>
    <s v="South-West"/>
    <x v="4"/>
    <s v="Indomie Carton"/>
    <n v="10"/>
    <n v="41000"/>
    <n v="0"/>
    <n v="410000"/>
    <n v="410000"/>
    <n v="0"/>
    <x v="1"/>
    <s v="Mary Nnamdi"/>
    <x v="0"/>
    <x v="6"/>
    <x v="1"/>
  </r>
  <r>
    <s v="TXN-01264"/>
    <d v="2025-12-25T00:00:00"/>
    <x v="6"/>
    <s v="South-South"/>
    <x v="3"/>
    <s v="Kids Sneakers"/>
    <n v="8"/>
    <n v="1330"/>
    <n v="5"/>
    <n v="10108"/>
    <n v="10640"/>
    <n v="532"/>
    <x v="3"/>
    <s v="Uche Okoro"/>
    <x v="0"/>
    <x v="11"/>
    <x v="0"/>
  </r>
  <r>
    <s v="TXN-00497"/>
    <d v="2025-06-07T00:00:00"/>
    <x v="4"/>
    <s v="North-West"/>
    <x v="3"/>
    <s v="Men's Polo Shirt"/>
    <n v="2"/>
    <n v="41080"/>
    <n v="10"/>
    <n v="73944"/>
    <n v="82160"/>
    <n v="8216"/>
    <x v="1"/>
    <s v="Chidera Bello"/>
    <x v="0"/>
    <x v="1"/>
    <x v="1"/>
  </r>
  <r>
    <s v="TXN-00065"/>
    <d v="2025-10-18T00:00:00"/>
    <x v="5"/>
    <s v="South-West"/>
    <x v="3"/>
    <s v="Handbag"/>
    <n v="12"/>
    <n v="2480"/>
    <n v="15"/>
    <n v="25296"/>
    <n v="29760"/>
    <n v="4464"/>
    <x v="2"/>
    <s v="Tunde Balogun"/>
    <x v="0"/>
    <x v="6"/>
    <x v="1"/>
  </r>
  <r>
    <s v="TXN-00716"/>
    <d v="2025-07-13T00:00:00"/>
    <x v="2"/>
    <s v="South-East"/>
    <x v="0"/>
    <s v="Baby Diaper Pack"/>
    <n v="7"/>
    <n v="9650"/>
    <n v="0"/>
    <n v="67550"/>
    <n v="67550"/>
    <n v="0"/>
    <x v="1"/>
    <s v="Ngozi Ibrahim"/>
    <x v="0"/>
    <x v="10"/>
    <x v="1"/>
  </r>
  <r>
    <s v="TXN-01129"/>
    <d v="2025-05-02T00:00:00"/>
    <x v="3"/>
    <s v="South-South"/>
    <x v="1"/>
    <s v="Rice Cooker"/>
    <n v="11"/>
    <n v="27090"/>
    <n v="0"/>
    <n v="297990"/>
    <n v="297990"/>
    <n v="0"/>
    <x v="1"/>
    <s v="Ngozi Ibrahim"/>
    <x v="0"/>
    <x v="5"/>
    <x v="0"/>
  </r>
  <r>
    <s v="TXN-00603"/>
    <d v="2025-06-17T00:00:00"/>
    <x v="0"/>
    <s v="North-Central"/>
    <x v="1"/>
    <s v="Home Theatre System"/>
    <n v="12"/>
    <n v="71390"/>
    <n v="0"/>
    <n v="856680"/>
    <n v="856680"/>
    <n v="0"/>
    <x v="2"/>
    <s v="Mary Nnamdi"/>
    <x v="0"/>
    <x v="1"/>
    <x v="0"/>
  </r>
  <r>
    <s v="TXN-01250"/>
    <d v="2025-01-09T00:00:00"/>
    <x v="2"/>
    <s v="South-East"/>
    <x v="1"/>
    <s v="Bluetooth Speaker"/>
    <n v="4"/>
    <n v="20400"/>
    <n v="10"/>
    <n v="73440"/>
    <n v="81600"/>
    <n v="8160"/>
    <x v="0"/>
    <s v="Amaka Onwuka"/>
    <x v="0"/>
    <x v="7"/>
    <x v="1"/>
  </r>
  <r>
    <s v="TXN-00380"/>
    <d v="2025-09-08T00:00:00"/>
    <x v="5"/>
    <s v="South-West"/>
    <x v="4"/>
    <s v="Non-stick Frying Pan"/>
    <n v="5"/>
    <n v="2560"/>
    <n v="15"/>
    <n v="10880"/>
    <n v="12800"/>
    <n v="1920"/>
    <x v="1"/>
    <s v="Amaka Onwuka"/>
    <x v="0"/>
    <x v="0"/>
    <x v="0"/>
  </r>
  <r>
    <s v="TXN-00263"/>
    <d v="2025-12-26T00:00:00"/>
    <x v="1"/>
    <s v="South-West"/>
    <x v="0"/>
    <s v="Body Lotion 400ml"/>
    <n v="11"/>
    <n v="46990"/>
    <n v="0"/>
    <n v="516890"/>
    <n v="516890"/>
    <n v="0"/>
    <x v="0"/>
    <s v="Kelechi Nwosu"/>
    <x v="0"/>
    <x v="11"/>
    <x v="0"/>
  </r>
  <r>
    <s v="TXN-00989"/>
    <d v="2025-03-10T00:00:00"/>
    <x v="5"/>
    <s v="South-West"/>
    <x v="4"/>
    <s v="Office Blazer"/>
    <n v="2"/>
    <n v="8510"/>
    <n v="0"/>
    <n v="17020"/>
    <n v="17020"/>
    <n v="0"/>
    <x v="3"/>
    <s v="Grace Okafor"/>
    <x v="0"/>
    <x v="9"/>
    <x v="0"/>
  </r>
  <r>
    <s v="TXN-01461"/>
    <d v="2025-06-06T00:00:00"/>
    <x v="0"/>
    <s v="North-Central"/>
    <x v="2"/>
    <s v="Curtain Set"/>
    <n v="7"/>
    <n v="72140"/>
    <n v="5"/>
    <n v="479731"/>
    <n v="504980"/>
    <n v="25249"/>
    <x v="3"/>
    <s v="Tunde Balogun"/>
    <x v="0"/>
    <x v="1"/>
    <x v="1"/>
  </r>
  <r>
    <s v="TXN-00734"/>
    <d v="2025-08-12T00:00:00"/>
    <x v="0"/>
    <s v="North-Central"/>
    <x v="2"/>
    <s v="Cleaning Mop"/>
    <n v="8"/>
    <n v="4600"/>
    <n v="0"/>
    <n v="36800"/>
    <n v="36800"/>
    <n v="0"/>
    <x v="3"/>
    <s v="Tunde Balogun"/>
    <x v="0"/>
    <x v="2"/>
    <x v="1"/>
  </r>
  <r>
    <s v="TXN-01408"/>
    <d v="2025-02-11T00:00:00"/>
    <x v="0"/>
    <s v="North-Central"/>
    <x v="1"/>
    <s v="Home Theatre System"/>
    <n v="9"/>
    <n v="3550"/>
    <n v="15"/>
    <n v="27157.5"/>
    <n v="31950"/>
    <n v="4792.5"/>
    <x v="1"/>
    <s v="Chinwe Etim"/>
    <x v="0"/>
    <x v="8"/>
    <x v="0"/>
  </r>
  <r>
    <s v="TXN-00291"/>
    <d v="2025-11-27T00:00:00"/>
    <x v="3"/>
    <s v="South-South"/>
    <x v="4"/>
    <s v="Sugar 1kg"/>
    <n v="8"/>
    <n v="45890"/>
    <n v="0"/>
    <n v="367120"/>
    <n v="367120"/>
    <n v="0"/>
    <x v="1"/>
    <s v="Amaka Onwuka"/>
    <x v="0"/>
    <x v="3"/>
    <x v="1"/>
  </r>
  <r>
    <s v="TXN-01153"/>
    <d v="2025-03-17T00:00:00"/>
    <x v="5"/>
    <s v="South-West"/>
    <x v="3"/>
    <s v="Men's Polo Shirt"/>
    <n v="7"/>
    <n v="7240"/>
    <n v="0"/>
    <n v="50680"/>
    <n v="50680"/>
    <n v="0"/>
    <x v="2"/>
    <s v="Ade Abubakar"/>
    <x v="0"/>
    <x v="9"/>
    <x v="0"/>
  </r>
  <r>
    <s v="TXN-01352"/>
    <d v="2025-10-16T00:00:00"/>
    <x v="6"/>
    <s v="South-South"/>
    <x v="1"/>
    <s v="Bluetooth Speaker"/>
    <n v="6"/>
    <n v="2410"/>
    <n v="0"/>
    <n v="14460"/>
    <n v="14460"/>
    <n v="0"/>
    <x v="2"/>
    <s v="Segun Chukwu"/>
    <x v="0"/>
    <x v="6"/>
    <x v="0"/>
  </r>
  <r>
    <s v="TXN-00850"/>
    <d v="2025-05-01T00:00:00"/>
    <x v="2"/>
    <s v="South-East"/>
    <x v="2"/>
    <s v="Non-stick Frying Pan"/>
    <n v="7"/>
    <n v="16870"/>
    <n v="0"/>
    <n v="118090"/>
    <n v="118090"/>
    <n v="0"/>
    <x v="1"/>
    <s v="Amaka Onwuka"/>
    <x v="0"/>
    <x v="5"/>
    <x v="1"/>
  </r>
  <r>
    <s v="TXN-00028"/>
    <d v="2025-05-14T00:00:00"/>
    <x v="2"/>
    <s v="South-East"/>
    <x v="1"/>
    <s v="Bluetooth Speaker"/>
    <n v="3"/>
    <n v="2790"/>
    <n v="0"/>
    <n v="8370"/>
    <n v="8370"/>
    <n v="0"/>
    <x v="0"/>
    <s v="Funmi Eze"/>
    <x v="0"/>
    <x v="5"/>
    <x v="1"/>
  </r>
  <r>
    <s v="TXN-00708"/>
    <d v="2025-10-13T00:00:00"/>
    <x v="2"/>
    <s v="South-East"/>
    <x v="1"/>
    <s v="Home Theatre System"/>
    <n v="10"/>
    <n v="17360"/>
    <n v="0"/>
    <n v="173600"/>
    <n v="173600"/>
    <n v="0"/>
    <x v="2"/>
    <s v="Tunde Balogun"/>
    <x v="0"/>
    <x v="6"/>
    <x v="0"/>
  </r>
  <r>
    <s v="TXN-00154"/>
    <d v="2025-09-25T00:00:00"/>
    <x v="0"/>
    <s v="North-Central"/>
    <x v="4"/>
    <s v="Vegetable Oil 5L"/>
    <n v="8"/>
    <n v="58680"/>
    <n v="15"/>
    <n v="399024"/>
    <n v="469440"/>
    <n v="70416"/>
    <x v="1"/>
    <s v="Ifeoma Adeyemi"/>
    <x v="0"/>
    <x v="0"/>
    <x v="0"/>
  </r>
  <r>
    <s v="TXN-00173"/>
    <d v="2025-06-23T00:00:00"/>
    <x v="0"/>
    <s v="North-Central"/>
    <x v="1"/>
    <s v="Bluetooth Speaker"/>
    <n v="2"/>
    <n v="8460"/>
    <n v="0"/>
    <n v="16920"/>
    <n v="16920"/>
    <n v="0"/>
    <x v="2"/>
    <s v="Amaka Onwuka"/>
    <x v="0"/>
    <x v="1"/>
    <x v="1"/>
  </r>
  <r>
    <s v="TXN-00158"/>
    <d v="2025-03-19T00:00:00"/>
    <x v="0"/>
    <s v="South-West"/>
    <x v="0"/>
    <s v="Toothpaste Pack"/>
    <n v="4"/>
    <n v="28570"/>
    <n v="5"/>
    <n v="108566"/>
    <n v="114280"/>
    <n v="5714"/>
    <x v="1"/>
    <s v="Tunde Balogun"/>
    <x v="0"/>
    <x v="9"/>
    <x v="1"/>
  </r>
  <r>
    <s v="TXN-00106"/>
    <d v="2025-03-31T00:00:00"/>
    <x v="5"/>
    <s v="South-West"/>
    <x v="3"/>
    <s v="Kids Sneakers"/>
    <n v="5"/>
    <n v="540"/>
    <n v="5"/>
    <n v="2565"/>
    <n v="2700"/>
    <n v="135"/>
    <x v="1"/>
    <s v="Kelechi Nwosu"/>
    <x v="0"/>
    <x v="9"/>
    <x v="0"/>
  </r>
  <r>
    <s v="TXN-01166"/>
    <d v="2025-11-14T00:00:00"/>
    <x v="6"/>
    <s v="South-South"/>
    <x v="4"/>
    <s v="Rice 50kg Bag"/>
    <n v="5"/>
    <n v="1350"/>
    <n v="5"/>
    <n v="6412.5"/>
    <n v="6750"/>
    <n v="337.5"/>
    <x v="3"/>
    <s v="Ade Abubakar"/>
    <x v="0"/>
    <x v="3"/>
    <x v="0"/>
  </r>
  <r>
    <s v="TXN-00449"/>
    <d v="2025-07-19T00:00:00"/>
    <x v="1"/>
    <s v="South-West"/>
    <x v="4"/>
    <s v="Indomie Carton"/>
    <n v="11"/>
    <n v="49630"/>
    <n v="0"/>
    <n v="545930"/>
    <n v="545930"/>
    <n v="0"/>
    <x v="2"/>
    <s v="Kelechi Nwosu"/>
    <x v="0"/>
    <x v="10"/>
    <x v="0"/>
  </r>
  <r>
    <s v="TXN-01347"/>
    <d v="2025-05-27T00:00:00"/>
    <x v="3"/>
    <s v="South-South"/>
    <x v="4"/>
    <s v="Spaghetti Pack"/>
    <n v="8"/>
    <n v="5620"/>
    <n v="0"/>
    <n v="44960"/>
    <n v="44960"/>
    <n v="0"/>
    <x v="3"/>
    <s v="Mary Nnamdi"/>
    <x v="0"/>
    <x v="5"/>
    <x v="0"/>
  </r>
  <r>
    <s v="TXN-00814"/>
    <d v="2025-05-26T00:00:00"/>
    <x v="5"/>
    <s v="South-West"/>
    <x v="3"/>
    <s v="Men's Polo Shirt"/>
    <n v="8"/>
    <n v="20690"/>
    <n v="0"/>
    <n v="165520"/>
    <n v="165520"/>
    <n v="0"/>
    <x v="0"/>
    <s v="Tunde Balogun"/>
    <x v="0"/>
    <x v="5"/>
    <x v="1"/>
  </r>
  <r>
    <s v="TXN-01094"/>
    <d v="2025-10-04T00:00:00"/>
    <x v="3"/>
    <s v="South-South"/>
    <x v="2"/>
    <s v="Plastic Chair Set"/>
    <n v="11"/>
    <n v="58690"/>
    <n v="15"/>
    <n v="548751.5"/>
    <n v="645590"/>
    <n v="96838.5"/>
    <x v="2"/>
    <s v="Mary Nnamdi"/>
    <x v="0"/>
    <x v="6"/>
    <x v="1"/>
  </r>
  <r>
    <s v="TXN-01384"/>
    <d v="2025-11-25T00:00:00"/>
    <x v="6"/>
    <s v="South-South"/>
    <x v="2"/>
    <s v="Plastic Chair Set"/>
    <n v="12"/>
    <n v="13450"/>
    <n v="0"/>
    <n v="161400"/>
    <n v="161400"/>
    <n v="0"/>
    <x v="1"/>
    <s v="Kelechi Nwosu"/>
    <x v="0"/>
    <x v="3"/>
    <x v="1"/>
  </r>
  <r>
    <s v="TXN-00490"/>
    <d v="2025-11-20T00:00:00"/>
    <x v="2"/>
    <s v="South-East"/>
    <x v="4"/>
    <s v="Vegetable Oil 5L"/>
    <n v="4"/>
    <n v="11680"/>
    <n v="0"/>
    <n v="46720"/>
    <n v="46720"/>
    <n v="0"/>
    <x v="2"/>
    <s v="Grace Okafor"/>
    <x v="0"/>
    <x v="3"/>
    <x v="1"/>
  </r>
  <r>
    <s v="TXN-01374"/>
    <d v="2025-02-01T00:00:00"/>
    <x v="4"/>
    <s v="North-West"/>
    <x v="4"/>
    <s v="Perfume 100ml"/>
    <n v="5"/>
    <n v="13480"/>
    <n v="0"/>
    <n v="67400"/>
    <n v="67400"/>
    <n v="0"/>
    <x v="2"/>
    <s v="Amaka Onwuka"/>
    <x v="0"/>
    <x v="8"/>
    <x v="1"/>
  </r>
  <r>
    <s v="TXN-00096"/>
    <d v="2025-05-07T00:00:00"/>
    <x v="2"/>
    <s v="South-East"/>
    <x v="2"/>
    <s v="Dinner Set"/>
    <n v="9"/>
    <n v="8220"/>
    <n v="5"/>
    <n v="70281"/>
    <n v="73980"/>
    <n v="3699"/>
    <x v="1"/>
    <s v="Amaka Onwuka"/>
    <x v="0"/>
    <x v="5"/>
    <x v="0"/>
  </r>
  <r>
    <s v="TXN-01351"/>
    <d v="2025-11-24T00:00:00"/>
    <x v="1"/>
    <s v="South-West"/>
    <x v="3"/>
    <s v="Wristwatch"/>
    <n v="1"/>
    <n v="61860"/>
    <n v="15"/>
    <n v="52581"/>
    <n v="61860"/>
    <n v="9279"/>
    <x v="3"/>
    <s v="Kelechi Nwosu"/>
    <x v="0"/>
    <x v="3"/>
    <x v="0"/>
  </r>
  <r>
    <s v="TXN-00111"/>
    <d v="2025-05-27T00:00:00"/>
    <x v="4"/>
    <s v="North-West"/>
    <x v="2"/>
    <s v="Non-stick Frying Pan"/>
    <n v="8"/>
    <n v="1380"/>
    <n v="0"/>
    <n v="11040"/>
    <n v="11040"/>
    <n v="0"/>
    <x v="1"/>
    <s v="Chidera Bello"/>
    <x v="0"/>
    <x v="5"/>
    <x v="0"/>
  </r>
  <r>
    <s v="TXN-01332"/>
    <d v="2025-03-09T00:00:00"/>
    <x v="4"/>
    <s v="North-West"/>
    <x v="4"/>
    <s v="Vegetable Oil 5L"/>
    <n v="3"/>
    <n v="1230"/>
    <n v="0"/>
    <n v="3690"/>
    <n v="3690"/>
    <n v="0"/>
    <x v="3"/>
    <s v="Tunde Balogun"/>
    <x v="0"/>
    <x v="9"/>
    <x v="0"/>
  </r>
  <r>
    <s v="TXN-01378"/>
    <d v="2025-12-06T00:00:00"/>
    <x v="4"/>
    <s v="North-West"/>
    <x v="2"/>
    <s v="Bedsheet Set"/>
    <n v="10"/>
    <n v="11670"/>
    <n v="5"/>
    <n v="110865"/>
    <n v="116700"/>
    <n v="5835"/>
    <x v="0"/>
    <s v="Ade Abubakar"/>
    <x v="0"/>
    <x v="11"/>
    <x v="0"/>
  </r>
  <r>
    <s v="TXN-01485"/>
    <d v="2025-05-20T00:00:00"/>
    <x v="0"/>
    <s v="North-Central"/>
    <x v="0"/>
    <s v="Hair Relaxer Kit"/>
    <n v="6"/>
    <n v="19710"/>
    <n v="0"/>
    <n v="118260"/>
    <n v="118260"/>
    <n v="0"/>
    <x v="2"/>
    <s v="Chidera Bello"/>
    <x v="0"/>
    <x v="5"/>
    <x v="0"/>
  </r>
  <r>
    <s v="TXN-00556"/>
    <d v="2025-01-02T00:00:00"/>
    <x v="0"/>
    <s v="North-Central"/>
    <x v="3"/>
    <s v="Denim Jeans"/>
    <n v="12"/>
    <n v="7940"/>
    <n v="10"/>
    <n v="85752"/>
    <n v="95280"/>
    <n v="9528"/>
    <x v="0"/>
    <s v="Ade Abubakar"/>
    <x v="0"/>
    <x v="7"/>
    <x v="0"/>
  </r>
  <r>
    <s v="TXN-00281"/>
    <d v="2025-08-04T00:00:00"/>
    <x v="5"/>
    <s v="South-West"/>
    <x v="0"/>
    <s v="Body Lotion 400ml"/>
    <n v="11"/>
    <n v="17940"/>
    <n v="0"/>
    <n v="197340"/>
    <n v="197340"/>
    <n v="0"/>
    <x v="0"/>
    <s v="Kelechi Nwosu"/>
    <x v="0"/>
    <x v="2"/>
    <x v="0"/>
  </r>
  <r>
    <s v="TXN-00370"/>
    <d v="2025-01-09T00:00:00"/>
    <x v="0"/>
    <s v="North-Central"/>
    <x v="0"/>
    <s v="Shea Butter Cream"/>
    <n v="6"/>
    <n v="73920"/>
    <n v="0"/>
    <n v="443520"/>
    <n v="443520"/>
    <n v="0"/>
    <x v="1"/>
    <s v="Tunde Balogun"/>
    <x v="0"/>
    <x v="7"/>
    <x v="1"/>
  </r>
  <r>
    <s v="TXN-00272"/>
    <d v="2025-10-26T00:00:00"/>
    <x v="6"/>
    <s v="South-South"/>
    <x v="2"/>
    <s v="Laundry Basket"/>
    <n v="1"/>
    <n v="69850"/>
    <n v="0"/>
    <n v="69850"/>
    <n v="69850"/>
    <n v="0"/>
    <x v="1"/>
    <s v="Peter Adekunle"/>
    <x v="0"/>
    <x v="6"/>
    <x v="0"/>
  </r>
  <r>
    <s v="TXN-00639"/>
    <d v="2025-01-06T00:00:00"/>
    <x v="4"/>
    <s v="North-West"/>
    <x v="1"/>
    <s v="Rice Cooker"/>
    <n v="11"/>
    <n v="25670"/>
    <n v="0"/>
    <n v="282370"/>
    <n v="282370"/>
    <n v="0"/>
    <x v="2"/>
    <s v="Amaka Onwuka"/>
    <x v="0"/>
    <x v="7"/>
    <x v="0"/>
  </r>
  <r>
    <s v="TXN-01090"/>
    <d v="2025-06-18T00:00:00"/>
    <x v="6"/>
    <s v="South-South"/>
    <x v="0"/>
    <s v="Bathing Soap Pack"/>
    <n v="6"/>
    <n v="11310"/>
    <n v="0"/>
    <n v="67860"/>
    <n v="67860"/>
    <n v="0"/>
    <x v="3"/>
    <s v="Peter Adekunle"/>
    <x v="0"/>
    <x v="1"/>
    <x v="1"/>
  </r>
  <r>
    <s v="TXN-01186"/>
    <d v="2025-06-21T00:00:00"/>
    <x v="0"/>
    <s v="North-Central"/>
    <x v="2"/>
    <s v="Non-stick Frying Pan"/>
    <n v="6"/>
    <n v="2390"/>
    <n v="0"/>
    <n v="14340"/>
    <n v="14340"/>
    <n v="0"/>
    <x v="0"/>
    <s v="Mary Nnamdi"/>
    <x v="0"/>
    <x v="1"/>
    <x v="1"/>
  </r>
  <r>
    <s v="TXN-00076"/>
    <d v="2025-08-18T00:00:00"/>
    <x v="5"/>
    <s v="South-West"/>
    <x v="3"/>
    <s v="Men's Polo Shirt"/>
    <n v="8"/>
    <n v="48600"/>
    <n v="10"/>
    <n v="349920"/>
    <n v="388800"/>
    <n v="38880"/>
    <x v="3"/>
    <s v="Obinna Yusuf"/>
    <x v="0"/>
    <x v="2"/>
    <x v="1"/>
  </r>
  <r>
    <s v="TXN-00258"/>
    <d v="2025-08-04T00:00:00"/>
    <x v="0"/>
    <s v="North-Central"/>
    <x v="1"/>
    <s v="Standing Fan"/>
    <n v="12"/>
    <n v="17530"/>
    <n v="0"/>
    <n v="210360"/>
    <n v="210360"/>
    <n v="0"/>
    <x v="2"/>
    <s v="Kelechi Nwosu"/>
    <x v="0"/>
    <x v="2"/>
    <x v="1"/>
  </r>
  <r>
    <s v="TXN-01457"/>
    <d v="2025-07-12T00:00:00"/>
    <x v="0"/>
    <s v="North-Central"/>
    <x v="1"/>
    <s v="Rice Cooker"/>
    <n v="9"/>
    <n v="7430"/>
    <n v="0"/>
    <n v="66870"/>
    <n v="66870"/>
    <n v="0"/>
    <x v="3"/>
    <s v="Chidera Bello"/>
    <x v="0"/>
    <x v="10"/>
    <x v="1"/>
  </r>
  <r>
    <s v="TXN-00117"/>
    <d v="2025-07-02T00:00:00"/>
    <x v="6"/>
    <s v="South-South"/>
    <x v="2"/>
    <s v="Non-stick Frying Pan"/>
    <n v="11"/>
    <n v="480"/>
    <n v="0"/>
    <n v="5280"/>
    <n v="5280"/>
    <n v="0"/>
    <x v="3"/>
    <s v="Chidera Bello"/>
    <x v="0"/>
    <x v="10"/>
    <x v="0"/>
  </r>
  <r>
    <s v="TXN-01141"/>
    <d v="2025-10-13T00:00:00"/>
    <x v="4"/>
    <s v="South-West"/>
    <x v="2"/>
    <s v="Cleaning Mop"/>
    <n v="8"/>
    <n v="60440"/>
    <n v="0"/>
    <n v="483520"/>
    <n v="483520"/>
    <n v="0"/>
    <x v="2"/>
    <s v="Amaka Onwuka"/>
    <x v="0"/>
    <x v="6"/>
    <x v="0"/>
  </r>
  <r>
    <s v="TXN-00921"/>
    <d v="2025-05-22T00:00:00"/>
    <x v="3"/>
    <s v="South-South"/>
    <x v="1"/>
    <s v="Power Bank 20000mAh"/>
    <n v="8"/>
    <n v="17230"/>
    <n v="0"/>
    <n v="137840"/>
    <n v="137840"/>
    <n v="0"/>
    <x v="2"/>
    <s v="Ifeoma Adeyemi"/>
    <x v="0"/>
    <x v="5"/>
    <x v="1"/>
  </r>
  <r>
    <s v="TXN-01080"/>
    <d v="2025-11-02T00:00:00"/>
    <x v="4"/>
    <s v="South-West"/>
    <x v="2"/>
    <s v="Bedsheet Set"/>
    <n v="1"/>
    <n v="17210"/>
    <n v="0"/>
    <n v="17210"/>
    <n v="17210"/>
    <n v="0"/>
    <x v="2"/>
    <s v="Chinwe Etim"/>
    <x v="0"/>
    <x v="3"/>
    <x v="0"/>
  </r>
  <r>
    <s v="TXN-00615"/>
    <d v="2025-10-07T00:00:00"/>
    <x v="5"/>
    <s v="South-West"/>
    <x v="1"/>
    <s v="Home Theatre System"/>
    <n v="4"/>
    <n v="480"/>
    <n v="0"/>
    <n v="1920"/>
    <n v="1920"/>
    <n v="0"/>
    <x v="0"/>
    <s v="Kelechi Nwosu"/>
    <x v="0"/>
    <x v="6"/>
    <x v="1"/>
  </r>
  <r>
    <s v="TXN-01315"/>
    <d v="2025-06-26T00:00:00"/>
    <x v="4"/>
    <s v="North-West"/>
    <x v="0"/>
    <s v="Body Lotion 400ml"/>
    <n v="9"/>
    <n v="8250"/>
    <n v="10"/>
    <n v="66825"/>
    <n v="74250"/>
    <n v="7425"/>
    <x v="1"/>
    <s v="Funmi Eze"/>
    <x v="0"/>
    <x v="1"/>
    <x v="0"/>
  </r>
  <r>
    <s v="TXN-01438"/>
    <d v="2025-09-11T00:00:00"/>
    <x v="4"/>
    <s v="North-West"/>
    <x v="2"/>
    <s v="Storage Basket"/>
    <n v="4"/>
    <n v="3400"/>
    <n v="15"/>
    <n v="11560"/>
    <n v="13600"/>
    <n v="2040"/>
    <x v="2"/>
    <s v="Peter Adekunle"/>
    <x v="0"/>
    <x v="0"/>
    <x v="0"/>
  </r>
  <r>
    <s v="TXN-00353"/>
    <d v="2025-07-07T00:00:00"/>
    <x v="5"/>
    <s v="South-West"/>
    <x v="2"/>
    <s v="Bedsheet Set"/>
    <n v="4"/>
    <n v="60100"/>
    <n v="0"/>
    <n v="240400"/>
    <n v="240400"/>
    <n v="0"/>
    <x v="3"/>
    <s v="Uche Okoro"/>
    <x v="0"/>
    <x v="10"/>
    <x v="0"/>
  </r>
  <r>
    <s v="TXN-00943"/>
    <d v="2025-05-03T00:00:00"/>
    <x v="6"/>
    <s v="South-South"/>
    <x v="1"/>
    <s v="Home Theatre System"/>
    <n v="1"/>
    <n v="8260"/>
    <n v="0"/>
    <n v="8260"/>
    <n v="8260"/>
    <n v="0"/>
    <x v="2"/>
    <s v="Amaka Onwuka"/>
    <x v="0"/>
    <x v="5"/>
    <x v="1"/>
  </r>
  <r>
    <s v="TXN-00588"/>
    <d v="2025-08-01T00:00:00"/>
    <x v="1"/>
    <s v="South-West"/>
    <x v="0"/>
    <s v="Baby Diaper Pack"/>
    <n v="4"/>
    <n v="13040"/>
    <n v="0"/>
    <n v="52160"/>
    <n v="52160"/>
    <n v="0"/>
    <x v="3"/>
    <s v="Ade Abubakar"/>
    <x v="0"/>
    <x v="2"/>
    <x v="1"/>
  </r>
  <r>
    <s v="TXN-01344"/>
    <d v="2025-09-28T00:00:00"/>
    <x v="2"/>
    <s v="South-East"/>
    <x v="3"/>
    <s v="Office Blazer"/>
    <n v="7"/>
    <n v="25430"/>
    <n v="10"/>
    <n v="160209"/>
    <n v="178010"/>
    <n v="17801"/>
    <x v="3"/>
    <s v="Uche Okoro"/>
    <x v="0"/>
    <x v="0"/>
    <x v="1"/>
  </r>
  <r>
    <s v="TXN-00954"/>
    <d v="2025-05-05T00:00:00"/>
    <x v="0"/>
    <s v="North-Central"/>
    <x v="0"/>
    <s v="Bathing Soap Pack"/>
    <n v="7"/>
    <n v="12120"/>
    <n v="5"/>
    <n v="80598"/>
    <n v="84840"/>
    <n v="4242"/>
    <x v="0"/>
    <s v="Funmi Eze"/>
    <x v="0"/>
    <x v="5"/>
    <x v="0"/>
  </r>
  <r>
    <s v="TXN-00035"/>
    <d v="2025-03-03T00:00:00"/>
    <x v="4"/>
    <s v="North-Central"/>
    <x v="3"/>
    <s v="Kids Sneakers"/>
    <n v="4"/>
    <n v="3260"/>
    <n v="15"/>
    <n v="11084"/>
    <n v="13040"/>
    <n v="1956"/>
    <x v="3"/>
    <s v="Grace Okafor"/>
    <x v="0"/>
    <x v="9"/>
    <x v="1"/>
  </r>
  <r>
    <s v="TXN-00646"/>
    <d v="2025-10-29T00:00:00"/>
    <x v="5"/>
    <s v="South-West"/>
    <x v="4"/>
    <s v="Rice 50kg Bag"/>
    <n v="5"/>
    <n v="3210"/>
    <n v="0"/>
    <n v="16050"/>
    <n v="16050"/>
    <n v="0"/>
    <x v="0"/>
    <s v="Kelechi Nwosu"/>
    <x v="0"/>
    <x v="6"/>
    <x v="1"/>
  </r>
  <r>
    <s v="TXN-00435"/>
    <d v="2025-06-06T00:00:00"/>
    <x v="2"/>
    <s v="South-East"/>
    <x v="1"/>
    <s v="Power Bank 20000mAh"/>
    <n v="7"/>
    <n v="13390"/>
    <n v="5"/>
    <n v="89043.5"/>
    <n v="93730"/>
    <n v="4686.5"/>
    <x v="2"/>
    <s v="Ngozi Ibrahim"/>
    <x v="0"/>
    <x v="1"/>
    <x v="0"/>
  </r>
  <r>
    <s v="TXN-01130"/>
    <d v="2025-03-08T00:00:00"/>
    <x v="6"/>
    <s v="South-West"/>
    <x v="2"/>
    <s v="Storage Basket"/>
    <n v="3"/>
    <n v="5320"/>
    <n v="0"/>
    <n v="15960"/>
    <n v="15960"/>
    <n v="0"/>
    <x v="2"/>
    <s v="Obinna Yusuf"/>
    <x v="0"/>
    <x v="9"/>
    <x v="0"/>
  </r>
  <r>
    <s v="TXN-00077"/>
    <d v="2025-11-25T00:00:00"/>
    <x v="6"/>
    <s v="South-South"/>
    <x v="3"/>
    <s v="Handbag"/>
    <n v="5"/>
    <n v="23360"/>
    <n v="0"/>
    <n v="116800"/>
    <n v="116800"/>
    <n v="0"/>
    <x v="2"/>
    <s v="Ade Abubakar"/>
    <x v="0"/>
    <x v="3"/>
    <x v="0"/>
  </r>
  <r>
    <s v="TXN-01478"/>
    <d v="2025-09-26T00:00:00"/>
    <x v="0"/>
    <s v="North-Central"/>
    <x v="0"/>
    <s v="Bathing Soap Pack"/>
    <n v="3"/>
    <n v="2830"/>
    <n v="0"/>
    <n v="8490"/>
    <n v="8490"/>
    <n v="0"/>
    <x v="1"/>
    <s v="Funmi Eze"/>
    <x v="0"/>
    <x v="0"/>
    <x v="0"/>
  </r>
  <r>
    <s v="TXN-00494"/>
    <d v="2025-06-26T00:00:00"/>
    <x v="0"/>
    <s v="North-Central"/>
    <x v="3"/>
    <s v="Handbag"/>
    <n v="3"/>
    <n v="1320"/>
    <n v="0"/>
    <n v="3960"/>
    <n v="3960"/>
    <n v="0"/>
    <x v="1"/>
    <s v="Ade Abubakar"/>
    <x v="0"/>
    <x v="1"/>
    <x v="0"/>
  </r>
  <r>
    <s v="TXN-00275"/>
    <d v="2025-04-26T00:00:00"/>
    <x v="1"/>
    <s v="South-West"/>
    <x v="2"/>
    <s v="Plastic Chair Set"/>
    <n v="1"/>
    <n v="10100"/>
    <n v="10"/>
    <n v="9090"/>
    <n v="10100"/>
    <n v="1010"/>
    <x v="2"/>
    <s v="Funmi Eze"/>
    <x v="0"/>
    <x v="4"/>
    <x v="1"/>
  </r>
  <r>
    <s v="TXN-00252"/>
    <d v="2025-11-23T00:00:00"/>
    <x v="0"/>
    <s v="North-Central"/>
    <x v="2"/>
    <s v="Storage Basket"/>
    <n v="5"/>
    <n v="1130"/>
    <n v="0"/>
    <n v="5650"/>
    <n v="5650"/>
    <n v="0"/>
    <x v="0"/>
    <s v="Obinna Yusuf"/>
    <x v="0"/>
    <x v="3"/>
    <x v="0"/>
  </r>
  <r>
    <s v="TXN-01102"/>
    <d v="2025-05-19T00:00:00"/>
    <x v="2"/>
    <s v="South-East"/>
    <x v="0"/>
    <s v="Shea Butter Cream"/>
    <n v="5"/>
    <n v="2570"/>
    <n v="0"/>
    <n v="12850"/>
    <n v="12850"/>
    <n v="0"/>
    <x v="1"/>
    <s v="Mary Nnamdi"/>
    <x v="0"/>
    <x v="5"/>
    <x v="0"/>
  </r>
  <r>
    <s v="TXN-01324"/>
    <d v="2025-01-12T00:00:00"/>
    <x v="2"/>
    <s v="South-East"/>
    <x v="4"/>
    <s v="Rice 50kg Bag"/>
    <n v="9"/>
    <n v="46240"/>
    <n v="5"/>
    <n v="395352"/>
    <n v="416160"/>
    <n v="20808"/>
    <x v="2"/>
    <s v="Ade Abubakar"/>
    <x v="0"/>
    <x v="7"/>
    <x v="0"/>
  </r>
  <r>
    <s v="TXN-00831"/>
    <d v="2025-06-12T00:00:00"/>
    <x v="3"/>
    <s v="South-South"/>
    <x v="2"/>
    <s v="Curtain Set"/>
    <n v="5"/>
    <n v="46340"/>
    <n v="0"/>
    <n v="231700"/>
    <n v="231700"/>
    <n v="0"/>
    <x v="1"/>
    <s v="Obinna Yusuf"/>
    <x v="0"/>
    <x v="1"/>
    <x v="1"/>
  </r>
  <r>
    <s v="TXN-00269"/>
    <d v="2025-07-22T00:00:00"/>
    <x v="4"/>
    <s v="North-West"/>
    <x v="0"/>
    <s v="Body Lotion 400ml"/>
    <n v="4"/>
    <n v="2550"/>
    <n v="0"/>
    <n v="10200"/>
    <n v="10200"/>
    <n v="0"/>
    <x v="3"/>
    <s v="Mary Nnamdi"/>
    <x v="0"/>
    <x v="10"/>
    <x v="0"/>
  </r>
  <r>
    <s v="TXN-00160"/>
    <d v="2025-05-30T00:00:00"/>
    <x v="2"/>
    <s v="South-East"/>
    <x v="3"/>
    <s v="Ladies Ankara Gown"/>
    <n v="3"/>
    <n v="9590"/>
    <n v="5"/>
    <n v="27331.5"/>
    <n v="28770"/>
    <n v="1438.5"/>
    <x v="1"/>
    <s v="Peter Adekunle"/>
    <x v="0"/>
    <x v="5"/>
    <x v="0"/>
  </r>
  <r>
    <s v="TXN-01220"/>
    <d v="2025-09-18T00:00:00"/>
    <x v="0"/>
    <s v="North-Central"/>
    <x v="2"/>
    <s v="Dinner Set"/>
    <n v="2"/>
    <n v="530"/>
    <n v="15"/>
    <n v="901"/>
    <n v="1060"/>
    <n v="159"/>
    <x v="2"/>
    <s v="Mary Nnamdi"/>
    <x v="0"/>
    <x v="0"/>
    <x v="1"/>
  </r>
  <r>
    <s v="TXN-01083"/>
    <d v="2025-07-06T00:00:00"/>
    <x v="4"/>
    <s v="North-West"/>
    <x v="1"/>
    <s v="LED TV 43&quot;"/>
    <n v="1"/>
    <n v="20030"/>
    <n v="15"/>
    <n v="17025.5"/>
    <n v="20030"/>
    <n v="3004.5"/>
    <x v="1"/>
    <s v="Amaka Onwuka"/>
    <x v="0"/>
    <x v="10"/>
    <x v="0"/>
  </r>
  <r>
    <s v="TXN-01212"/>
    <d v="2025-01-18T00:00:00"/>
    <x v="2"/>
    <s v="South-East"/>
    <x v="3"/>
    <s v="Handbag"/>
    <n v="11"/>
    <n v="5430"/>
    <n v="5"/>
    <n v="56743.5"/>
    <n v="59730"/>
    <n v="2986.5"/>
    <x v="1"/>
    <s v="Ade Abubakar"/>
    <x v="0"/>
    <x v="7"/>
    <x v="0"/>
  </r>
  <r>
    <s v="TXN-01253"/>
    <d v="2025-10-18T00:00:00"/>
    <x v="0"/>
    <s v="South-West"/>
    <x v="3"/>
    <s v="Men's Polo Shirt"/>
    <n v="8"/>
    <n v="18130"/>
    <n v="10"/>
    <n v="130536"/>
    <n v="145040"/>
    <n v="14504"/>
    <x v="2"/>
    <s v="Mary Nnamdi"/>
    <x v="0"/>
    <x v="6"/>
    <x v="1"/>
  </r>
  <r>
    <s v="TXN-00773"/>
    <d v="2025-07-12T00:00:00"/>
    <x v="4"/>
    <s v="North-West"/>
    <x v="4"/>
    <s v="Denim Jeans"/>
    <n v="2"/>
    <n v="1090"/>
    <n v="0"/>
    <n v="2180"/>
    <n v="2180"/>
    <n v="0"/>
    <x v="1"/>
    <s v="Uche Okoro"/>
    <x v="0"/>
    <x v="10"/>
    <x v="0"/>
  </r>
  <r>
    <s v="TXN-00884"/>
    <d v="2025-07-27T00:00:00"/>
    <x v="2"/>
    <s v="South-East"/>
    <x v="2"/>
    <s v="Plastic Chair Set"/>
    <n v="2"/>
    <n v="20650"/>
    <n v="10"/>
    <n v="37170"/>
    <n v="41300"/>
    <n v="4130"/>
    <x v="2"/>
    <s v="Mary Nnamdi"/>
    <x v="0"/>
    <x v="10"/>
    <x v="1"/>
  </r>
  <r>
    <s v="TXN-00781"/>
    <d v="2025-05-06T00:00:00"/>
    <x v="3"/>
    <s v="South-South"/>
    <x v="2"/>
    <s v="Cleaning Mop"/>
    <n v="8"/>
    <n v="2800"/>
    <n v="15"/>
    <n v="19040"/>
    <n v="22400"/>
    <n v="3360"/>
    <x v="0"/>
    <s v="Ngozi Ibrahim"/>
    <x v="0"/>
    <x v="5"/>
    <x v="1"/>
  </r>
  <r>
    <s v="TXN-00909"/>
    <d v="2025-09-23T00:00:00"/>
    <x v="5"/>
    <s v="South-West"/>
    <x v="1"/>
    <s v="LED TV 43&quot;"/>
    <n v="11"/>
    <n v="27570"/>
    <n v="0"/>
    <n v="303270"/>
    <n v="303270"/>
    <n v="0"/>
    <x v="3"/>
    <s v="Grace Okafor"/>
    <x v="0"/>
    <x v="0"/>
    <x v="1"/>
  </r>
  <r>
    <s v="TXN-00783"/>
    <d v="2025-01-28T00:00:00"/>
    <x v="3"/>
    <s v="South-South"/>
    <x v="4"/>
    <s v="Handbag"/>
    <n v="2"/>
    <n v="1120"/>
    <n v="15"/>
    <n v="1904"/>
    <n v="2240"/>
    <n v="336"/>
    <x v="1"/>
    <s v="Obinna Yusuf"/>
    <x v="0"/>
    <x v="7"/>
    <x v="1"/>
  </r>
  <r>
    <s v="TXN-00323"/>
    <d v="2025-03-03T00:00:00"/>
    <x v="2"/>
    <s v="South-East"/>
    <x v="0"/>
    <s v="Hair Relaxer Kit"/>
    <n v="6"/>
    <n v="520"/>
    <n v="0"/>
    <n v="3120"/>
    <n v="3120"/>
    <n v="0"/>
    <x v="2"/>
    <s v="Amaka Onwuka"/>
    <x v="0"/>
    <x v="9"/>
    <x v="0"/>
  </r>
  <r>
    <s v="TXN-01341"/>
    <d v="2025-05-13T00:00:00"/>
    <x v="5"/>
    <s v="South-West"/>
    <x v="4"/>
    <s v="Hair Relaxer Kit"/>
    <n v="4"/>
    <n v="69830"/>
    <n v="0"/>
    <n v="279320"/>
    <n v="279320"/>
    <n v="0"/>
    <x v="0"/>
    <s v="Segun Chukwu"/>
    <x v="0"/>
    <x v="5"/>
    <x v="0"/>
  </r>
  <r>
    <s v="TXN-00142"/>
    <d v="2025-02-03T00:00:00"/>
    <x v="6"/>
    <s v="South-South"/>
    <x v="4"/>
    <s v="Milo 500g"/>
    <n v="2"/>
    <n v="11590"/>
    <n v="0"/>
    <n v="23180"/>
    <n v="23180"/>
    <n v="0"/>
    <x v="0"/>
    <s v="Segun Chukwu"/>
    <x v="0"/>
    <x v="8"/>
    <x v="0"/>
  </r>
  <r>
    <s v="TXN-01258"/>
    <d v="2025-01-25T00:00:00"/>
    <x v="0"/>
    <s v="South-West"/>
    <x v="4"/>
    <s v="Sugar 1kg"/>
    <n v="12"/>
    <n v="470"/>
    <n v="15"/>
    <n v="4794"/>
    <n v="5640"/>
    <n v="846"/>
    <x v="1"/>
    <s v="Chidera Bello"/>
    <x v="0"/>
    <x v="7"/>
    <x v="1"/>
  </r>
  <r>
    <s v="TXN-01131"/>
    <d v="2025-02-12T00:00:00"/>
    <x v="6"/>
    <s v="South-South"/>
    <x v="4"/>
    <s v="Milo 500g"/>
    <n v="9"/>
    <n v="4790"/>
    <n v="0"/>
    <n v="43110"/>
    <n v="43110"/>
    <n v="0"/>
    <x v="1"/>
    <s v="Tunde Balogun"/>
    <x v="0"/>
    <x v="8"/>
    <x v="0"/>
  </r>
  <r>
    <s v="TXN-00192"/>
    <d v="2025-03-27T00:00:00"/>
    <x v="3"/>
    <s v="South-South"/>
    <x v="1"/>
    <s v="Power Bank 20000mAh"/>
    <n v="7"/>
    <n v="4660"/>
    <n v="10"/>
    <n v="29358"/>
    <n v="32620"/>
    <n v="3262"/>
    <x v="0"/>
    <s v="Ngozi Ibrahim"/>
    <x v="0"/>
    <x v="9"/>
    <x v="1"/>
  </r>
  <r>
    <s v="TXN-00690"/>
    <d v="2025-08-05T00:00:00"/>
    <x v="6"/>
    <s v="South-South"/>
    <x v="4"/>
    <s v="Tomato Paste Carton"/>
    <n v="10"/>
    <n v="45210"/>
    <n v="5"/>
    <n v="429495"/>
    <n v="452100"/>
    <n v="22605"/>
    <x v="3"/>
    <s v="Mary Nnamdi"/>
    <x v="0"/>
    <x v="2"/>
    <x v="0"/>
  </r>
  <r>
    <s v="TXN-01215"/>
    <d v="2025-06-05T00:00:00"/>
    <x v="6"/>
    <s v="South-South"/>
    <x v="1"/>
    <s v="Home Theatre System"/>
    <n v="11"/>
    <n v="460"/>
    <n v="15"/>
    <n v="4301"/>
    <n v="5060"/>
    <n v="759"/>
    <x v="0"/>
    <s v="Mary Nnamdi"/>
    <x v="0"/>
    <x v="1"/>
    <x v="0"/>
  </r>
  <r>
    <s v="TXN-00568"/>
    <d v="2025-11-03T00:00:00"/>
    <x v="6"/>
    <s v="South-South"/>
    <x v="1"/>
    <s v="Bluetooth Speaker"/>
    <n v="3"/>
    <n v="61830"/>
    <n v="0"/>
    <n v="185490"/>
    <n v="185490"/>
    <n v="0"/>
    <x v="2"/>
    <s v="Kelechi Nwosu"/>
    <x v="0"/>
    <x v="3"/>
    <x v="0"/>
  </r>
  <r>
    <s v="TXN-00776"/>
    <d v="2025-07-28T00:00:00"/>
    <x v="3"/>
    <s v="South-South"/>
    <x v="0"/>
    <s v="Hair Relaxer Kit"/>
    <n v="4"/>
    <n v="44570"/>
    <n v="10"/>
    <n v="160452"/>
    <n v="178280"/>
    <n v="17828"/>
    <x v="0"/>
    <s v="Ngozi Ibrahim"/>
    <x v="0"/>
    <x v="10"/>
    <x v="1"/>
  </r>
  <r>
    <s v="TXN-00923"/>
    <d v="2025-01-13T00:00:00"/>
    <x v="1"/>
    <s v="South-West"/>
    <x v="2"/>
    <s v="Laundry Basket"/>
    <n v="12"/>
    <n v="8490"/>
    <n v="5"/>
    <n v="96786"/>
    <n v="101880"/>
    <n v="5094"/>
    <x v="1"/>
    <s v="Grace Okafor"/>
    <x v="0"/>
    <x v="7"/>
    <x v="0"/>
  </r>
  <r>
    <s v="TXN-01208"/>
    <d v="2025-05-26T00:00:00"/>
    <x v="5"/>
    <s v="South-West"/>
    <x v="4"/>
    <s v="Tomato Paste Carton"/>
    <n v="10"/>
    <n v="9920"/>
    <n v="0"/>
    <n v="99200"/>
    <n v="99200"/>
    <n v="0"/>
    <x v="0"/>
    <s v="Ifeoma Adeyemi"/>
    <x v="0"/>
    <x v="5"/>
    <x v="1"/>
  </r>
  <r>
    <s v="TXN-00687"/>
    <d v="2025-09-16T00:00:00"/>
    <x v="3"/>
    <s v="South-South"/>
    <x v="1"/>
    <s v="Microwave Oven"/>
    <n v="9"/>
    <n v="5070"/>
    <n v="0"/>
    <n v="45630"/>
    <n v="45630"/>
    <n v="0"/>
    <x v="3"/>
    <s v="Ade Abubakar"/>
    <x v="0"/>
    <x v="0"/>
    <x v="1"/>
  </r>
  <r>
    <s v="TXN-00419"/>
    <d v="2025-03-05T00:00:00"/>
    <x v="3"/>
    <s v="South-South"/>
    <x v="2"/>
    <s v="Dinner Set"/>
    <n v="12"/>
    <n v="8500"/>
    <n v="0"/>
    <n v="102000"/>
    <n v="102000"/>
    <n v="0"/>
    <x v="3"/>
    <s v="Segun Chukwu"/>
    <x v="0"/>
    <x v="9"/>
    <x v="1"/>
  </r>
  <r>
    <s v="TXN-00194"/>
    <d v="2025-07-14T00:00:00"/>
    <x v="1"/>
    <s v="South-West"/>
    <x v="1"/>
    <s v="Bluetooth Speaker"/>
    <n v="7"/>
    <n v="540"/>
    <n v="0"/>
    <n v="3780"/>
    <n v="3780"/>
    <n v="0"/>
    <x v="3"/>
    <s v="Funmi Eze"/>
    <x v="0"/>
    <x v="10"/>
    <x v="0"/>
  </r>
  <r>
    <s v="TXN-00242"/>
    <d v="2025-07-07T00:00:00"/>
    <x v="0"/>
    <s v="North-Central"/>
    <x v="2"/>
    <s v="Storage Basket"/>
    <n v="10"/>
    <n v="3390"/>
    <n v="15"/>
    <n v="28815"/>
    <n v="33900"/>
    <n v="5085"/>
    <x v="1"/>
    <s v="Ade Abubakar"/>
    <x v="0"/>
    <x v="10"/>
    <x v="1"/>
  </r>
  <r>
    <s v="TXN-01103"/>
    <d v="2025-07-16T00:00:00"/>
    <x v="0"/>
    <s v="North-Central"/>
    <x v="4"/>
    <s v="Rice 50kg Bag"/>
    <n v="2"/>
    <n v="20520"/>
    <n v="0"/>
    <n v="41040"/>
    <n v="41040"/>
    <n v="0"/>
    <x v="3"/>
    <s v="Funmi Eze"/>
    <x v="0"/>
    <x v="10"/>
    <x v="1"/>
  </r>
  <r>
    <s v="TXN-01043"/>
    <d v="2025-04-02T00:00:00"/>
    <x v="5"/>
    <s v="South-West"/>
    <x v="1"/>
    <s v="Power Bank 20000mAh"/>
    <n v="8"/>
    <n v="3370"/>
    <n v="0"/>
    <n v="26960"/>
    <n v="26960"/>
    <n v="0"/>
    <x v="0"/>
    <s v="Ifeoma Adeyemi"/>
    <x v="0"/>
    <x v="4"/>
    <x v="0"/>
  </r>
  <r>
    <s v="TXN-00330"/>
    <d v="2025-08-25T00:00:00"/>
    <x v="1"/>
    <s v="South-West"/>
    <x v="4"/>
    <s v="Sugar 1kg"/>
    <n v="4"/>
    <n v="18400"/>
    <n v="0"/>
    <n v="73600"/>
    <n v="73600"/>
    <n v="0"/>
    <x v="3"/>
    <s v="Chinwe Etim"/>
    <x v="0"/>
    <x v="2"/>
    <x v="1"/>
  </r>
  <r>
    <s v="TXN-01406"/>
    <d v="2025-04-24T00:00:00"/>
    <x v="3"/>
    <s v="South-South"/>
    <x v="0"/>
    <s v="Toothpaste Pack"/>
    <n v="2"/>
    <n v="44850"/>
    <n v="0"/>
    <n v="89700"/>
    <n v="89700"/>
    <n v="0"/>
    <x v="2"/>
    <s v="Funmi Eze"/>
    <x v="0"/>
    <x v="4"/>
    <x v="0"/>
  </r>
  <r>
    <s v="TXN-01402"/>
    <d v="2025-05-21T00:00:00"/>
    <x v="4"/>
    <s v="North-West"/>
    <x v="2"/>
    <s v="Curtain Set"/>
    <n v="1"/>
    <n v="8370"/>
    <n v="10"/>
    <n v="7533"/>
    <n v="8370"/>
    <n v="837"/>
    <x v="2"/>
    <s v="Segun Chukwu"/>
    <x v="0"/>
    <x v="5"/>
    <x v="0"/>
  </r>
  <r>
    <s v="TXN-00196"/>
    <d v="2025-03-18T00:00:00"/>
    <x v="5"/>
    <s v="South-West"/>
    <x v="3"/>
    <s v="Office Blazer"/>
    <n v="2"/>
    <n v="530"/>
    <n v="0"/>
    <n v="1060"/>
    <n v="1060"/>
    <n v="0"/>
    <x v="1"/>
    <s v="Ngozi Ibrahim"/>
    <x v="0"/>
    <x v="9"/>
    <x v="0"/>
  </r>
  <r>
    <s v="TXN-01236"/>
    <d v="2025-08-03T00:00:00"/>
    <x v="3"/>
    <s v="South-South"/>
    <x v="2"/>
    <s v="Dinner Set"/>
    <n v="1"/>
    <n v="18180"/>
    <n v="15"/>
    <n v="15453"/>
    <n v="18180"/>
    <n v="2727"/>
    <x v="1"/>
    <s v="Ifeoma Adeyemi"/>
    <x v="0"/>
    <x v="2"/>
    <x v="1"/>
  </r>
  <r>
    <s v="TXN-01466"/>
    <d v="2025-06-19T00:00:00"/>
    <x v="1"/>
    <s v="South-West"/>
    <x v="3"/>
    <s v="Ladies Ankara Gown"/>
    <n v="3"/>
    <n v="1170"/>
    <n v="0"/>
    <n v="3510"/>
    <n v="3510"/>
    <n v="0"/>
    <x v="3"/>
    <s v="Ade Abubakar"/>
    <x v="0"/>
    <x v="1"/>
    <x v="1"/>
  </r>
  <r>
    <s v="TXN-01143"/>
    <d v="2025-05-27T00:00:00"/>
    <x v="6"/>
    <s v="South-South"/>
    <x v="4"/>
    <s v="Rice 50kg Bag"/>
    <n v="1"/>
    <n v="20080"/>
    <n v="0"/>
    <n v="20080"/>
    <n v="20080"/>
    <n v="0"/>
    <x v="2"/>
    <s v="Tunde Balogun"/>
    <x v="0"/>
    <x v="5"/>
    <x v="1"/>
  </r>
  <r>
    <s v="TXN-00628"/>
    <d v="2025-10-17T00:00:00"/>
    <x v="5"/>
    <s v="South-West"/>
    <x v="1"/>
    <s v="Microwave Oven"/>
    <n v="10"/>
    <n v="1180"/>
    <n v="0"/>
    <n v="11800"/>
    <n v="11800"/>
    <n v="0"/>
    <x v="2"/>
    <s v="Grace Okafor"/>
    <x v="0"/>
    <x v="6"/>
    <x v="1"/>
  </r>
  <r>
    <s v="TXN-00548"/>
    <d v="2025-11-07T00:00:00"/>
    <x v="4"/>
    <s v="North-West"/>
    <x v="0"/>
    <s v="Shea Butter Cream"/>
    <n v="8"/>
    <n v="74490"/>
    <n v="0"/>
    <n v="595920"/>
    <n v="595920"/>
    <n v="0"/>
    <x v="3"/>
    <s v="Obinna Yusuf"/>
    <x v="0"/>
    <x v="3"/>
    <x v="1"/>
  </r>
  <r>
    <s v="TXN-01027"/>
    <d v="2025-11-23T00:00:00"/>
    <x v="4"/>
    <s v="North-West"/>
    <x v="4"/>
    <s v="Standing Fan"/>
    <n v="6"/>
    <n v="46630"/>
    <n v="5"/>
    <n v="265791"/>
    <n v="279780"/>
    <n v="13989"/>
    <x v="1"/>
    <s v="Amaka Onwuka"/>
    <x v="0"/>
    <x v="3"/>
    <x v="1"/>
  </r>
  <r>
    <s v="TXN-00504"/>
    <d v="2025-02-07T00:00:00"/>
    <x v="1"/>
    <s v="South-West"/>
    <x v="2"/>
    <s v="Bedsheet Set"/>
    <n v="11"/>
    <n v="8600"/>
    <n v="0"/>
    <n v="94600"/>
    <n v="94600"/>
    <n v="0"/>
    <x v="2"/>
    <s v="Obinna Yusuf"/>
    <x v="0"/>
    <x v="8"/>
    <x v="1"/>
  </r>
  <r>
    <s v="TXN-01028"/>
    <d v="2025-10-28T00:00:00"/>
    <x v="5"/>
    <s v="South-West"/>
    <x v="1"/>
    <s v="Home Theatre System"/>
    <n v="3"/>
    <n v="1120"/>
    <n v="0"/>
    <n v="3360"/>
    <n v="3360"/>
    <n v="0"/>
    <x v="0"/>
    <s v="Ade Abubakar"/>
    <x v="0"/>
    <x v="6"/>
    <x v="0"/>
  </r>
  <r>
    <s v="TXN-01293"/>
    <d v="2025-05-29T00:00:00"/>
    <x v="2"/>
    <s v="South-West"/>
    <x v="1"/>
    <s v="Home Theatre System"/>
    <n v="2"/>
    <n v="2430"/>
    <n v="0"/>
    <n v="4860"/>
    <n v="4860"/>
    <n v="0"/>
    <x v="2"/>
    <s v="Uche Okoro"/>
    <x v="0"/>
    <x v="5"/>
    <x v="0"/>
  </r>
  <r>
    <s v="TXN-00324"/>
    <d v="2025-04-01T00:00:00"/>
    <x v="2"/>
    <s v="South-East"/>
    <x v="0"/>
    <s v="Body Lotion 400ml"/>
    <n v="2"/>
    <n v="560"/>
    <n v="0"/>
    <n v="1120"/>
    <n v="1120"/>
    <n v="0"/>
    <x v="1"/>
    <s v="Mary Nnamdi"/>
    <x v="0"/>
    <x v="4"/>
    <x v="0"/>
  </r>
  <r>
    <s v="TXN-00941"/>
    <d v="2025-07-10T00:00:00"/>
    <x v="2"/>
    <s v="South-East"/>
    <x v="3"/>
    <s v="Ladies Ankara Gown"/>
    <n v="9"/>
    <n v="62700"/>
    <n v="0"/>
    <n v="564300"/>
    <n v="564300"/>
    <n v="0"/>
    <x v="0"/>
    <s v="Mary Nnamdi"/>
    <x v="0"/>
    <x v="10"/>
    <x v="0"/>
  </r>
  <r>
    <s v="TXN-01357"/>
    <d v="2025-10-29T00:00:00"/>
    <x v="0"/>
    <s v="North-Central"/>
    <x v="0"/>
    <s v="Toothpaste Pack"/>
    <n v="9"/>
    <n v="4950"/>
    <n v="0"/>
    <n v="44550"/>
    <n v="44550"/>
    <n v="0"/>
    <x v="1"/>
    <s v="Amaka Onwuka"/>
    <x v="0"/>
    <x v="6"/>
    <x v="0"/>
  </r>
  <r>
    <s v="TXN-00398"/>
    <d v="2025-04-16T00:00:00"/>
    <x v="6"/>
    <s v="South-South"/>
    <x v="0"/>
    <s v="Perfume 100ml"/>
    <n v="11"/>
    <n v="16670"/>
    <n v="0"/>
    <n v="183370"/>
    <n v="183370"/>
    <n v="0"/>
    <x v="0"/>
    <s v="Segun Chukwu"/>
    <x v="0"/>
    <x v="4"/>
    <x v="0"/>
  </r>
  <r>
    <s v="TXN-00477"/>
    <d v="2025-08-09T00:00:00"/>
    <x v="1"/>
    <s v="South-West"/>
    <x v="2"/>
    <s v="Dinner Set"/>
    <n v="4"/>
    <n v="3180"/>
    <n v="0"/>
    <n v="12720"/>
    <n v="12720"/>
    <n v="0"/>
    <x v="2"/>
    <s v="Ade Abubakar"/>
    <x v="0"/>
    <x v="2"/>
    <x v="1"/>
  </r>
  <r>
    <s v="TXN-00757"/>
    <d v="2025-09-02T00:00:00"/>
    <x v="4"/>
    <s v="North-West"/>
    <x v="0"/>
    <s v="Hair Relaxer Kit"/>
    <n v="5"/>
    <n v="12480"/>
    <n v="5"/>
    <n v="59280"/>
    <n v="62400"/>
    <n v="3120"/>
    <x v="2"/>
    <s v="Uche Okoro"/>
    <x v="0"/>
    <x v="0"/>
    <x v="1"/>
  </r>
  <r>
    <s v="TXN-00101"/>
    <d v="2025-05-28T00:00:00"/>
    <x v="0"/>
    <s v="North-Central"/>
    <x v="2"/>
    <s v="Laundry Basket"/>
    <n v="4"/>
    <n v="5200"/>
    <n v="10"/>
    <n v="18720"/>
    <n v="20800"/>
    <n v="2080"/>
    <x v="0"/>
    <s v="Ngozi Ibrahim"/>
    <x v="0"/>
    <x v="5"/>
    <x v="0"/>
  </r>
  <r>
    <s v="TXN-00840"/>
    <d v="2025-08-12T00:00:00"/>
    <x v="0"/>
    <s v="North-Central"/>
    <x v="2"/>
    <s v="Laundry Basket"/>
    <n v="11"/>
    <n v="540"/>
    <n v="0"/>
    <n v="5940"/>
    <n v="5940"/>
    <n v="0"/>
    <x v="2"/>
    <s v="Chidera Bello"/>
    <x v="0"/>
    <x v="2"/>
    <x v="0"/>
  </r>
  <r>
    <s v="TXN-00216"/>
    <d v="2025-10-01T00:00:00"/>
    <x v="0"/>
    <s v="North-Central"/>
    <x v="3"/>
    <s v="Handbag"/>
    <n v="7"/>
    <n v="8810"/>
    <n v="0"/>
    <n v="61670"/>
    <n v="61670"/>
    <n v="0"/>
    <x v="2"/>
    <s v="Tunde Balogun"/>
    <x v="0"/>
    <x v="6"/>
    <x v="1"/>
  </r>
  <r>
    <s v="TXN-00501"/>
    <d v="2025-10-17T00:00:00"/>
    <x v="4"/>
    <s v="South-West"/>
    <x v="0"/>
    <s v="Shea Butter Cream"/>
    <n v="5"/>
    <n v="74220"/>
    <n v="0"/>
    <n v="371100"/>
    <n v="371100"/>
    <n v="0"/>
    <x v="0"/>
    <s v="Ade Abubakar"/>
    <x v="0"/>
    <x v="6"/>
    <x v="1"/>
  </r>
  <r>
    <s v="TXN-00801"/>
    <d v="2025-08-28T00:00:00"/>
    <x v="5"/>
    <s v="South-West"/>
    <x v="1"/>
    <s v="Bluetooth Speaker"/>
    <n v="2"/>
    <n v="5410"/>
    <n v="5"/>
    <n v="10279"/>
    <n v="10820"/>
    <n v="541"/>
    <x v="0"/>
    <s v="Mary Nnamdi"/>
    <x v="0"/>
    <x v="2"/>
    <x v="0"/>
  </r>
  <r>
    <s v="TXN-00927"/>
    <d v="2025-07-11T00:00:00"/>
    <x v="3"/>
    <s v="South-South"/>
    <x v="2"/>
    <s v="Plastic Chair Set"/>
    <n v="8"/>
    <n v="49840"/>
    <n v="0"/>
    <n v="398720"/>
    <n v="398720"/>
    <n v="0"/>
    <x v="3"/>
    <s v="Mary Nnamdi"/>
    <x v="0"/>
    <x v="10"/>
    <x v="1"/>
  </r>
  <r>
    <s v="TXN-00478"/>
    <d v="2025-12-01T00:00:00"/>
    <x v="0"/>
    <s v="North-Central"/>
    <x v="1"/>
    <s v="Bluetooth Speaker"/>
    <n v="11"/>
    <n v="1230"/>
    <n v="5"/>
    <n v="12853.5"/>
    <n v="13530"/>
    <n v="676.5"/>
    <x v="2"/>
    <s v="Chinwe Etim"/>
    <x v="0"/>
    <x v="11"/>
    <x v="0"/>
  </r>
  <r>
    <s v="TXN-01036"/>
    <d v="2025-05-06T00:00:00"/>
    <x v="2"/>
    <s v="South-East"/>
    <x v="3"/>
    <s v="Office Blazer"/>
    <n v="3"/>
    <n v="23320"/>
    <n v="0"/>
    <n v="69960"/>
    <n v="69960"/>
    <n v="0"/>
    <x v="1"/>
    <s v="Amaka Onwuka"/>
    <x v="0"/>
    <x v="5"/>
    <x v="1"/>
  </r>
  <r>
    <s v="TXN-01435"/>
    <d v="2025-10-31T00:00:00"/>
    <x v="0"/>
    <s v="North-Central"/>
    <x v="1"/>
    <s v="Microwave Oven"/>
    <n v="1"/>
    <n v="18550"/>
    <n v="0"/>
    <n v="18550"/>
    <n v="18550"/>
    <n v="0"/>
    <x v="0"/>
    <s v="Tunde Balogun"/>
    <x v="0"/>
    <x v="6"/>
    <x v="0"/>
  </r>
  <r>
    <s v="TXN-01292"/>
    <d v="2025-01-07T00:00:00"/>
    <x v="4"/>
    <s v="North-West"/>
    <x v="0"/>
    <s v="Toothpaste Pack"/>
    <n v="3"/>
    <n v="8520"/>
    <n v="5"/>
    <n v="24282"/>
    <n v="25560"/>
    <n v="1278"/>
    <x v="3"/>
    <s v="Ngozi Ibrahim"/>
    <x v="0"/>
    <x v="7"/>
    <x v="0"/>
  </r>
  <r>
    <s v="TXN-01289"/>
    <d v="2025-10-03T00:00:00"/>
    <x v="0"/>
    <s v="North-Central"/>
    <x v="0"/>
    <s v="Bathing Soap Pack"/>
    <n v="4"/>
    <n v="27650"/>
    <n v="0"/>
    <n v="110600"/>
    <n v="110600"/>
    <n v="0"/>
    <x v="2"/>
    <s v="Chidera Bello"/>
    <x v="0"/>
    <x v="6"/>
    <x v="1"/>
  </r>
  <r>
    <s v="TXN-00074"/>
    <d v="2025-07-03T00:00:00"/>
    <x v="0"/>
    <s v="North-Central"/>
    <x v="2"/>
    <s v="Dinner Set"/>
    <n v="11"/>
    <n v="5200"/>
    <n v="15"/>
    <n v="48620"/>
    <n v="57200"/>
    <n v="8580"/>
    <x v="2"/>
    <s v="Ade Abubakar"/>
    <x v="0"/>
    <x v="10"/>
    <x v="0"/>
  </r>
  <r>
    <s v="TXN-00896"/>
    <d v="2025-09-02T00:00:00"/>
    <x v="4"/>
    <s v="North-West"/>
    <x v="3"/>
    <s v="Ladies Ankara Gown"/>
    <n v="12"/>
    <n v="16470"/>
    <n v="0"/>
    <n v="197640"/>
    <n v="197640"/>
    <n v="0"/>
    <x v="1"/>
    <s v="Kelechi Nwosu"/>
    <x v="0"/>
    <x v="0"/>
    <x v="1"/>
  </r>
  <r>
    <s v="TXN-00427"/>
    <d v="2025-06-04T00:00:00"/>
    <x v="6"/>
    <s v="South-South"/>
    <x v="4"/>
    <s v="Spaghetti Pack"/>
    <n v="12"/>
    <n v="7540"/>
    <n v="0"/>
    <n v="90480"/>
    <n v="90480"/>
    <n v="0"/>
    <x v="2"/>
    <s v="Funmi Eze"/>
    <x v="0"/>
    <x v="1"/>
    <x v="1"/>
  </r>
  <r>
    <s v="TXN-00662"/>
    <d v="2025-01-09T00:00:00"/>
    <x v="4"/>
    <s v="South-West"/>
    <x v="1"/>
    <s v="LED TV 43&quot;"/>
    <n v="8"/>
    <n v="3570"/>
    <n v="0"/>
    <n v="28560"/>
    <n v="28560"/>
    <n v="0"/>
    <x v="0"/>
    <s v="Amaka Onwuka"/>
    <x v="0"/>
    <x v="7"/>
    <x v="0"/>
  </r>
  <r>
    <s v="TXN-00707"/>
    <d v="2025-09-06T00:00:00"/>
    <x v="2"/>
    <s v="South-East"/>
    <x v="3"/>
    <s v="Handbag"/>
    <n v="3"/>
    <n v="2780"/>
    <n v="0"/>
    <n v="8340"/>
    <n v="8340"/>
    <n v="0"/>
    <x v="0"/>
    <s v="Obinna Yusuf"/>
    <x v="0"/>
    <x v="0"/>
    <x v="1"/>
  </r>
  <r>
    <s v="TXN-00825"/>
    <d v="2025-12-31T00:00:00"/>
    <x v="3"/>
    <s v="South-South"/>
    <x v="4"/>
    <s v="Sugar 1kg"/>
    <n v="5"/>
    <n v="3190"/>
    <n v="0"/>
    <n v="15950"/>
    <n v="15950"/>
    <n v="0"/>
    <x v="1"/>
    <s v="Peter Adekunle"/>
    <x v="0"/>
    <x v="11"/>
    <x v="0"/>
  </r>
  <r>
    <s v="TXN-00774"/>
    <d v="2025-06-01T00:00:00"/>
    <x v="1"/>
    <s v="South-West"/>
    <x v="1"/>
    <s v="Power Bank 20000mAh"/>
    <n v="12"/>
    <n v="4670"/>
    <n v="0"/>
    <n v="56040"/>
    <n v="56040"/>
    <n v="0"/>
    <x v="1"/>
    <s v="Ngozi Ibrahim"/>
    <x v="0"/>
    <x v="1"/>
    <x v="0"/>
  </r>
  <r>
    <s v="TXN-01276"/>
    <d v="2025-01-13T00:00:00"/>
    <x v="6"/>
    <s v="South-South"/>
    <x v="2"/>
    <s v="Curtain Set"/>
    <n v="8"/>
    <n v="5020"/>
    <n v="10"/>
    <n v="36144"/>
    <n v="40160"/>
    <n v="4016"/>
    <x v="1"/>
    <s v="Obinna Yusuf"/>
    <x v="0"/>
    <x v="7"/>
    <x v="1"/>
  </r>
  <r>
    <s v="TXN-01086"/>
    <d v="2025-08-16T00:00:00"/>
    <x v="6"/>
    <s v="South-South"/>
    <x v="0"/>
    <s v="Body Lotion 400ml"/>
    <n v="3"/>
    <n v="41200"/>
    <n v="0"/>
    <n v="123600"/>
    <n v="123600"/>
    <n v="0"/>
    <x v="1"/>
    <s v="Ade Abubakar"/>
    <x v="0"/>
    <x v="2"/>
    <x v="1"/>
  </r>
  <r>
    <s v="TXN-00905"/>
    <d v="2025-11-24T00:00:00"/>
    <x v="2"/>
    <s v="South-East"/>
    <x v="3"/>
    <s v="School Sandals"/>
    <n v="10"/>
    <n v="7980"/>
    <n v="0"/>
    <n v="79800"/>
    <n v="79800"/>
    <n v="0"/>
    <x v="3"/>
    <s v="Chinwe Etim"/>
    <x v="0"/>
    <x v="3"/>
    <x v="1"/>
  </r>
  <r>
    <s v="TXN-01176"/>
    <d v="2025-09-27T00:00:00"/>
    <x v="4"/>
    <s v="South-West"/>
    <x v="0"/>
    <s v="Baby Diaper Pack"/>
    <n v="6"/>
    <n v="560"/>
    <n v="15"/>
    <n v="2856"/>
    <n v="3360"/>
    <n v="504"/>
    <x v="1"/>
    <s v="Obinna Yusuf"/>
    <x v="0"/>
    <x v="0"/>
    <x v="1"/>
  </r>
  <r>
    <s v="TXN-00970"/>
    <d v="2025-01-28T00:00:00"/>
    <x v="5"/>
    <s v="South-West"/>
    <x v="4"/>
    <s v="Spaghetti Pack"/>
    <n v="2"/>
    <n v="7710"/>
    <n v="0"/>
    <n v="15420"/>
    <n v="15420"/>
    <n v="0"/>
    <x v="1"/>
    <s v="Peter Adekunle"/>
    <x v="0"/>
    <x v="7"/>
    <x v="1"/>
  </r>
  <r>
    <s v="TXN-00832"/>
    <d v="2025-08-23T00:00:00"/>
    <x v="0"/>
    <s v="North-Central"/>
    <x v="3"/>
    <s v="Men's Polo Shirt"/>
    <n v="1"/>
    <n v="9140"/>
    <n v="0"/>
    <n v="9140"/>
    <n v="9140"/>
    <n v="0"/>
    <x v="3"/>
    <s v="Grace Okafor"/>
    <x v="0"/>
    <x v="2"/>
    <x v="0"/>
  </r>
  <r>
    <s v="TXN-00056"/>
    <d v="2025-10-28T00:00:00"/>
    <x v="3"/>
    <s v="South-South"/>
    <x v="1"/>
    <s v="Power Bank 20000mAh"/>
    <n v="11"/>
    <n v="9120"/>
    <n v="0"/>
    <n v="100320"/>
    <n v="100320"/>
    <n v="0"/>
    <x v="2"/>
    <s v="Uche Okoro"/>
    <x v="0"/>
    <x v="6"/>
    <x v="0"/>
  </r>
  <r>
    <s v="TXN-00674"/>
    <d v="2025-05-01T00:00:00"/>
    <x v="2"/>
    <s v="South-East"/>
    <x v="3"/>
    <s v="Men's Polo Shirt"/>
    <n v="7"/>
    <n v="530"/>
    <n v="0"/>
    <n v="3710"/>
    <n v="3710"/>
    <n v="0"/>
    <x v="1"/>
    <s v="Obinna Yusuf"/>
    <x v="0"/>
    <x v="5"/>
    <x v="1"/>
  </r>
  <r>
    <s v="TXN-00653"/>
    <d v="2025-03-23T00:00:00"/>
    <x v="2"/>
    <s v="South-East"/>
    <x v="0"/>
    <s v="Bathing Soap Pack"/>
    <n v="2"/>
    <n v="12300"/>
    <n v="15"/>
    <n v="20910"/>
    <n v="24600"/>
    <n v="3690"/>
    <x v="2"/>
    <s v="Ngozi Ibrahim"/>
    <x v="0"/>
    <x v="9"/>
    <x v="0"/>
  </r>
  <r>
    <s v="TXN-01251"/>
    <d v="2025-02-02T00:00:00"/>
    <x v="0"/>
    <s v="North-Central"/>
    <x v="3"/>
    <s v="Kids Sneakers"/>
    <n v="8"/>
    <n v="7500"/>
    <n v="0"/>
    <n v="60000"/>
    <n v="60000"/>
    <n v="0"/>
    <x v="3"/>
    <s v="Ade Abubakar"/>
    <x v="0"/>
    <x v="8"/>
    <x v="0"/>
  </r>
  <r>
    <s v="TXN-00911"/>
    <d v="2025-02-09T00:00:00"/>
    <x v="6"/>
    <s v="South-South"/>
    <x v="4"/>
    <s v="Spaghetti Pack"/>
    <n v="5"/>
    <n v="40770"/>
    <n v="5"/>
    <n v="193657.5"/>
    <n v="203850"/>
    <n v="10192.5"/>
    <x v="2"/>
    <s v="Mary Nnamdi"/>
    <x v="0"/>
    <x v="8"/>
    <x v="1"/>
  </r>
  <r>
    <s v="TXN-01487"/>
    <d v="2025-08-27T00:00:00"/>
    <x v="2"/>
    <s v="South-East"/>
    <x v="4"/>
    <s v="Milo 500g"/>
    <n v="10"/>
    <n v="7140"/>
    <n v="0"/>
    <n v="71400"/>
    <n v="71400"/>
    <n v="0"/>
    <x v="2"/>
    <s v="Segun Chukwu"/>
    <x v="0"/>
    <x v="2"/>
    <x v="0"/>
  </r>
  <r>
    <s v="TXN-01032"/>
    <d v="2025-10-02T00:00:00"/>
    <x v="5"/>
    <s v="South-West"/>
    <x v="0"/>
    <s v="Hair Relaxer Kit"/>
    <n v="5"/>
    <n v="42820"/>
    <n v="5"/>
    <n v="203395"/>
    <n v="214100"/>
    <n v="10705"/>
    <x v="1"/>
    <s v="Tunde Balogun"/>
    <x v="0"/>
    <x v="6"/>
    <x v="1"/>
  </r>
  <r>
    <s v="TXN-00215"/>
    <d v="2025-01-13T00:00:00"/>
    <x v="6"/>
    <s v="South-South"/>
    <x v="1"/>
    <s v="Power Bank 20000mAh"/>
    <n v="2"/>
    <n v="49690"/>
    <n v="0"/>
    <n v="99380"/>
    <n v="99380"/>
    <n v="0"/>
    <x v="2"/>
    <s v="Chidera Bello"/>
    <x v="0"/>
    <x v="7"/>
    <x v="1"/>
  </r>
  <r>
    <s v="TXN-01230"/>
    <d v="2025-04-21T00:00:00"/>
    <x v="2"/>
    <s v="South-East"/>
    <x v="3"/>
    <s v="Kids Sneakers"/>
    <n v="2"/>
    <n v="25910"/>
    <n v="0"/>
    <n v="51820"/>
    <n v="51820"/>
    <n v="0"/>
    <x v="2"/>
    <s v="Segun Chukwu"/>
    <x v="0"/>
    <x v="4"/>
    <x v="0"/>
  </r>
  <r>
    <s v="TXN-00594"/>
    <d v="2025-03-10T00:00:00"/>
    <x v="6"/>
    <s v="South-South"/>
    <x v="1"/>
    <s v="Bluetooth Speaker"/>
    <n v="10"/>
    <n v="25650"/>
    <n v="0"/>
    <n v="256500"/>
    <n v="256500"/>
    <n v="0"/>
    <x v="0"/>
    <s v="Uche Okoro"/>
    <x v="0"/>
    <x v="9"/>
    <x v="0"/>
  </r>
  <r>
    <s v="TXN-00350"/>
    <d v="2025-07-03T00:00:00"/>
    <x v="1"/>
    <s v="South-West"/>
    <x v="0"/>
    <s v="Deodorant Roll-on"/>
    <n v="2"/>
    <n v="540"/>
    <n v="5"/>
    <n v="1026"/>
    <n v="1080"/>
    <n v="54"/>
    <x v="3"/>
    <s v="Ade Abubakar"/>
    <x v="0"/>
    <x v="10"/>
    <x v="1"/>
  </r>
  <r>
    <s v="TXN-01334"/>
    <d v="2025-04-19T00:00:00"/>
    <x v="3"/>
    <s v="South-South"/>
    <x v="3"/>
    <s v="Ladies Ankara Gown"/>
    <n v="11"/>
    <n v="1250"/>
    <n v="5"/>
    <n v="13062.5"/>
    <n v="13750"/>
    <n v="687.5"/>
    <x v="2"/>
    <s v="Funmi Eze"/>
    <x v="0"/>
    <x v="4"/>
    <x v="0"/>
  </r>
  <r>
    <s v="TXN-00266"/>
    <d v="2025-09-02T00:00:00"/>
    <x v="1"/>
    <s v="South-West"/>
    <x v="4"/>
    <s v="Sugar 1kg"/>
    <n v="10"/>
    <n v="1250"/>
    <n v="5"/>
    <n v="11875"/>
    <n v="12500"/>
    <n v="625"/>
    <x v="2"/>
    <s v="Grace Okafor"/>
    <x v="0"/>
    <x v="0"/>
    <x v="1"/>
  </r>
  <r>
    <s v="TXN-01333"/>
    <d v="2025-01-17T00:00:00"/>
    <x v="1"/>
    <s v="South-West"/>
    <x v="4"/>
    <s v="Indomie Carton"/>
    <n v="3"/>
    <n v="8600"/>
    <n v="15"/>
    <n v="21930"/>
    <n v="25800"/>
    <n v="3870"/>
    <x v="2"/>
    <s v="Segun Chukwu"/>
    <x v="0"/>
    <x v="7"/>
    <x v="0"/>
  </r>
  <r>
    <s v="TXN-01017"/>
    <d v="2025-04-26T00:00:00"/>
    <x v="5"/>
    <s v="South-West"/>
    <x v="1"/>
    <s v="Microwave Oven"/>
    <n v="4"/>
    <n v="69770"/>
    <n v="15"/>
    <n v="237218"/>
    <n v="279080"/>
    <n v="41862"/>
    <x v="1"/>
    <s v="Amaka Onwuka"/>
    <x v="0"/>
    <x v="4"/>
    <x v="1"/>
  </r>
  <r>
    <s v="TXN-00799"/>
    <d v="2025-08-12T00:00:00"/>
    <x v="0"/>
    <s v="North-Central"/>
    <x v="4"/>
    <s v="Curtain Set"/>
    <n v="7"/>
    <n v="13080"/>
    <n v="0"/>
    <n v="91560"/>
    <n v="91560"/>
    <n v="0"/>
    <x v="3"/>
    <s v="Ifeoma Adeyemi"/>
    <x v="0"/>
    <x v="2"/>
    <x v="0"/>
  </r>
  <r>
    <s v="TXN-00582"/>
    <d v="2025-04-29T00:00:00"/>
    <x v="4"/>
    <s v="North-West"/>
    <x v="1"/>
    <s v="Home Theatre System"/>
    <n v="1"/>
    <n v="7570"/>
    <n v="5"/>
    <n v="7191.5"/>
    <n v="7570"/>
    <n v="378.5"/>
    <x v="2"/>
    <s v="Amaka Onwuka"/>
    <x v="0"/>
    <x v="4"/>
    <x v="0"/>
  </r>
  <r>
    <s v="TXN-00364"/>
    <d v="2025-07-08T00:00:00"/>
    <x v="1"/>
    <s v="South-West"/>
    <x v="1"/>
    <s v="Bluetooth Speaker"/>
    <n v="9"/>
    <n v="4580"/>
    <n v="0"/>
    <n v="41220"/>
    <n v="41220"/>
    <n v="0"/>
    <x v="1"/>
    <s v="Peter Adekunle"/>
    <x v="0"/>
    <x v="10"/>
    <x v="1"/>
  </r>
  <r>
    <s v="TXN-00689"/>
    <d v="2025-01-01T00:00:00"/>
    <x v="3"/>
    <s v="South-South"/>
    <x v="3"/>
    <s v="Kids Sneakers"/>
    <n v="3"/>
    <n v="12200"/>
    <n v="10"/>
    <n v="32940"/>
    <n v="36600"/>
    <n v="3660"/>
    <x v="3"/>
    <s v="Obinna Yusuf"/>
    <x v="0"/>
    <x v="7"/>
    <x v="1"/>
  </r>
  <r>
    <s v="TXN-01239"/>
    <d v="2025-10-16T00:00:00"/>
    <x v="2"/>
    <s v="South-East"/>
    <x v="3"/>
    <s v="Wristwatch"/>
    <n v="1"/>
    <n v="17390"/>
    <n v="0"/>
    <n v="17390"/>
    <n v="17390"/>
    <n v="0"/>
    <x v="0"/>
    <s v="Mary Nnamdi"/>
    <x v="0"/>
    <x v="6"/>
    <x v="0"/>
  </r>
  <r>
    <s v="TXN-01237"/>
    <d v="2025-06-13T00:00:00"/>
    <x v="2"/>
    <s v="South-East"/>
    <x v="4"/>
    <s v="Cleaning Mop"/>
    <n v="8"/>
    <n v="73760"/>
    <n v="0"/>
    <n v="590080"/>
    <n v="590080"/>
    <n v="0"/>
    <x v="0"/>
    <s v="Chinwe Etim"/>
    <x v="0"/>
    <x v="1"/>
    <x v="1"/>
  </r>
  <r>
    <s v="TXN-00701"/>
    <d v="2025-07-01T00:00:00"/>
    <x v="5"/>
    <s v="South-West"/>
    <x v="4"/>
    <s v="Sugar 1kg"/>
    <n v="4"/>
    <n v="12740"/>
    <n v="0"/>
    <n v="50960"/>
    <n v="50960"/>
    <n v="0"/>
    <x v="0"/>
    <s v="Uche Okoro"/>
    <x v="0"/>
    <x v="10"/>
    <x v="0"/>
  </r>
  <r>
    <s v="TXN-00705"/>
    <d v="2025-06-19T00:00:00"/>
    <x v="4"/>
    <s v="North-West"/>
    <x v="4"/>
    <s v="Tomato Paste Carton"/>
    <n v="11"/>
    <n v="5170"/>
    <n v="10"/>
    <n v="51183"/>
    <n v="56870"/>
    <n v="5687"/>
    <x v="3"/>
    <s v="Ngozi Ibrahim"/>
    <x v="0"/>
    <x v="1"/>
    <x v="1"/>
  </r>
  <r>
    <s v="TXN-01115"/>
    <d v="2025-10-27T00:00:00"/>
    <x v="1"/>
    <s v="South-West"/>
    <x v="2"/>
    <s v="Plastic Chair Set"/>
    <n v="12"/>
    <n v="5690"/>
    <n v="15"/>
    <n v="58038"/>
    <n v="68280"/>
    <n v="10242"/>
    <x v="2"/>
    <s v="Funmi Eze"/>
    <x v="0"/>
    <x v="6"/>
    <x v="0"/>
  </r>
  <r>
    <s v="TXN-00656"/>
    <d v="2025-08-19T00:00:00"/>
    <x v="2"/>
    <s v="South-East"/>
    <x v="3"/>
    <s v="Denim Jeans"/>
    <n v="8"/>
    <n v="7300"/>
    <n v="15"/>
    <n v="49640"/>
    <n v="58400"/>
    <n v="8760"/>
    <x v="3"/>
    <s v="Mary Nnamdi"/>
    <x v="0"/>
    <x v="2"/>
    <x v="1"/>
  </r>
  <r>
    <s v="TXN-01369"/>
    <d v="2025-05-16T00:00:00"/>
    <x v="5"/>
    <s v="South-West"/>
    <x v="3"/>
    <s v="Handbag"/>
    <n v="7"/>
    <n v="16840"/>
    <n v="15"/>
    <n v="100198"/>
    <n v="117880"/>
    <n v="17682"/>
    <x v="3"/>
    <s v="Amaka Onwuka"/>
    <x v="0"/>
    <x v="5"/>
    <x v="0"/>
  </r>
  <r>
    <s v="TXN-01450"/>
    <d v="2025-08-18T00:00:00"/>
    <x v="1"/>
    <s v="South-West"/>
    <x v="3"/>
    <s v="Office Blazer"/>
    <n v="6"/>
    <n v="16660"/>
    <n v="5"/>
    <n v="94962"/>
    <n v="99960"/>
    <n v="4998"/>
    <x v="0"/>
    <s v="Chinwe Etim"/>
    <x v="0"/>
    <x v="2"/>
    <x v="0"/>
  </r>
  <r>
    <s v="TXN-00988"/>
    <d v="2025-08-23T00:00:00"/>
    <x v="5"/>
    <s v="South-West"/>
    <x v="0"/>
    <s v="Baby Diaper Pack"/>
    <n v="7"/>
    <n v="3170"/>
    <n v="0"/>
    <n v="22190"/>
    <n v="22190"/>
    <n v="0"/>
    <x v="1"/>
    <s v="Grace Okafor"/>
    <x v="0"/>
    <x v="2"/>
    <x v="1"/>
  </r>
  <r>
    <s v="TXN-01110"/>
    <d v="2025-06-01T00:00:00"/>
    <x v="6"/>
    <s v="South-South"/>
    <x v="4"/>
    <s v="School Sandals"/>
    <n v="9"/>
    <n v="3510"/>
    <n v="0"/>
    <n v="31590"/>
    <n v="31590"/>
    <n v="0"/>
    <x v="2"/>
    <s v="Chinwe Etim"/>
    <x v="0"/>
    <x v="1"/>
    <x v="1"/>
  </r>
  <r>
    <s v="TXN-00413"/>
    <d v="2025-07-19T00:00:00"/>
    <x v="4"/>
    <s v="North-West"/>
    <x v="4"/>
    <s v="Rice 50kg Bag"/>
    <n v="1"/>
    <n v="2270"/>
    <n v="10"/>
    <n v="2043"/>
    <n v="2270"/>
    <n v="227"/>
    <x v="1"/>
    <s v="Peter Adekunle"/>
    <x v="0"/>
    <x v="10"/>
    <x v="1"/>
  </r>
  <r>
    <s v="TXN-00463"/>
    <d v="2025-09-08T00:00:00"/>
    <x v="6"/>
    <s v="South-South"/>
    <x v="3"/>
    <s v="Men's Polo Shirt"/>
    <n v="7"/>
    <n v="65290"/>
    <n v="10"/>
    <n v="411327"/>
    <n v="457030"/>
    <n v="45703"/>
    <x v="3"/>
    <s v="Chinwe Etim"/>
    <x v="0"/>
    <x v="0"/>
    <x v="0"/>
  </r>
  <r>
    <s v="TXN-00045"/>
    <d v="2025-05-02T00:00:00"/>
    <x v="6"/>
    <s v="South-South"/>
    <x v="3"/>
    <s v="Wristwatch"/>
    <n v="4"/>
    <n v="16850"/>
    <n v="0"/>
    <n v="67400"/>
    <n v="67400"/>
    <n v="0"/>
    <x v="2"/>
    <s v="Ngozi Ibrahim"/>
    <x v="0"/>
    <x v="5"/>
    <x v="1"/>
  </r>
  <r>
    <s v="TXN-01391"/>
    <d v="2025-10-02T00:00:00"/>
    <x v="0"/>
    <s v="South-West"/>
    <x v="4"/>
    <s v="Sugar 1kg"/>
    <n v="6"/>
    <n v="27870"/>
    <n v="5"/>
    <n v="158859"/>
    <n v="167220"/>
    <n v="8361"/>
    <x v="3"/>
    <s v="Mary Nnamdi"/>
    <x v="0"/>
    <x v="6"/>
    <x v="1"/>
  </r>
  <r>
    <s v="TXN-00699"/>
    <d v="2025-10-14T00:00:00"/>
    <x v="0"/>
    <s v="North-Central"/>
    <x v="1"/>
    <s v="Bluetooth Speaker"/>
    <n v="9"/>
    <n v="19350"/>
    <n v="10"/>
    <n v="156735"/>
    <n v="174150"/>
    <n v="17415"/>
    <x v="3"/>
    <s v="Ngozi Ibrahim"/>
    <x v="0"/>
    <x v="6"/>
    <x v="1"/>
  </r>
  <r>
    <s v="TXN-00318"/>
    <d v="2025-10-18T00:00:00"/>
    <x v="2"/>
    <s v="South-East"/>
    <x v="1"/>
    <s v="Power Bank 20000mAh"/>
    <n v="8"/>
    <n v="71790"/>
    <n v="0"/>
    <n v="574320"/>
    <n v="574320"/>
    <n v="0"/>
    <x v="1"/>
    <s v="Ifeoma Adeyemi"/>
    <x v="0"/>
    <x v="6"/>
    <x v="1"/>
  </r>
  <r>
    <s v="TXN-01321"/>
    <d v="2025-12-08T00:00:00"/>
    <x v="4"/>
    <s v="North-West"/>
    <x v="0"/>
    <s v="Perfume 100ml"/>
    <n v="4"/>
    <n v="1290"/>
    <n v="15"/>
    <n v="4386"/>
    <n v="5160"/>
    <n v="774"/>
    <x v="3"/>
    <s v="Ngozi Ibrahim"/>
    <x v="0"/>
    <x v="11"/>
    <x v="1"/>
  </r>
  <r>
    <s v="TXN-00797"/>
    <d v="2025-07-17T00:00:00"/>
    <x v="4"/>
    <s v="North-West"/>
    <x v="1"/>
    <s v="Power Bank 20000mAh"/>
    <n v="6"/>
    <n v="4970"/>
    <n v="0"/>
    <n v="29820"/>
    <n v="29820"/>
    <n v="0"/>
    <x v="1"/>
    <s v="Ade Abubakar"/>
    <x v="0"/>
    <x v="10"/>
    <x v="0"/>
  </r>
  <r>
    <s v="TXN-01254"/>
    <d v="2025-01-04T00:00:00"/>
    <x v="3"/>
    <s v="South-South"/>
    <x v="0"/>
    <s v="Shea Butter Cream"/>
    <n v="7"/>
    <n v="8290"/>
    <n v="0"/>
    <n v="58030"/>
    <n v="58030"/>
    <n v="0"/>
    <x v="0"/>
    <s v="Peter Adekunle"/>
    <x v="0"/>
    <x v="7"/>
    <x v="0"/>
  </r>
  <r>
    <s v="TXN-01359"/>
    <d v="2025-04-15T00:00:00"/>
    <x v="6"/>
    <s v="South-South"/>
    <x v="4"/>
    <s v="Rice 50kg Bag"/>
    <n v="9"/>
    <n v="470"/>
    <n v="15"/>
    <n v="3595.5"/>
    <n v="4230"/>
    <n v="634.5"/>
    <x v="0"/>
    <s v="Segun Chukwu"/>
    <x v="0"/>
    <x v="4"/>
    <x v="0"/>
  </r>
  <r>
    <s v="TXN-00321"/>
    <d v="2025-03-14T00:00:00"/>
    <x v="6"/>
    <s v="South-South"/>
    <x v="0"/>
    <s v="Bathing Soap Pack"/>
    <n v="2"/>
    <n v="67910"/>
    <n v="0"/>
    <n v="135820"/>
    <n v="135820"/>
    <n v="0"/>
    <x v="2"/>
    <s v="Funmi Eze"/>
    <x v="0"/>
    <x v="9"/>
    <x v="0"/>
  </r>
  <r>
    <s v="TXN-01322"/>
    <d v="2025-08-09T00:00:00"/>
    <x v="2"/>
    <s v="South-East"/>
    <x v="0"/>
    <s v="Hair Relaxer Kit"/>
    <n v="11"/>
    <n v="8750"/>
    <n v="15"/>
    <n v="81812.5"/>
    <n v="96250"/>
    <n v="14437.5"/>
    <x v="3"/>
    <s v="Uche Okoro"/>
    <x v="0"/>
    <x v="2"/>
    <x v="0"/>
  </r>
  <r>
    <s v="TXN-00305"/>
    <d v="2025-03-11T00:00:00"/>
    <x v="5"/>
    <s v="South-West"/>
    <x v="1"/>
    <s v="Bluetooth Speaker"/>
    <n v="8"/>
    <n v="2700"/>
    <n v="0"/>
    <n v="21600"/>
    <n v="21600"/>
    <n v="0"/>
    <x v="0"/>
    <s v="Mary Nnamdi"/>
    <x v="0"/>
    <x v="9"/>
    <x v="0"/>
  </r>
  <r>
    <s v="TXN-00975"/>
    <d v="2025-12-15T00:00:00"/>
    <x v="1"/>
    <s v="South-West"/>
    <x v="4"/>
    <s v="Sugar 1kg"/>
    <n v="7"/>
    <n v="11010"/>
    <n v="15"/>
    <n v="65509.5"/>
    <n v="77070"/>
    <n v="11560.5"/>
    <x v="2"/>
    <s v="Ifeoma Adeyemi"/>
    <x v="0"/>
    <x v="11"/>
    <x v="0"/>
  </r>
  <r>
    <s v="TXN-00627"/>
    <d v="2025-03-02T00:00:00"/>
    <x v="1"/>
    <s v="South-West"/>
    <x v="2"/>
    <s v="Plastic Chair Set"/>
    <n v="11"/>
    <n v="9980"/>
    <n v="0"/>
    <n v="109780"/>
    <n v="109780"/>
    <n v="0"/>
    <x v="2"/>
    <s v="Mary Nnamdi"/>
    <x v="0"/>
    <x v="9"/>
    <x v="1"/>
  </r>
  <r>
    <s v="TXN-00597"/>
    <d v="2025-11-10T00:00:00"/>
    <x v="6"/>
    <s v="South-South"/>
    <x v="4"/>
    <s v="Spaghetti Pack"/>
    <n v="7"/>
    <n v="470"/>
    <n v="10"/>
    <n v="2961"/>
    <n v="3290"/>
    <n v="329"/>
    <x v="2"/>
    <s v="Uche Okoro"/>
    <x v="0"/>
    <x v="3"/>
    <x v="1"/>
  </r>
  <r>
    <s v="TXN-00971"/>
    <d v="2025-06-03T00:00:00"/>
    <x v="0"/>
    <s v="South-West"/>
    <x v="3"/>
    <s v="Men's Polo Shirt"/>
    <n v="10"/>
    <n v="16770"/>
    <n v="0"/>
    <n v="167700"/>
    <n v="167700"/>
    <n v="0"/>
    <x v="2"/>
    <s v="Amaka Onwuka"/>
    <x v="0"/>
    <x v="1"/>
    <x v="1"/>
  </r>
  <r>
    <s v="TXN-01051"/>
    <d v="2025-09-04T00:00:00"/>
    <x v="4"/>
    <s v="North-West"/>
    <x v="4"/>
    <s v="Tomato Paste Carton"/>
    <n v="10"/>
    <n v="49620"/>
    <n v="0"/>
    <n v="496200"/>
    <n v="496200"/>
    <n v="0"/>
    <x v="3"/>
    <s v="Funmi Eze"/>
    <x v="0"/>
    <x v="0"/>
    <x v="1"/>
  </r>
  <r>
    <s v="TXN-00886"/>
    <d v="2025-09-11T00:00:00"/>
    <x v="2"/>
    <s v="South-East"/>
    <x v="0"/>
    <s v="Baby Diaper Pack"/>
    <n v="10"/>
    <n v="41960"/>
    <n v="15"/>
    <n v="356660"/>
    <n v="419600"/>
    <n v="62940"/>
    <x v="1"/>
    <s v="Chidera Bello"/>
    <x v="0"/>
    <x v="0"/>
    <x v="1"/>
  </r>
  <r>
    <s v="TXN-01062"/>
    <d v="2025-04-10T00:00:00"/>
    <x v="4"/>
    <s v="North-West"/>
    <x v="1"/>
    <s v="Rice Cooker"/>
    <n v="4"/>
    <n v="450"/>
    <n v="0"/>
    <n v="1800"/>
    <n v="1800"/>
    <n v="0"/>
    <x v="2"/>
    <s v="Kelechi Nwosu"/>
    <x v="0"/>
    <x v="4"/>
    <x v="0"/>
  </r>
  <r>
    <s v="TXN-01442"/>
    <d v="2025-12-29T00:00:00"/>
    <x v="1"/>
    <s v="South-West"/>
    <x v="4"/>
    <s v="Rice 50kg Bag"/>
    <n v="6"/>
    <n v="50860"/>
    <n v="0"/>
    <n v="305160"/>
    <n v="305160"/>
    <n v="0"/>
    <x v="2"/>
    <s v="Mary Nnamdi"/>
    <x v="0"/>
    <x v="11"/>
    <x v="1"/>
  </r>
  <r>
    <s v="TXN-00482"/>
    <d v="2025-10-30T00:00:00"/>
    <x v="5"/>
    <s v="South-West"/>
    <x v="1"/>
    <s v="Power Bank 20000mAh"/>
    <n v="10"/>
    <n v="3990"/>
    <n v="5"/>
    <n v="37905"/>
    <n v="39900"/>
    <n v="1995"/>
    <x v="2"/>
    <s v="Ade Abubakar"/>
    <x v="0"/>
    <x v="6"/>
    <x v="1"/>
  </r>
  <r>
    <s v="TXN-01013"/>
    <d v="2025-04-10T00:00:00"/>
    <x v="4"/>
    <s v="North-West"/>
    <x v="3"/>
    <s v="Wristwatch"/>
    <n v="7"/>
    <n v="9630"/>
    <n v="5"/>
    <n v="64039.5"/>
    <n v="67410"/>
    <n v="3370.5"/>
    <x v="2"/>
    <s v="Ade Abubakar"/>
    <x v="0"/>
    <x v="4"/>
    <x v="1"/>
  </r>
  <r>
    <s v="TXN-00661"/>
    <d v="2025-10-10T00:00:00"/>
    <x v="5"/>
    <s v="South-West"/>
    <x v="4"/>
    <s v="Sugar 1kg"/>
    <n v="10"/>
    <n v="2280"/>
    <n v="10"/>
    <n v="20520"/>
    <n v="22800"/>
    <n v="2280"/>
    <x v="3"/>
    <s v="Kelechi Nwosu"/>
    <x v="0"/>
    <x v="6"/>
    <x v="1"/>
  </r>
  <r>
    <s v="TXN-00009"/>
    <d v="2025-06-02T00:00:00"/>
    <x v="4"/>
    <s v="South-West"/>
    <x v="4"/>
    <s v="Rice 50kg Bag"/>
    <n v="1"/>
    <n v="3210"/>
    <n v="15"/>
    <n v="2728.5"/>
    <n v="3210"/>
    <n v="481.5"/>
    <x v="3"/>
    <s v="Chinwe Etim"/>
    <x v="0"/>
    <x v="1"/>
    <x v="0"/>
  </r>
  <r>
    <s v="TXN-00583"/>
    <d v="2025-08-03T00:00:00"/>
    <x v="4"/>
    <s v="North-West"/>
    <x v="4"/>
    <s v="Milo 500g"/>
    <n v="4"/>
    <n v="7880"/>
    <n v="10"/>
    <n v="28368"/>
    <n v="31520"/>
    <n v="3152"/>
    <x v="2"/>
    <s v="Mary Nnamdi"/>
    <x v="0"/>
    <x v="2"/>
    <x v="1"/>
  </r>
  <r>
    <s v="TXN-00053"/>
    <d v="2025-09-03T00:00:00"/>
    <x v="1"/>
    <s v="South-West"/>
    <x v="2"/>
    <s v="Bedsheet Set"/>
    <n v="3"/>
    <n v="8150"/>
    <n v="5"/>
    <n v="23227.5"/>
    <n v="24450"/>
    <n v="1222.5"/>
    <x v="1"/>
    <s v="Chinwe Etim"/>
    <x v="0"/>
    <x v="0"/>
    <x v="1"/>
  </r>
  <r>
    <s v="TXN-01308"/>
    <d v="2025-10-01T00:00:00"/>
    <x v="0"/>
    <s v="North-Central"/>
    <x v="4"/>
    <s v="Indomie Carton"/>
    <n v="4"/>
    <n v="12770"/>
    <n v="10"/>
    <n v="45972"/>
    <n v="51080"/>
    <n v="5108"/>
    <x v="1"/>
    <s v="Uche Okoro"/>
    <x v="0"/>
    <x v="6"/>
    <x v="1"/>
  </r>
  <r>
    <s v="TXN-00952"/>
    <d v="2025-08-07T00:00:00"/>
    <x v="0"/>
    <s v="North-Central"/>
    <x v="0"/>
    <s v="Body Lotion 400ml"/>
    <n v="11"/>
    <n v="12460"/>
    <n v="0"/>
    <n v="137060"/>
    <n v="137060"/>
    <n v="0"/>
    <x v="2"/>
    <s v="Segun Chukwu"/>
    <x v="0"/>
    <x v="2"/>
    <x v="0"/>
  </r>
  <r>
    <s v="TXN-00406"/>
    <d v="2025-08-14T00:00:00"/>
    <x v="0"/>
    <s v="North-Central"/>
    <x v="0"/>
    <s v="Body Lotion 400ml"/>
    <n v="11"/>
    <n v="5230"/>
    <n v="0"/>
    <n v="57530"/>
    <n v="57530"/>
    <n v="0"/>
    <x v="2"/>
    <s v="Peter Adekunle"/>
    <x v="0"/>
    <x v="2"/>
    <x v="1"/>
  </r>
  <r>
    <s v="TXN-00866"/>
    <d v="2025-02-06T00:00:00"/>
    <x v="3"/>
    <s v="South-South"/>
    <x v="1"/>
    <s v="Power Bank 20000mAh"/>
    <n v="4"/>
    <n v="20630"/>
    <n v="15"/>
    <n v="70142"/>
    <n v="82520"/>
    <n v="12378"/>
    <x v="3"/>
    <s v="Mary Nnamdi"/>
    <x v="0"/>
    <x v="8"/>
    <x v="0"/>
  </r>
  <r>
    <s v="TXN-00590"/>
    <d v="2025-11-09T00:00:00"/>
    <x v="3"/>
    <s v="South-South"/>
    <x v="2"/>
    <s v="Curtain Set"/>
    <n v="5"/>
    <n v="2410"/>
    <n v="10"/>
    <n v="10845"/>
    <n v="12050"/>
    <n v="1205"/>
    <x v="2"/>
    <s v="Chinwe Etim"/>
    <x v="0"/>
    <x v="3"/>
    <x v="1"/>
  </r>
  <r>
    <s v="TXN-01060"/>
    <d v="2025-06-06T00:00:00"/>
    <x v="1"/>
    <s v="South-West"/>
    <x v="4"/>
    <s v="Tomato Paste Carton"/>
    <n v="3"/>
    <n v="2300"/>
    <n v="0"/>
    <n v="6900"/>
    <n v="6900"/>
    <n v="0"/>
    <x v="1"/>
    <s v="Mary Nnamdi"/>
    <x v="0"/>
    <x v="1"/>
    <x v="0"/>
  </r>
  <r>
    <s v="TXN-01010"/>
    <d v="2025-08-06T00:00:00"/>
    <x v="0"/>
    <s v="North-Central"/>
    <x v="0"/>
    <s v="Toothpaste Pack"/>
    <n v="5"/>
    <n v="9940"/>
    <n v="15"/>
    <n v="42245"/>
    <n v="49700"/>
    <n v="7455"/>
    <x v="0"/>
    <s v="Ngozi Ibrahim"/>
    <x v="0"/>
    <x v="2"/>
    <x v="0"/>
  </r>
  <r>
    <s v="TXN-01145"/>
    <d v="2025-12-23T00:00:00"/>
    <x v="6"/>
    <s v="South-South"/>
    <x v="3"/>
    <s v="Office Blazer"/>
    <n v="4"/>
    <n v="26810"/>
    <n v="15"/>
    <n v="91154"/>
    <n v="107240"/>
    <n v="16086"/>
    <x v="1"/>
    <s v="Chinwe Etim"/>
    <x v="0"/>
    <x v="11"/>
    <x v="1"/>
  </r>
  <r>
    <s v="TXN-00668"/>
    <d v="2025-04-21T00:00:00"/>
    <x v="6"/>
    <s v="South-South"/>
    <x v="2"/>
    <s v="Plastic Chair Set"/>
    <n v="9"/>
    <n v="8830"/>
    <n v="5"/>
    <n v="75496.5"/>
    <n v="79470"/>
    <n v="3973.5"/>
    <x v="2"/>
    <s v="Amaka Onwuka"/>
    <x v="0"/>
    <x v="4"/>
    <x v="1"/>
  </r>
  <r>
    <s v="TXN-01034"/>
    <d v="2025-03-16T00:00:00"/>
    <x v="0"/>
    <s v="North-Central"/>
    <x v="4"/>
    <s v="Milo 500g"/>
    <n v="11"/>
    <n v="4520"/>
    <n v="0"/>
    <n v="49720"/>
    <n v="49720"/>
    <n v="0"/>
    <x v="3"/>
    <s v="Uche Okoro"/>
    <x v="0"/>
    <x v="9"/>
    <x v="1"/>
  </r>
  <r>
    <s v="TXN-00407"/>
    <d v="2025-10-14T00:00:00"/>
    <x v="1"/>
    <s v="South-West"/>
    <x v="4"/>
    <s v="Perfume 100ml"/>
    <n v="12"/>
    <n v="12220"/>
    <n v="0"/>
    <n v="146640"/>
    <n v="146640"/>
    <n v="0"/>
    <x v="2"/>
    <s v="Kelechi Nwosu"/>
    <x v="0"/>
    <x v="6"/>
    <x v="0"/>
  </r>
  <r>
    <s v="TXN-01073"/>
    <d v="2025-06-10T00:00:00"/>
    <x v="4"/>
    <s v="North-West"/>
    <x v="4"/>
    <s v="Electric Kettle"/>
    <n v="1"/>
    <n v="18910"/>
    <n v="0"/>
    <n v="18910"/>
    <n v="18910"/>
    <n v="0"/>
    <x v="2"/>
    <s v="Obinna Yusuf"/>
    <x v="0"/>
    <x v="1"/>
    <x v="1"/>
  </r>
  <r>
    <s v="TXN-00630"/>
    <d v="2025-06-28T00:00:00"/>
    <x v="5"/>
    <s v="South-West"/>
    <x v="4"/>
    <s v="Milo 500g"/>
    <n v="6"/>
    <n v="4620"/>
    <n v="15"/>
    <n v="23562"/>
    <n v="27720"/>
    <n v="4158"/>
    <x v="2"/>
    <s v="Grace Okafor"/>
    <x v="0"/>
    <x v="1"/>
    <x v="1"/>
  </r>
  <r>
    <s v="TXN-00575"/>
    <d v="2025-03-31T00:00:00"/>
    <x v="3"/>
    <s v="South-South"/>
    <x v="0"/>
    <s v="Baby Diaper Pack"/>
    <n v="6"/>
    <n v="59680"/>
    <n v="0"/>
    <n v="358080"/>
    <n v="358080"/>
    <n v="0"/>
    <x v="3"/>
    <s v="Chinwe Etim"/>
    <x v="0"/>
    <x v="9"/>
    <x v="0"/>
  </r>
  <r>
    <s v="TXN-00659"/>
    <d v="2025-04-26T00:00:00"/>
    <x v="1"/>
    <s v="South-West"/>
    <x v="3"/>
    <s v="School Sandals"/>
    <n v="2"/>
    <n v="530"/>
    <n v="15"/>
    <n v="901"/>
    <n v="1060"/>
    <n v="159"/>
    <x v="2"/>
    <s v="Tunde Balogun"/>
    <x v="0"/>
    <x v="4"/>
    <x v="1"/>
  </r>
  <r>
    <s v="TXN-00375"/>
    <d v="2025-02-15T00:00:00"/>
    <x v="6"/>
    <s v="South-South"/>
    <x v="0"/>
    <s v="Toothpaste Pack"/>
    <n v="11"/>
    <n v="19110"/>
    <n v="5"/>
    <n v="199699.5"/>
    <n v="210210"/>
    <n v="10510.5"/>
    <x v="2"/>
    <s v="Ifeoma Adeyemi"/>
    <x v="0"/>
    <x v="8"/>
    <x v="0"/>
  </r>
  <r>
    <s v="TXN-00526"/>
    <d v="2025-04-13T00:00:00"/>
    <x v="1"/>
    <s v="South-West"/>
    <x v="4"/>
    <s v="Ladies Ankara Gown"/>
    <n v="7"/>
    <n v="60260"/>
    <n v="0"/>
    <n v="421820"/>
    <n v="421820"/>
    <n v="0"/>
    <x v="0"/>
    <s v="Chinwe Etim"/>
    <x v="0"/>
    <x v="4"/>
    <x v="0"/>
  </r>
  <r>
    <s v="TXN-00150"/>
    <d v="2025-11-10T00:00:00"/>
    <x v="4"/>
    <s v="North-West"/>
    <x v="2"/>
    <s v="Dinner Set"/>
    <n v="2"/>
    <n v="3390"/>
    <n v="5"/>
    <n v="6441"/>
    <n v="6780"/>
    <n v="339"/>
    <x v="1"/>
    <s v="Amaka Onwuka"/>
    <x v="0"/>
    <x v="3"/>
    <x v="0"/>
  </r>
  <r>
    <s v="TXN-00843"/>
    <d v="2025-08-18T00:00:00"/>
    <x v="1"/>
    <s v="South-West"/>
    <x v="0"/>
    <s v="Deodorant Roll-on"/>
    <n v="10"/>
    <n v="2770"/>
    <n v="5"/>
    <n v="26315"/>
    <n v="27700"/>
    <n v="1385"/>
    <x v="1"/>
    <s v="Uche Okoro"/>
    <x v="0"/>
    <x v="2"/>
    <x v="1"/>
  </r>
  <r>
    <s v="TXN-01101"/>
    <d v="2025-10-31T00:00:00"/>
    <x v="4"/>
    <s v="North-West"/>
    <x v="4"/>
    <s v="Vegetable Oil 5L"/>
    <n v="2"/>
    <n v="43540"/>
    <n v="5"/>
    <n v="82726"/>
    <n v="87080"/>
    <n v="4354"/>
    <x v="0"/>
    <s v="Grace Okafor"/>
    <x v="0"/>
    <x v="6"/>
    <x v="1"/>
  </r>
  <r>
    <s v="TXN-00532"/>
    <d v="2025-10-05T00:00:00"/>
    <x v="1"/>
    <s v="South-West"/>
    <x v="3"/>
    <s v="Office Blazer"/>
    <n v="3"/>
    <n v="12090"/>
    <n v="0"/>
    <n v="36270"/>
    <n v="36270"/>
    <n v="0"/>
    <x v="1"/>
    <s v="Chinwe Etim"/>
    <x v="0"/>
    <x v="6"/>
    <x v="0"/>
  </r>
  <r>
    <s v="TXN-00554"/>
    <d v="2025-01-26T00:00:00"/>
    <x v="5"/>
    <s v="South-West"/>
    <x v="3"/>
    <s v="Handbag"/>
    <n v="6"/>
    <n v="510"/>
    <n v="0"/>
    <n v="3060"/>
    <n v="3060"/>
    <n v="0"/>
    <x v="1"/>
    <s v="Chidera Bello"/>
    <x v="0"/>
    <x v="7"/>
    <x v="1"/>
  </r>
  <r>
    <s v="TXN-00498"/>
    <d v="2025-06-21T00:00:00"/>
    <x v="0"/>
    <s v="North-Central"/>
    <x v="4"/>
    <s v="Kids Sneakers"/>
    <n v="8"/>
    <n v="8520"/>
    <n v="15"/>
    <n v="57936"/>
    <n v="68160"/>
    <n v="10224"/>
    <x v="3"/>
    <s v="Mary Nnamdi"/>
    <x v="0"/>
    <x v="1"/>
    <x v="0"/>
  </r>
  <r>
    <s v="TXN-00694"/>
    <d v="2025-02-23T00:00:00"/>
    <x v="3"/>
    <s v="South-South"/>
    <x v="1"/>
    <s v="Standing Fan"/>
    <n v="11"/>
    <n v="3670"/>
    <n v="10"/>
    <n v="36333"/>
    <n v="40370"/>
    <n v="4037"/>
    <x v="0"/>
    <s v="Ngozi Ibrahim"/>
    <x v="0"/>
    <x v="8"/>
    <x v="1"/>
  </r>
  <r>
    <s v="TXN-00534"/>
    <d v="2025-04-01T00:00:00"/>
    <x v="3"/>
    <s v="South-South"/>
    <x v="4"/>
    <s v="Indomie Carton"/>
    <n v="11"/>
    <n v="12040"/>
    <n v="0"/>
    <n v="132440"/>
    <n v="132440"/>
    <n v="0"/>
    <x v="1"/>
    <s v="Chinwe Etim"/>
    <x v="0"/>
    <x v="4"/>
    <x v="1"/>
  </r>
  <r>
    <s v="TXN-00217"/>
    <d v="2025-08-31T00:00:00"/>
    <x v="1"/>
    <s v="South-West"/>
    <x v="1"/>
    <s v="Microwave Oven"/>
    <n v="11"/>
    <n v="8990"/>
    <n v="0"/>
    <n v="98890"/>
    <n v="98890"/>
    <n v="0"/>
    <x v="1"/>
    <s v="Mary Nnamdi"/>
    <x v="0"/>
    <x v="2"/>
    <x v="1"/>
  </r>
  <r>
    <s v="TXN-01325"/>
    <d v="2025-06-13T00:00:00"/>
    <x v="5"/>
    <s v="South-West"/>
    <x v="0"/>
    <s v="Bathing Soap Pack"/>
    <n v="10"/>
    <n v="65040"/>
    <n v="0"/>
    <n v="650400"/>
    <n v="650400"/>
    <n v="0"/>
    <x v="1"/>
    <s v="Grace Okafor"/>
    <x v="0"/>
    <x v="1"/>
    <x v="0"/>
  </r>
  <r>
    <s v="TXN-00946"/>
    <d v="2025-12-08T00:00:00"/>
    <x v="4"/>
    <s v="South-West"/>
    <x v="3"/>
    <s v="Kids Sneakers"/>
    <n v="1"/>
    <n v="9220"/>
    <n v="15"/>
    <n v="7837"/>
    <n v="9220"/>
    <n v="1383"/>
    <x v="1"/>
    <s v="Mary Nnamdi"/>
    <x v="0"/>
    <x v="11"/>
    <x v="1"/>
  </r>
  <r>
    <s v="TXN-00404"/>
    <d v="2025-08-18T00:00:00"/>
    <x v="2"/>
    <s v="South-East"/>
    <x v="1"/>
    <s v="Home Theatre System"/>
    <n v="11"/>
    <n v="1090"/>
    <n v="0"/>
    <n v="11990"/>
    <n v="11990"/>
    <n v="0"/>
    <x v="3"/>
    <s v="Grace Okafor"/>
    <x v="0"/>
    <x v="2"/>
    <x v="1"/>
  </r>
  <r>
    <s v="TXN-01219"/>
    <d v="2025-12-19T00:00:00"/>
    <x v="3"/>
    <s v="South-South"/>
    <x v="3"/>
    <s v="Handbag"/>
    <n v="8"/>
    <n v="22950"/>
    <n v="0"/>
    <n v="183600"/>
    <n v="183600"/>
    <n v="0"/>
    <x v="0"/>
    <s v="Amaka Onwuka"/>
    <x v="0"/>
    <x v="11"/>
    <x v="0"/>
  </r>
  <r>
    <s v="TXN-00856"/>
    <d v="2025-05-22T00:00:00"/>
    <x v="1"/>
    <s v="South-West"/>
    <x v="0"/>
    <s v="Shea Butter Cream"/>
    <n v="4"/>
    <n v="60270"/>
    <n v="0"/>
    <n v="241080"/>
    <n v="241080"/>
    <n v="0"/>
    <x v="2"/>
    <s v="Mary Nnamdi"/>
    <x v="0"/>
    <x v="5"/>
    <x v="1"/>
  </r>
  <r>
    <s v="TXN-01288"/>
    <d v="2025-04-07T00:00:00"/>
    <x v="1"/>
    <s v="South-West"/>
    <x v="4"/>
    <s v="Rice 50kg Bag"/>
    <n v="2"/>
    <n v="3990"/>
    <n v="10"/>
    <n v="7182"/>
    <n v="7980"/>
    <n v="798"/>
    <x v="1"/>
    <s v="Grace Okafor"/>
    <x v="0"/>
    <x v="4"/>
    <x v="1"/>
  </r>
  <r>
    <s v="TXN-00108"/>
    <d v="2025-02-09T00:00:00"/>
    <x v="2"/>
    <s v="South-East"/>
    <x v="2"/>
    <s v="Non-stick Frying Pan"/>
    <n v="4"/>
    <n v="7900"/>
    <n v="0"/>
    <n v="31600"/>
    <n v="31600"/>
    <n v="0"/>
    <x v="0"/>
    <s v="Funmi Eze"/>
    <x v="0"/>
    <x v="8"/>
    <x v="1"/>
  </r>
  <r>
    <s v="TXN-01305"/>
    <d v="2025-11-03T00:00:00"/>
    <x v="6"/>
    <s v="South-South"/>
    <x v="4"/>
    <s v="Tomato Paste Carton"/>
    <n v="4"/>
    <n v="8160"/>
    <n v="5"/>
    <n v="31008"/>
    <n v="32640"/>
    <n v="1632"/>
    <x v="1"/>
    <s v="Segun Chukwu"/>
    <x v="0"/>
    <x v="3"/>
    <x v="1"/>
  </r>
  <r>
    <s v="TXN-01188"/>
    <d v="2025-01-17T00:00:00"/>
    <x v="4"/>
    <s v="North-West"/>
    <x v="2"/>
    <s v="Bedsheet Set"/>
    <n v="6"/>
    <n v="63030"/>
    <n v="0"/>
    <n v="378180"/>
    <n v="378180"/>
    <n v="0"/>
    <x v="1"/>
    <s v="Chinwe Etim"/>
    <x v="0"/>
    <x v="7"/>
    <x v="1"/>
  </r>
  <r>
    <s v="TXN-00772"/>
    <d v="2025-11-22T00:00:00"/>
    <x v="4"/>
    <s v="North-West"/>
    <x v="3"/>
    <s v="Office Blazer"/>
    <n v="12"/>
    <n v="540"/>
    <n v="15"/>
    <n v="5508"/>
    <n v="6480"/>
    <n v="972"/>
    <x v="0"/>
    <s v="Mary Nnamdi"/>
    <x v="0"/>
    <x v="3"/>
    <x v="1"/>
  </r>
  <r>
    <s v="TXN-00491"/>
    <d v="2025-07-25T00:00:00"/>
    <x v="4"/>
    <s v="North-West"/>
    <x v="2"/>
    <s v="Storage Basket"/>
    <n v="12"/>
    <n v="490"/>
    <n v="0"/>
    <n v="5880"/>
    <n v="5880"/>
    <n v="0"/>
    <x v="2"/>
    <s v="Amaka Onwuka"/>
    <x v="0"/>
    <x v="10"/>
    <x v="0"/>
  </r>
  <r>
    <s v="TXN-01275"/>
    <d v="2025-01-20T00:00:00"/>
    <x v="6"/>
    <s v="South-South"/>
    <x v="1"/>
    <s v="Power Bank 20000mAh"/>
    <n v="7"/>
    <n v="1180"/>
    <n v="0"/>
    <n v="8260"/>
    <n v="8260"/>
    <n v="0"/>
    <x v="0"/>
    <s v="Obinna Yusuf"/>
    <x v="0"/>
    <x v="7"/>
    <x v="1"/>
  </r>
  <r>
    <s v="TXN-00619"/>
    <d v="2025-01-11T00:00:00"/>
    <x v="5"/>
    <s v="South-West"/>
    <x v="4"/>
    <s v="Vegetable Oil 5L"/>
    <n v="10"/>
    <n v="6930"/>
    <n v="0"/>
    <n v="69300"/>
    <n v="69300"/>
    <n v="0"/>
    <x v="1"/>
    <s v="Chidera Bello"/>
    <x v="0"/>
    <x v="7"/>
    <x v="1"/>
  </r>
  <r>
    <s v="TXN-00586"/>
    <d v="2025-08-16T00:00:00"/>
    <x v="3"/>
    <s v="South-South"/>
    <x v="1"/>
    <s v="Microwave Oven"/>
    <n v="7"/>
    <n v="10860"/>
    <n v="0"/>
    <n v="76020"/>
    <n v="76020"/>
    <n v="0"/>
    <x v="0"/>
    <s v="Segun Chukwu"/>
    <x v="0"/>
    <x v="2"/>
    <x v="1"/>
  </r>
  <r>
    <s v="TXN-00990"/>
    <d v="2025-11-23T00:00:00"/>
    <x v="2"/>
    <s v="South-East"/>
    <x v="4"/>
    <s v="LED TV 43&quot;"/>
    <n v="4"/>
    <n v="41020"/>
    <n v="0"/>
    <n v="164080"/>
    <n v="164080"/>
    <n v="0"/>
    <x v="3"/>
    <s v="Funmi Eze"/>
    <x v="0"/>
    <x v="3"/>
    <x v="1"/>
  </r>
  <r>
    <s v="TXN-00253"/>
    <d v="2025-01-08T00:00:00"/>
    <x v="3"/>
    <s v="South-South"/>
    <x v="2"/>
    <s v="Storage Basket"/>
    <n v="2"/>
    <n v="58630"/>
    <n v="0"/>
    <n v="117260"/>
    <n v="117260"/>
    <n v="0"/>
    <x v="1"/>
    <s v="Ade Abubakar"/>
    <x v="0"/>
    <x v="7"/>
    <x v="1"/>
  </r>
  <r>
    <s v="TXN-00794"/>
    <d v="2025-12-13T00:00:00"/>
    <x v="1"/>
    <s v="South-West"/>
    <x v="1"/>
    <s v="Bluetooth Speaker"/>
    <n v="9"/>
    <n v="490"/>
    <n v="0"/>
    <n v="4410"/>
    <n v="4410"/>
    <n v="0"/>
    <x v="0"/>
    <s v="Obinna Yusuf"/>
    <x v="0"/>
    <x v="11"/>
    <x v="1"/>
  </r>
  <r>
    <s v="TXN-00759"/>
    <d v="2025-08-22T00:00:00"/>
    <x v="5"/>
    <s v="South-West"/>
    <x v="1"/>
    <s v="LED TV 43&quot;"/>
    <n v="2"/>
    <n v="2260"/>
    <n v="5"/>
    <n v="4294"/>
    <n v="4520"/>
    <n v="226"/>
    <x v="0"/>
    <s v="Uche Okoro"/>
    <x v="0"/>
    <x v="2"/>
    <x v="1"/>
  </r>
  <r>
    <s v="TXN-00109"/>
    <d v="2025-01-02T00:00:00"/>
    <x v="2"/>
    <s v="South-East"/>
    <x v="0"/>
    <s v="Perfume 100ml"/>
    <n v="2"/>
    <n v="19370"/>
    <n v="0"/>
    <n v="38740"/>
    <n v="38740"/>
    <n v="0"/>
    <x v="3"/>
    <s v="Chidera Bello"/>
    <x v="0"/>
    <x v="7"/>
    <x v="1"/>
  </r>
  <r>
    <s v="TXN-00400"/>
    <d v="2025-01-16T00:00:00"/>
    <x v="6"/>
    <s v="South-South"/>
    <x v="3"/>
    <s v="Handbag"/>
    <n v="9"/>
    <n v="13660"/>
    <n v="15"/>
    <n v="104499"/>
    <n v="122940"/>
    <n v="18441"/>
    <x v="2"/>
    <s v="Uche Okoro"/>
    <x v="0"/>
    <x v="7"/>
    <x v="1"/>
  </r>
  <r>
    <s v="TXN-00288"/>
    <d v="2025-05-09T00:00:00"/>
    <x v="1"/>
    <s v="South-West"/>
    <x v="4"/>
    <s v="Sugar 1kg"/>
    <n v="11"/>
    <n v="1250"/>
    <n v="0"/>
    <n v="13750"/>
    <n v="13750"/>
    <n v="0"/>
    <x v="0"/>
    <s v="Peter Adekunle"/>
    <x v="0"/>
    <x v="5"/>
    <x v="0"/>
  </r>
  <r>
    <s v="TXN-00908"/>
    <d v="2025-08-03T00:00:00"/>
    <x v="4"/>
    <s v="North-West"/>
    <x v="4"/>
    <s v="Power Bank 20000mAh"/>
    <n v="9"/>
    <n v="2610"/>
    <n v="5"/>
    <n v="22315.5"/>
    <n v="23490"/>
    <n v="1174.5"/>
    <x v="3"/>
    <s v="Tunde Balogun"/>
    <x v="0"/>
    <x v="2"/>
    <x v="1"/>
  </r>
  <r>
    <s v="TXN-01270"/>
    <d v="2025-03-21T00:00:00"/>
    <x v="2"/>
    <s v="South-East"/>
    <x v="0"/>
    <s v="Shea Butter Cream"/>
    <n v="9"/>
    <n v="59930"/>
    <n v="0"/>
    <n v="539370"/>
    <n v="539370"/>
    <n v="0"/>
    <x v="2"/>
    <s v="Funmi Eze"/>
    <x v="0"/>
    <x v="9"/>
    <x v="1"/>
  </r>
  <r>
    <s v="TXN-00785"/>
    <d v="2025-02-16T00:00:00"/>
    <x v="6"/>
    <s v="South-West"/>
    <x v="4"/>
    <s v="Spaghetti Pack"/>
    <n v="1"/>
    <n v="3620"/>
    <n v="0"/>
    <n v="3620"/>
    <n v="3620"/>
    <n v="0"/>
    <x v="0"/>
    <s v="Mary Nnamdi"/>
    <x v="0"/>
    <x v="8"/>
    <x v="1"/>
  </r>
  <r>
    <s v="TXN-00233"/>
    <d v="2025-09-10T00:00:00"/>
    <x v="5"/>
    <s v="South-West"/>
    <x v="1"/>
    <s v="Power Bank 20000mAh"/>
    <n v="7"/>
    <n v="1140"/>
    <n v="15"/>
    <n v="6783"/>
    <n v="7980"/>
    <n v="1197"/>
    <x v="0"/>
    <s v="Tunde Balogun"/>
    <x v="0"/>
    <x v="0"/>
    <x v="0"/>
  </r>
  <r>
    <s v="TXN-01412"/>
    <d v="2025-09-30T00:00:00"/>
    <x v="2"/>
    <s v="South-East"/>
    <x v="4"/>
    <s v="Home Theatre System"/>
    <n v="10"/>
    <n v="17220"/>
    <n v="0"/>
    <n v="172200"/>
    <n v="172200"/>
    <n v="0"/>
    <x v="1"/>
    <s v="Ade Abubakar"/>
    <x v="0"/>
    <x v="0"/>
    <x v="1"/>
  </r>
  <r>
    <s v="TXN-00633"/>
    <d v="2025-11-07T00:00:00"/>
    <x v="6"/>
    <s v="South-South"/>
    <x v="0"/>
    <s v="Bathing Soap Pack"/>
    <n v="4"/>
    <n v="64990"/>
    <n v="10"/>
    <n v="233964"/>
    <n v="259960"/>
    <n v="25996"/>
    <x v="2"/>
    <s v="Peter Adekunle"/>
    <x v="0"/>
    <x v="3"/>
    <x v="1"/>
  </r>
  <r>
    <s v="TXN-01307"/>
    <d v="2025-02-28T00:00:00"/>
    <x v="3"/>
    <s v="South-South"/>
    <x v="1"/>
    <s v="Bluetooth Speaker"/>
    <n v="10"/>
    <n v="2470"/>
    <n v="0"/>
    <n v="24700"/>
    <n v="24700"/>
    <n v="0"/>
    <x v="1"/>
    <s v="Obinna Yusuf"/>
    <x v="0"/>
    <x v="8"/>
    <x v="0"/>
  </r>
  <r>
    <s v="TXN-01424"/>
    <d v="2025-10-15T00:00:00"/>
    <x v="2"/>
    <s v="South-East"/>
    <x v="2"/>
    <s v="Curtain Set"/>
    <n v="12"/>
    <n v="2640"/>
    <n v="0"/>
    <n v="31680"/>
    <n v="31680"/>
    <n v="0"/>
    <x v="0"/>
    <s v="Uche Okoro"/>
    <x v="0"/>
    <x v="6"/>
    <x v="1"/>
  </r>
  <r>
    <s v="TXN-00592"/>
    <d v="2025-05-25T00:00:00"/>
    <x v="4"/>
    <s v="South-South"/>
    <x v="4"/>
    <s v="Sugar 1kg"/>
    <n v="11"/>
    <n v="45180"/>
    <n v="0"/>
    <n v="496980"/>
    <n v="496980"/>
    <n v="0"/>
    <x v="1"/>
    <s v="Amaka Onwuka"/>
    <x v="0"/>
    <x v="5"/>
    <x v="1"/>
  </r>
  <r>
    <s v="TXN-00651"/>
    <d v="2025-03-11T00:00:00"/>
    <x v="4"/>
    <s v="North-West"/>
    <x v="3"/>
    <s v="Denim Jeans"/>
    <n v="10"/>
    <n v="23900"/>
    <n v="0"/>
    <n v="239000"/>
    <n v="239000"/>
    <n v="0"/>
    <x v="3"/>
    <s v="Funmi Eze"/>
    <x v="0"/>
    <x v="9"/>
    <x v="0"/>
  </r>
  <r>
    <s v="TXN-00877"/>
    <d v="2025-04-02T00:00:00"/>
    <x v="5"/>
    <s v="South-West"/>
    <x v="0"/>
    <s v="Perfume 100ml"/>
    <n v="9"/>
    <n v="500"/>
    <n v="10"/>
    <n v="4050"/>
    <n v="4500"/>
    <n v="450"/>
    <x v="3"/>
    <s v="Mary Nnamdi"/>
    <x v="0"/>
    <x v="4"/>
    <x v="1"/>
  </r>
  <r>
    <s v="TXN-00688"/>
    <d v="2025-11-07T00:00:00"/>
    <x v="0"/>
    <s v="North-Central"/>
    <x v="0"/>
    <s v="Hair Relaxer Kit"/>
    <n v="4"/>
    <n v="17830"/>
    <n v="0"/>
    <n v="71320"/>
    <n v="71320"/>
    <n v="0"/>
    <x v="3"/>
    <s v="Peter Adekunle"/>
    <x v="0"/>
    <x v="3"/>
    <x v="0"/>
  </r>
  <r>
    <s v="TXN-00134"/>
    <d v="2025-08-17T00:00:00"/>
    <x v="6"/>
    <s v="South-South"/>
    <x v="3"/>
    <s v="Ladies Ankara Gown"/>
    <n v="12"/>
    <n v="4780"/>
    <n v="5"/>
    <n v="54492"/>
    <n v="57360"/>
    <n v="2868"/>
    <x v="3"/>
    <s v="Ifeoma Adeyemi"/>
    <x v="0"/>
    <x v="2"/>
    <x v="0"/>
  </r>
  <r>
    <s v="TXN-00073"/>
    <d v="2025-03-02T00:00:00"/>
    <x v="0"/>
    <s v="North-Central"/>
    <x v="2"/>
    <s v="Storage Basket"/>
    <n v="1"/>
    <n v="8020"/>
    <n v="15"/>
    <n v="6817"/>
    <n v="8020"/>
    <n v="1203"/>
    <x v="1"/>
    <s v="Obinna Yusuf"/>
    <x v="0"/>
    <x v="9"/>
    <x v="1"/>
  </r>
  <r>
    <s v="TXN-00621"/>
    <d v="2025-02-16T00:00:00"/>
    <x v="4"/>
    <s v="South-West"/>
    <x v="2"/>
    <s v="Storage Basket"/>
    <n v="4"/>
    <n v="3300"/>
    <n v="5"/>
    <n v="12540"/>
    <n v="13200"/>
    <n v="660"/>
    <x v="1"/>
    <s v="Mary Nnamdi"/>
    <x v="0"/>
    <x v="8"/>
    <x v="1"/>
  </r>
  <r>
    <s v="TXN-00698"/>
    <d v="2025-11-24T00:00:00"/>
    <x v="0"/>
    <s v="North-Central"/>
    <x v="2"/>
    <s v="Non-stick Frying Pan"/>
    <n v="10"/>
    <n v="45070"/>
    <n v="0"/>
    <n v="450700"/>
    <n v="450700"/>
    <n v="0"/>
    <x v="2"/>
    <s v="Uche Okoro"/>
    <x v="0"/>
    <x v="3"/>
    <x v="0"/>
  </r>
  <r>
    <s v="TXN-01160"/>
    <d v="2025-02-09T00:00:00"/>
    <x v="5"/>
    <s v="South-West"/>
    <x v="3"/>
    <s v="Men's Polo Shirt"/>
    <n v="5"/>
    <n v="2670"/>
    <n v="0"/>
    <n v="13350"/>
    <n v="13350"/>
    <n v="0"/>
    <x v="0"/>
    <s v="Chinwe Etim"/>
    <x v="0"/>
    <x v="8"/>
    <x v="1"/>
  </r>
  <r>
    <s v="TXN-00470"/>
    <d v="2025-07-12T00:00:00"/>
    <x v="4"/>
    <s v="North-West"/>
    <x v="2"/>
    <s v="Cleaning Mop"/>
    <n v="11"/>
    <n v="45860"/>
    <n v="0"/>
    <n v="504460"/>
    <n v="504460"/>
    <n v="0"/>
    <x v="2"/>
    <s v="Kelechi Nwosu"/>
    <x v="0"/>
    <x v="10"/>
    <x v="1"/>
  </r>
  <r>
    <s v="TXN-01317"/>
    <d v="2025-08-22T00:00:00"/>
    <x v="6"/>
    <s v="South-South"/>
    <x v="0"/>
    <s v="Baby Diaper Pack"/>
    <n v="12"/>
    <n v="2530"/>
    <n v="0"/>
    <n v="30360"/>
    <n v="30360"/>
    <n v="0"/>
    <x v="0"/>
    <s v="Uche Okoro"/>
    <x v="0"/>
    <x v="2"/>
    <x v="0"/>
  </r>
  <r>
    <s v="TXN-01207"/>
    <d v="2025-02-03T00:00:00"/>
    <x v="6"/>
    <s v="South-South"/>
    <x v="2"/>
    <s v="Plastic Chair Set"/>
    <n v="9"/>
    <n v="62920"/>
    <n v="0"/>
    <n v="566280"/>
    <n v="566280"/>
    <n v="0"/>
    <x v="3"/>
    <s v="Ngozi Ibrahim"/>
    <x v="0"/>
    <x v="8"/>
    <x v="1"/>
  </r>
  <r>
    <s v="TXN-01459"/>
    <d v="2025-06-01T00:00:00"/>
    <x v="5"/>
    <s v="South-West"/>
    <x v="1"/>
    <s v="Bluetooth Speaker"/>
    <n v="8"/>
    <n v="17610"/>
    <n v="5"/>
    <n v="133836"/>
    <n v="140880"/>
    <n v="7044"/>
    <x v="2"/>
    <s v="Ade Abubakar"/>
    <x v="0"/>
    <x v="1"/>
    <x v="0"/>
  </r>
  <r>
    <s v="TXN-01494"/>
    <d v="2025-04-12T00:00:00"/>
    <x v="2"/>
    <s v="South-East"/>
    <x v="2"/>
    <s v="Cleaning Mop"/>
    <n v="4"/>
    <n v="12010"/>
    <n v="15"/>
    <n v="40834"/>
    <n v="48040"/>
    <n v="7206"/>
    <x v="0"/>
    <s v="Funmi Eze"/>
    <x v="0"/>
    <x v="4"/>
    <x v="1"/>
  </r>
  <r>
    <s v="TXN-01356"/>
    <d v="2025-02-07T00:00:00"/>
    <x v="6"/>
    <s v="South-South"/>
    <x v="4"/>
    <s v="Body Lotion 400ml"/>
    <n v="7"/>
    <n v="26070"/>
    <n v="0"/>
    <n v="182490"/>
    <n v="182490"/>
    <n v="0"/>
    <x v="3"/>
    <s v="Chinwe Etim"/>
    <x v="0"/>
    <x v="8"/>
    <x v="0"/>
  </r>
  <r>
    <s v="TXN-01431"/>
    <d v="2025-02-17T00:00:00"/>
    <x v="4"/>
    <s v="North-West"/>
    <x v="0"/>
    <s v="Hair Relaxer Kit"/>
    <n v="4"/>
    <n v="24670"/>
    <n v="0"/>
    <n v="98680"/>
    <n v="98680"/>
    <n v="0"/>
    <x v="3"/>
    <s v="Mary Nnamdi"/>
    <x v="0"/>
    <x v="8"/>
    <x v="0"/>
  </r>
  <r>
    <s v="TXN-00610"/>
    <d v="2025-01-07T00:00:00"/>
    <x v="1"/>
    <s v="South-West"/>
    <x v="4"/>
    <s v="Denim Jeans"/>
    <n v="4"/>
    <n v="7370"/>
    <n v="5"/>
    <n v="28006"/>
    <n v="29480"/>
    <n v="1474"/>
    <x v="2"/>
    <s v="Grace Okafor"/>
    <x v="0"/>
    <x v="7"/>
    <x v="0"/>
  </r>
  <r>
    <s v="TXN-01468"/>
    <d v="2025-07-19T00:00:00"/>
    <x v="1"/>
    <s v="South-West"/>
    <x v="0"/>
    <s v="Deodorant Roll-on"/>
    <n v="1"/>
    <n v="62720"/>
    <n v="0"/>
    <n v="62720"/>
    <n v="62720"/>
    <n v="0"/>
    <x v="3"/>
    <s v="Obinna Yusuf"/>
    <x v="0"/>
    <x v="10"/>
    <x v="1"/>
  </r>
  <r>
    <s v="TXN-00727"/>
    <d v="2025-07-09T00:00:00"/>
    <x v="1"/>
    <s v="South-West"/>
    <x v="4"/>
    <s v="Spaghetti Pack"/>
    <n v="12"/>
    <n v="11540"/>
    <n v="0"/>
    <n v="138480"/>
    <n v="138480"/>
    <n v="0"/>
    <x v="2"/>
    <s v="Obinna Yusuf"/>
    <x v="0"/>
    <x v="10"/>
    <x v="1"/>
  </r>
  <r>
    <s v="TXN-01299"/>
    <d v="2025-09-07T00:00:00"/>
    <x v="6"/>
    <s v="South-South"/>
    <x v="0"/>
    <s v="Shea Butter Cream"/>
    <n v="5"/>
    <n v="8780"/>
    <n v="0"/>
    <n v="43900"/>
    <n v="43900"/>
    <n v="0"/>
    <x v="3"/>
    <s v="Peter Adekunle"/>
    <x v="0"/>
    <x v="0"/>
    <x v="1"/>
  </r>
  <r>
    <s v="TXN-00207"/>
    <d v="2025-09-15T00:00:00"/>
    <x v="5"/>
    <s v="South-West"/>
    <x v="4"/>
    <s v="Milo 500g"/>
    <n v="12"/>
    <n v="41990"/>
    <n v="0"/>
    <n v="503880"/>
    <n v="503880"/>
    <n v="0"/>
    <x v="1"/>
    <s v="Funmi Eze"/>
    <x v="0"/>
    <x v="0"/>
    <x v="1"/>
  </r>
  <r>
    <s v="TXN-00211"/>
    <d v="2025-03-24T00:00:00"/>
    <x v="5"/>
    <s v="South-West"/>
    <x v="4"/>
    <s v="Perfume 100ml"/>
    <n v="5"/>
    <n v="8730"/>
    <n v="0"/>
    <n v="43650"/>
    <n v="43650"/>
    <n v="0"/>
    <x v="3"/>
    <s v="Obinna Yusuf"/>
    <x v="0"/>
    <x v="9"/>
    <x v="0"/>
  </r>
  <r>
    <s v="TXN-00120"/>
    <d v="2025-03-28T00:00:00"/>
    <x v="4"/>
    <s v="North-West"/>
    <x v="0"/>
    <s v="Deodorant Roll-on"/>
    <n v="8"/>
    <n v="68930"/>
    <n v="0"/>
    <n v="551440"/>
    <n v="551440"/>
    <n v="0"/>
    <x v="0"/>
    <s v="Grace Okafor"/>
    <x v="0"/>
    <x v="9"/>
    <x v="1"/>
  </r>
  <r>
    <s v="TXN-01283"/>
    <d v="2025-10-06T00:00:00"/>
    <x v="3"/>
    <s v="South-South"/>
    <x v="0"/>
    <s v="Body Lotion 400ml"/>
    <n v="1"/>
    <n v="10240"/>
    <n v="0"/>
    <n v="10240"/>
    <n v="10240"/>
    <n v="0"/>
    <x v="2"/>
    <s v="Obinna Yusuf"/>
    <x v="0"/>
    <x v="6"/>
    <x v="1"/>
  </r>
  <r>
    <s v="TXN-00172"/>
    <d v="2025-09-10T00:00:00"/>
    <x v="6"/>
    <s v="South-South"/>
    <x v="1"/>
    <s v="LED TV 43&quot;"/>
    <n v="3"/>
    <n v="13000"/>
    <n v="0"/>
    <n v="39000"/>
    <n v="39000"/>
    <n v="0"/>
    <x v="3"/>
    <s v="Ifeoma Adeyemi"/>
    <x v="0"/>
    <x v="0"/>
    <x v="1"/>
  </r>
  <r>
    <s v="TXN-00676"/>
    <d v="2025-08-14T00:00:00"/>
    <x v="0"/>
    <s v="North-Central"/>
    <x v="4"/>
    <s v="Tomato Paste Carton"/>
    <n v="1"/>
    <n v="3830"/>
    <n v="0"/>
    <n v="3830"/>
    <n v="3830"/>
    <n v="0"/>
    <x v="3"/>
    <s v="Grace Okafor"/>
    <x v="0"/>
    <x v="2"/>
    <x v="0"/>
  </r>
  <r>
    <s v="TXN-00357"/>
    <d v="2025-02-25T00:00:00"/>
    <x v="6"/>
    <s v="South-South"/>
    <x v="3"/>
    <s v="Office Blazer"/>
    <n v="3"/>
    <n v="12330"/>
    <n v="0"/>
    <n v="36990"/>
    <n v="36990"/>
    <n v="0"/>
    <x v="2"/>
    <s v="Tunde Balogun"/>
    <x v="0"/>
    <x v="8"/>
    <x v="1"/>
  </r>
  <r>
    <s v="TXN-00112"/>
    <d v="2025-09-28T00:00:00"/>
    <x v="2"/>
    <s v="South-East"/>
    <x v="0"/>
    <s v="Hair Relaxer Kit"/>
    <n v="9"/>
    <n v="1130"/>
    <n v="0"/>
    <n v="10170"/>
    <n v="10170"/>
    <n v="0"/>
    <x v="2"/>
    <s v="Funmi Eze"/>
    <x v="0"/>
    <x v="0"/>
    <x v="1"/>
  </r>
  <r>
    <s v="TXN-00775"/>
    <d v="2025-07-18T00:00:00"/>
    <x v="5"/>
    <s v="South-West"/>
    <x v="3"/>
    <s v="Denim Jeans"/>
    <n v="2"/>
    <n v="12240"/>
    <n v="0"/>
    <n v="24480"/>
    <n v="24480"/>
    <n v="0"/>
    <x v="3"/>
    <s v="Ngozi Ibrahim"/>
    <x v="0"/>
    <x v="10"/>
    <x v="1"/>
  </r>
  <r>
    <s v="TXN-01155"/>
    <d v="2025-10-30T00:00:00"/>
    <x v="3"/>
    <s v="South-South"/>
    <x v="3"/>
    <s v="Men's Polo Shirt"/>
    <n v="9"/>
    <n v="20330"/>
    <n v="0"/>
    <n v="182970"/>
    <n v="182970"/>
    <n v="0"/>
    <x v="1"/>
    <s v="Mary Nnamdi"/>
    <x v="0"/>
    <x v="6"/>
    <x v="1"/>
  </r>
  <r>
    <s v="TXN-01014"/>
    <d v="2025-03-07T00:00:00"/>
    <x v="0"/>
    <s v="North-Central"/>
    <x v="2"/>
    <s v="Plastic Chair Set"/>
    <n v="11"/>
    <n v="2550"/>
    <n v="0"/>
    <n v="28050"/>
    <n v="28050"/>
    <n v="0"/>
    <x v="2"/>
    <s v="Ifeoma Adeyemi"/>
    <x v="0"/>
    <x v="9"/>
    <x v="0"/>
  </r>
  <r>
    <s v="TXN-00585"/>
    <d v="2025-01-05T00:00:00"/>
    <x v="5"/>
    <s v="South-West"/>
    <x v="4"/>
    <s v="Sugar 1kg"/>
    <n v="3"/>
    <n v="1190"/>
    <n v="0"/>
    <n v="3570"/>
    <n v="3570"/>
    <n v="0"/>
    <x v="2"/>
    <s v="Grace Okafor"/>
    <x v="0"/>
    <x v="7"/>
    <x v="0"/>
  </r>
  <r>
    <s v="TXN-00544"/>
    <d v="2025-03-07T00:00:00"/>
    <x v="1"/>
    <s v="South-West"/>
    <x v="2"/>
    <s v="Dinner Set"/>
    <n v="7"/>
    <n v="2760"/>
    <n v="0"/>
    <n v="19320"/>
    <n v="19320"/>
    <n v="0"/>
    <x v="3"/>
    <s v="Ifeoma Adeyemi"/>
    <x v="0"/>
    <x v="9"/>
    <x v="0"/>
  </r>
  <r>
    <s v="TXN-01197"/>
    <d v="2025-12-23T00:00:00"/>
    <x v="6"/>
    <s v="South-South"/>
    <x v="2"/>
    <s v="Storage Basket"/>
    <n v="1"/>
    <n v="24320"/>
    <n v="5"/>
    <n v="23104"/>
    <n v="24320"/>
    <n v="1216"/>
    <x v="2"/>
    <s v="Ade Abubakar"/>
    <x v="0"/>
    <x v="11"/>
    <x v="1"/>
  </r>
  <r>
    <s v="TXN-00584"/>
    <d v="2025-09-27T00:00:00"/>
    <x v="6"/>
    <s v="South-South"/>
    <x v="4"/>
    <s v="Indomie Carton"/>
    <n v="5"/>
    <n v="8210"/>
    <n v="5"/>
    <n v="38997.5"/>
    <n v="41050"/>
    <n v="2052.5"/>
    <x v="2"/>
    <s v="Kelechi Nwosu"/>
    <x v="0"/>
    <x v="0"/>
    <x v="1"/>
  </r>
  <r>
    <s v="TXN-01050"/>
    <d v="2025-09-10T00:00:00"/>
    <x v="5"/>
    <s v="South-West"/>
    <x v="0"/>
    <s v="Deodorant Roll-on"/>
    <n v="3"/>
    <n v="11110"/>
    <n v="0"/>
    <n v="33330"/>
    <n v="33330"/>
    <n v="0"/>
    <x v="0"/>
    <s v="Kelechi Nwosu"/>
    <x v="0"/>
    <x v="0"/>
    <x v="0"/>
  </r>
  <r>
    <s v="TXN-00001"/>
    <d v="2025-06-26T00:00:00"/>
    <x v="0"/>
    <s v="North-Central"/>
    <x v="2"/>
    <s v="Bedsheet Set"/>
    <n v="2"/>
    <n v="1110"/>
    <n v="15"/>
    <n v="1887"/>
    <n v="2220"/>
    <n v="333"/>
    <x v="2"/>
    <s v="Ngozi Ibrahim"/>
    <x v="0"/>
    <x v="1"/>
    <x v="1"/>
  </r>
  <r>
    <s v="TXN-01020"/>
    <d v="2025-10-05T00:00:00"/>
    <x v="5"/>
    <s v="South-West"/>
    <x v="4"/>
    <s v="Spaghetti Pack"/>
    <n v="10"/>
    <n v="41690"/>
    <n v="10"/>
    <n v="375210"/>
    <n v="416900"/>
    <n v="41690"/>
    <x v="3"/>
    <s v="Ade Abubakar"/>
    <x v="0"/>
    <x v="6"/>
    <x v="0"/>
  </r>
  <r>
    <s v="TXN-00913"/>
    <d v="2025-03-03T00:00:00"/>
    <x v="2"/>
    <s v="South-East"/>
    <x v="1"/>
    <s v="Bluetooth Speaker"/>
    <n v="3"/>
    <n v="8340"/>
    <n v="0"/>
    <n v="25020"/>
    <n v="25020"/>
    <n v="0"/>
    <x v="1"/>
    <s v="Mary Nnamdi"/>
    <x v="0"/>
    <x v="9"/>
    <x v="1"/>
  </r>
  <r>
    <s v="TXN-01303"/>
    <d v="2025-04-17T00:00:00"/>
    <x v="3"/>
    <s v="South-South"/>
    <x v="3"/>
    <s v="Denim Jeans"/>
    <n v="1"/>
    <n v="1090"/>
    <n v="0"/>
    <n v="1090"/>
    <n v="1090"/>
    <n v="0"/>
    <x v="2"/>
    <s v="Kelechi Nwosu"/>
    <x v="0"/>
    <x v="4"/>
    <x v="1"/>
  </r>
  <r>
    <s v="TXN-00700"/>
    <d v="2025-05-31T00:00:00"/>
    <x v="0"/>
    <s v="North-Central"/>
    <x v="4"/>
    <s v="Semovita 2kg"/>
    <n v="7"/>
    <n v="8400"/>
    <n v="0"/>
    <n v="58800"/>
    <n v="58800"/>
    <n v="0"/>
    <x v="0"/>
    <s v="Chidera Bello"/>
    <x v="0"/>
    <x v="5"/>
    <x v="1"/>
  </r>
  <r>
    <s v="TXN-00786"/>
    <d v="2025-10-24T00:00:00"/>
    <x v="5"/>
    <s v="South-West"/>
    <x v="4"/>
    <s v="Sugar 1kg"/>
    <n v="5"/>
    <n v="480"/>
    <n v="0"/>
    <n v="2400"/>
    <n v="2400"/>
    <n v="0"/>
    <x v="2"/>
    <s v="Grace Okafor"/>
    <x v="0"/>
    <x v="6"/>
    <x v="0"/>
  </r>
  <r>
    <s v="TXN-00907"/>
    <d v="2025-02-01T00:00:00"/>
    <x v="4"/>
    <s v="North-West"/>
    <x v="0"/>
    <s v="Perfume 100ml"/>
    <n v="10"/>
    <n v="27660"/>
    <n v="0"/>
    <n v="276600"/>
    <n v="276600"/>
    <n v="0"/>
    <x v="2"/>
    <s v="Ade Abubakar"/>
    <x v="0"/>
    <x v="8"/>
    <x v="1"/>
  </r>
  <r>
    <s v="TXN-01443"/>
    <d v="2025-09-18T00:00:00"/>
    <x v="4"/>
    <s v="North-West"/>
    <x v="4"/>
    <s v="Milo 500g"/>
    <n v="5"/>
    <n v="3700"/>
    <n v="0"/>
    <n v="18500"/>
    <n v="18500"/>
    <n v="0"/>
    <x v="3"/>
    <s v="Grace Okafor"/>
    <x v="0"/>
    <x v="0"/>
    <x v="1"/>
  </r>
  <r>
    <s v="TXN-01304"/>
    <d v="2025-05-27T00:00:00"/>
    <x v="2"/>
    <s v="South-East"/>
    <x v="4"/>
    <s v="Rice Cooker"/>
    <n v="3"/>
    <n v="23800"/>
    <n v="0"/>
    <n v="71400"/>
    <n v="71400"/>
    <n v="0"/>
    <x v="0"/>
    <s v="Obinna Yusuf"/>
    <x v="0"/>
    <x v="5"/>
    <x v="1"/>
  </r>
  <r>
    <s v="TXN-00994"/>
    <d v="2025-06-20T00:00:00"/>
    <x v="3"/>
    <s v="South-South"/>
    <x v="3"/>
    <s v="Ladies Ankara Gown"/>
    <n v="9"/>
    <n v="18160"/>
    <n v="15"/>
    <n v="138924"/>
    <n v="163440"/>
    <n v="24516"/>
    <x v="0"/>
    <s v="Mary Nnamdi"/>
    <x v="0"/>
    <x v="1"/>
    <x v="0"/>
  </r>
  <r>
    <s v="TXN-00422"/>
    <d v="2025-06-15T00:00:00"/>
    <x v="1"/>
    <s v="South-West"/>
    <x v="0"/>
    <s v="Baby Diaper Pack"/>
    <n v="11"/>
    <n v="570"/>
    <n v="0"/>
    <n v="6270"/>
    <n v="6270"/>
    <n v="0"/>
    <x v="0"/>
    <s v="Funmi Eze"/>
    <x v="0"/>
    <x v="1"/>
    <x v="1"/>
  </r>
  <r>
    <s v="TXN-00479"/>
    <d v="2025-07-27T00:00:00"/>
    <x v="1"/>
    <s v="South-West"/>
    <x v="4"/>
    <s v="Vegetable Oil 5L"/>
    <n v="9"/>
    <n v="73270"/>
    <n v="0"/>
    <n v="659430"/>
    <n v="659430"/>
    <n v="0"/>
    <x v="0"/>
    <s v="Amaka Onwuka"/>
    <x v="0"/>
    <x v="10"/>
    <x v="0"/>
  </r>
  <r>
    <s v="TXN-00957"/>
    <d v="2025-05-15T00:00:00"/>
    <x v="4"/>
    <s v="North-West"/>
    <x v="2"/>
    <s v="Bedsheet Set"/>
    <n v="6"/>
    <n v="5650"/>
    <n v="10"/>
    <n v="30510"/>
    <n v="33900"/>
    <n v="3390"/>
    <x v="1"/>
    <s v="Grace Okafor"/>
    <x v="0"/>
    <x v="5"/>
    <x v="1"/>
  </r>
  <r>
    <s v="TXN-00777"/>
    <d v="2025-04-05T00:00:00"/>
    <x v="6"/>
    <s v="South-South"/>
    <x v="4"/>
    <s v="Spaghetti Pack"/>
    <n v="11"/>
    <n v="50310"/>
    <n v="0"/>
    <n v="553410"/>
    <n v="553410"/>
    <n v="0"/>
    <x v="0"/>
    <s v="Tunde Balogun"/>
    <x v="0"/>
    <x v="4"/>
    <x v="1"/>
  </r>
  <r>
    <s v="TXN-00313"/>
    <d v="2025-10-08T00:00:00"/>
    <x v="4"/>
    <s v="South-West"/>
    <x v="4"/>
    <s v="Sugar 1kg"/>
    <n v="3"/>
    <n v="48270"/>
    <n v="15"/>
    <n v="123088.5"/>
    <n v="144810"/>
    <n v="21721.5"/>
    <x v="2"/>
    <s v="Chidera Bello"/>
    <x v="0"/>
    <x v="6"/>
    <x v="1"/>
  </r>
  <r>
    <s v="TXN-00958"/>
    <d v="2025-03-10T00:00:00"/>
    <x v="3"/>
    <s v="South-South"/>
    <x v="1"/>
    <s v="Home Theatre System"/>
    <n v="9"/>
    <n v="2590"/>
    <n v="10"/>
    <n v="20979"/>
    <n v="23310"/>
    <n v="2331"/>
    <x v="0"/>
    <s v="Ngozi Ibrahim"/>
    <x v="0"/>
    <x v="9"/>
    <x v="0"/>
  </r>
  <r>
    <s v="TXN-00976"/>
    <d v="2025-05-23T00:00:00"/>
    <x v="6"/>
    <s v="South-South"/>
    <x v="0"/>
    <s v="Bathing Soap Pack"/>
    <n v="10"/>
    <n v="9170"/>
    <n v="10"/>
    <n v="82530"/>
    <n v="91700"/>
    <n v="9170"/>
    <x v="3"/>
    <s v="Obinna Yusuf"/>
    <x v="0"/>
    <x v="5"/>
    <x v="0"/>
  </r>
  <r>
    <s v="TXN-00227"/>
    <d v="2025-12-01T00:00:00"/>
    <x v="6"/>
    <s v="South-South"/>
    <x v="2"/>
    <s v="Non-stick Frying Pan"/>
    <n v="3"/>
    <n v="11430"/>
    <n v="0"/>
    <n v="34290"/>
    <n v="34290"/>
    <n v="0"/>
    <x v="3"/>
    <s v="Tunde Balogun"/>
    <x v="0"/>
    <x v="11"/>
    <x v="1"/>
  </r>
  <r>
    <s v="TXN-01370"/>
    <d v="2025-09-01T00:00:00"/>
    <x v="2"/>
    <s v="South-East"/>
    <x v="4"/>
    <s v="Rice 50kg Bag"/>
    <n v="5"/>
    <n v="41060"/>
    <n v="0"/>
    <n v="205300"/>
    <n v="205300"/>
    <n v="0"/>
    <x v="1"/>
    <s v="Chidera Bello"/>
    <x v="0"/>
    <x v="0"/>
    <x v="1"/>
  </r>
  <r>
    <s v="TXN-00878"/>
    <d v="2025-10-02T00:00:00"/>
    <x v="4"/>
    <s v="North-West"/>
    <x v="1"/>
    <s v="Standing Fan"/>
    <n v="3"/>
    <n v="10830"/>
    <n v="0"/>
    <n v="32490"/>
    <n v="32490"/>
    <n v="0"/>
    <x v="0"/>
    <s v="Chidera Bello"/>
    <x v="0"/>
    <x v="6"/>
    <x v="1"/>
  </r>
  <r>
    <s v="TXN-01417"/>
    <d v="2025-11-20T00:00:00"/>
    <x v="0"/>
    <s v="North-Central"/>
    <x v="0"/>
    <s v="Perfume 100ml"/>
    <n v="8"/>
    <n v="500"/>
    <n v="5"/>
    <n v="3800"/>
    <n v="4000"/>
    <n v="200"/>
    <x v="0"/>
    <s v="Chidera Bello"/>
    <x v="0"/>
    <x v="3"/>
    <x v="0"/>
  </r>
  <r>
    <s v="TXN-00460"/>
    <d v="2025-12-23T00:00:00"/>
    <x v="4"/>
    <s v="South-South"/>
    <x v="3"/>
    <s v="Kids Sneakers"/>
    <n v="11"/>
    <n v="19390"/>
    <n v="15"/>
    <n v="181296.5"/>
    <n v="213290"/>
    <n v="31993.5"/>
    <x v="3"/>
    <s v="Mary Nnamdi"/>
    <x v="0"/>
    <x v="11"/>
    <x v="1"/>
  </r>
  <r>
    <s v="TXN-01225"/>
    <d v="2025-07-19T00:00:00"/>
    <x v="2"/>
    <s v="South-East"/>
    <x v="0"/>
    <s v="Perfume 100ml"/>
    <n v="4"/>
    <n v="3220"/>
    <n v="0"/>
    <n v="12880"/>
    <n v="12880"/>
    <n v="0"/>
    <x v="1"/>
    <s v="Chidera Bello"/>
    <x v="0"/>
    <x v="10"/>
    <x v="1"/>
  </r>
  <r>
    <s v="TXN-00193"/>
    <d v="2025-04-19T00:00:00"/>
    <x v="4"/>
    <s v="North-West"/>
    <x v="4"/>
    <s v="Cleaning Mop"/>
    <n v="12"/>
    <n v="480"/>
    <n v="0"/>
    <n v="5760"/>
    <n v="5760"/>
    <n v="0"/>
    <x v="1"/>
    <s v="Ade Abubakar"/>
    <x v="0"/>
    <x v="4"/>
    <x v="1"/>
  </r>
  <r>
    <s v="TXN-00697"/>
    <d v="2025-07-25T00:00:00"/>
    <x v="0"/>
    <s v="North-Central"/>
    <x v="3"/>
    <s v="Kids Sneakers"/>
    <n v="9"/>
    <n v="3640"/>
    <n v="15"/>
    <n v="27846"/>
    <n v="32760"/>
    <n v="4914"/>
    <x v="2"/>
    <s v="Mary Nnamdi"/>
    <x v="0"/>
    <x v="10"/>
    <x v="0"/>
  </r>
  <r>
    <s v="TXN-00914"/>
    <d v="2025-05-12T00:00:00"/>
    <x v="2"/>
    <s v="South-East"/>
    <x v="4"/>
    <s v="Rice 50kg Bag"/>
    <n v="4"/>
    <n v="8960"/>
    <n v="0"/>
    <n v="35840"/>
    <n v="35840"/>
    <n v="0"/>
    <x v="2"/>
    <s v="Grace Okafor"/>
    <x v="0"/>
    <x v="5"/>
    <x v="0"/>
  </r>
  <r>
    <s v="TXN-00091"/>
    <d v="2025-10-31T00:00:00"/>
    <x v="1"/>
    <s v="South-West"/>
    <x v="2"/>
    <s v="Bedsheet Set"/>
    <n v="9"/>
    <n v="25830"/>
    <n v="0"/>
    <n v="232470"/>
    <n v="232470"/>
    <n v="0"/>
    <x v="1"/>
    <s v="Mary Nnamdi"/>
    <x v="0"/>
    <x v="6"/>
    <x v="1"/>
  </r>
  <r>
    <s v="TXN-01074"/>
    <d v="2025-11-13T00:00:00"/>
    <x v="2"/>
    <s v="South-East"/>
    <x v="1"/>
    <s v="Home Theatre System"/>
    <n v="9"/>
    <n v="49670"/>
    <n v="5"/>
    <n v="424678.5"/>
    <n v="447030"/>
    <n v="22351.5"/>
    <x v="2"/>
    <s v="Tunde Balogun"/>
    <x v="0"/>
    <x v="3"/>
    <x v="1"/>
  </r>
  <r>
    <s v="TXN-00614"/>
    <d v="2025-12-02T00:00:00"/>
    <x v="2"/>
    <s v="South-East"/>
    <x v="4"/>
    <s v="Bluetooth Speaker"/>
    <n v="8"/>
    <n v="3910"/>
    <n v="5"/>
    <n v="29716"/>
    <n v="31280"/>
    <n v="1564"/>
    <x v="3"/>
    <s v="Chidera Bello"/>
    <x v="0"/>
    <x v="11"/>
    <x v="0"/>
  </r>
  <r>
    <s v="TXN-00508"/>
    <d v="2025-10-16T00:00:00"/>
    <x v="6"/>
    <s v="South-South"/>
    <x v="1"/>
    <s v="Bluetooth Speaker"/>
    <n v="3"/>
    <n v="59880"/>
    <n v="0"/>
    <n v="179640"/>
    <n v="179640"/>
    <n v="0"/>
    <x v="3"/>
    <s v="Chidera Bello"/>
    <x v="0"/>
    <x v="6"/>
    <x v="1"/>
  </r>
  <r>
    <s v="TXN-00889"/>
    <d v="2025-01-27T00:00:00"/>
    <x v="1"/>
    <s v="South-West"/>
    <x v="2"/>
    <s v="Plastic Chair Set"/>
    <n v="4"/>
    <n v="47530"/>
    <n v="15"/>
    <n v="161602"/>
    <n v="190120"/>
    <n v="28518"/>
    <x v="0"/>
    <s v="Obinna Yusuf"/>
    <x v="0"/>
    <x v="7"/>
    <x v="0"/>
  </r>
  <r>
    <s v="TXN-01268"/>
    <d v="2025-06-30T00:00:00"/>
    <x v="1"/>
    <s v="South-West"/>
    <x v="0"/>
    <s v="Shea Butter Cream"/>
    <n v="9"/>
    <n v="61910"/>
    <n v="0"/>
    <n v="557190"/>
    <n v="557190"/>
    <n v="0"/>
    <x v="1"/>
    <s v="Segun Chukwu"/>
    <x v="0"/>
    <x v="1"/>
    <x v="1"/>
  </r>
  <r>
    <s v="TXN-00454"/>
    <d v="2025-12-07T00:00:00"/>
    <x v="4"/>
    <s v="North-West"/>
    <x v="4"/>
    <s v="Vegetable Oil 5L"/>
    <n v="4"/>
    <n v="7690"/>
    <n v="0"/>
    <n v="30760"/>
    <n v="30760"/>
    <n v="0"/>
    <x v="2"/>
    <s v="Ifeoma Adeyemi"/>
    <x v="0"/>
    <x v="11"/>
    <x v="0"/>
  </r>
  <r>
    <s v="TXN-01411"/>
    <d v="2025-09-11T00:00:00"/>
    <x v="2"/>
    <s v="South-East"/>
    <x v="2"/>
    <s v="Dinner Set"/>
    <n v="7"/>
    <n v="5480"/>
    <n v="0"/>
    <n v="38360"/>
    <n v="38360"/>
    <n v="0"/>
    <x v="2"/>
    <s v="Chinwe Etim"/>
    <x v="0"/>
    <x v="0"/>
    <x v="1"/>
  </r>
  <r>
    <s v="TXN-00578"/>
    <d v="2025-12-27T00:00:00"/>
    <x v="1"/>
    <s v="South-West"/>
    <x v="4"/>
    <s v="Deodorant Roll-on"/>
    <n v="5"/>
    <n v="5650"/>
    <n v="0"/>
    <n v="28250"/>
    <n v="28250"/>
    <n v="0"/>
    <x v="2"/>
    <s v="Ifeoma Adeyemi"/>
    <x v="0"/>
    <x v="11"/>
    <x v="0"/>
  </r>
  <r>
    <s v="TXN-00362"/>
    <d v="2025-05-17T00:00:00"/>
    <x v="5"/>
    <s v="South-West"/>
    <x v="1"/>
    <s v="Home Theatre System"/>
    <n v="10"/>
    <n v="50210"/>
    <n v="0"/>
    <n v="502100"/>
    <n v="502100"/>
    <n v="0"/>
    <x v="0"/>
    <s v="Ifeoma Adeyemi"/>
    <x v="0"/>
    <x v="5"/>
    <x v="1"/>
  </r>
  <r>
    <s v="TXN-01392"/>
    <d v="2025-02-26T00:00:00"/>
    <x v="5"/>
    <s v="South-West"/>
    <x v="3"/>
    <s v="Kids Sneakers"/>
    <n v="3"/>
    <n v="44780"/>
    <n v="15"/>
    <n v="114189"/>
    <n v="134340"/>
    <n v="20151"/>
    <x v="2"/>
    <s v="Ade Abubakar"/>
    <x v="0"/>
    <x v="8"/>
    <x v="1"/>
  </r>
  <r>
    <s v="TXN-00755"/>
    <d v="2025-04-15T00:00:00"/>
    <x v="0"/>
    <s v="North-Central"/>
    <x v="3"/>
    <s v="Ladies Ankara Gown"/>
    <n v="10"/>
    <n v="10890"/>
    <n v="0"/>
    <n v="108900"/>
    <n v="108900"/>
    <n v="0"/>
    <x v="3"/>
    <s v="Funmi Eze"/>
    <x v="0"/>
    <x v="4"/>
    <x v="1"/>
  </r>
  <r>
    <s v="TXN-00334"/>
    <d v="2025-07-07T00:00:00"/>
    <x v="2"/>
    <s v="South-East"/>
    <x v="2"/>
    <s v="Plastic Chair Set"/>
    <n v="1"/>
    <n v="7620"/>
    <n v="15"/>
    <n v="6477"/>
    <n v="7620"/>
    <n v="1143"/>
    <x v="3"/>
    <s v="Chinwe Etim"/>
    <x v="0"/>
    <x v="10"/>
    <x v="1"/>
  </r>
  <r>
    <s v="TXN-01100"/>
    <d v="2025-03-05T00:00:00"/>
    <x v="0"/>
    <s v="South-West"/>
    <x v="4"/>
    <s v="Semovita 2kg"/>
    <n v="1"/>
    <n v="9960"/>
    <n v="15"/>
    <n v="8466"/>
    <n v="9960"/>
    <n v="1494"/>
    <x v="3"/>
    <s v="Chidera Bello"/>
    <x v="0"/>
    <x v="9"/>
    <x v="1"/>
  </r>
  <r>
    <s v="TXN-00901"/>
    <d v="2025-10-03T00:00:00"/>
    <x v="2"/>
    <s v="South-East"/>
    <x v="4"/>
    <s v="Semovita 2kg"/>
    <n v="3"/>
    <n v="1240"/>
    <n v="0"/>
    <n v="3720"/>
    <n v="3720"/>
    <n v="0"/>
    <x v="3"/>
    <s v="Grace Okafor"/>
    <x v="0"/>
    <x v="6"/>
    <x v="0"/>
  </r>
  <r>
    <s v="TXN-01420"/>
    <d v="2025-12-19T00:00:00"/>
    <x v="3"/>
    <s v="South-South"/>
    <x v="4"/>
    <s v="Vegetable Oil 5L"/>
    <n v="1"/>
    <n v="5220"/>
    <n v="10"/>
    <n v="4698"/>
    <n v="5220"/>
    <n v="522"/>
    <x v="1"/>
    <s v="Tunde Balogun"/>
    <x v="0"/>
    <x v="11"/>
    <x v="1"/>
  </r>
  <r>
    <s v="TXN-00374"/>
    <d v="2025-02-09T00:00:00"/>
    <x v="3"/>
    <s v="South-South"/>
    <x v="4"/>
    <s v="Sugar 1kg"/>
    <n v="6"/>
    <n v="26790"/>
    <n v="0"/>
    <n v="160740"/>
    <n v="160740"/>
    <n v="0"/>
    <x v="1"/>
    <s v="Chidera Bello"/>
    <x v="0"/>
    <x v="8"/>
    <x v="0"/>
  </r>
  <r>
    <s v="TXN-01022"/>
    <d v="2025-01-12T00:00:00"/>
    <x v="6"/>
    <s v="South-South"/>
    <x v="4"/>
    <s v="Rice 50kg Bag"/>
    <n v="5"/>
    <n v="3900"/>
    <n v="0"/>
    <n v="19500"/>
    <n v="19500"/>
    <n v="0"/>
    <x v="3"/>
    <s v="Tunde Balogun"/>
    <x v="0"/>
    <x v="7"/>
    <x v="1"/>
  </r>
  <r>
    <s v="TXN-01150"/>
    <d v="2025-05-07T00:00:00"/>
    <x v="6"/>
    <s v="South-South"/>
    <x v="1"/>
    <s v="Rice Cooker"/>
    <n v="6"/>
    <n v="25610"/>
    <n v="15"/>
    <n v="130611"/>
    <n v="153660"/>
    <n v="23049"/>
    <x v="2"/>
    <s v="Ngozi Ibrahim"/>
    <x v="0"/>
    <x v="5"/>
    <x v="1"/>
  </r>
  <r>
    <s v="TXN-00983"/>
    <d v="2025-02-12T00:00:00"/>
    <x v="3"/>
    <s v="South-South"/>
    <x v="1"/>
    <s v="Home Theatre System"/>
    <n v="3"/>
    <n v="3900"/>
    <n v="15"/>
    <n v="9945"/>
    <n v="11700"/>
    <n v="1755"/>
    <x v="1"/>
    <s v="Chinwe Etim"/>
    <x v="0"/>
    <x v="8"/>
    <x v="1"/>
  </r>
  <r>
    <s v="TXN-00787"/>
    <d v="2025-09-26T00:00:00"/>
    <x v="6"/>
    <s v="South-South"/>
    <x v="0"/>
    <s v="Body Lotion 400ml"/>
    <n v="8"/>
    <n v="3920"/>
    <n v="0"/>
    <n v="31360"/>
    <n v="31360"/>
    <n v="0"/>
    <x v="0"/>
    <s v="Ifeoma Adeyemi"/>
    <x v="0"/>
    <x v="0"/>
    <x v="1"/>
  </r>
  <r>
    <s v="TXN-00709"/>
    <d v="2025-12-16T00:00:00"/>
    <x v="0"/>
    <s v="North-Central"/>
    <x v="1"/>
    <s v="Rice Cooker"/>
    <n v="6"/>
    <n v="2580"/>
    <n v="0"/>
    <n v="15480"/>
    <n v="15480"/>
    <n v="0"/>
    <x v="3"/>
    <s v="Ngozi Ibrahim"/>
    <x v="0"/>
    <x v="11"/>
    <x v="1"/>
  </r>
  <r>
    <s v="TXN-00337"/>
    <d v="2025-05-30T00:00:00"/>
    <x v="2"/>
    <s v="South-East"/>
    <x v="0"/>
    <s v="Hair Relaxer Kit"/>
    <n v="11"/>
    <n v="9100"/>
    <n v="0"/>
    <n v="100100"/>
    <n v="100100"/>
    <n v="0"/>
    <x v="1"/>
    <s v="Tunde Balogun"/>
    <x v="0"/>
    <x v="5"/>
    <x v="1"/>
  </r>
  <r>
    <s v="TXN-00720"/>
    <d v="2025-01-13T00:00:00"/>
    <x v="5"/>
    <s v="South-West"/>
    <x v="2"/>
    <s v="Non-stick Frying Pan"/>
    <n v="11"/>
    <n v="42690"/>
    <n v="0"/>
    <n v="469590"/>
    <n v="469590"/>
    <n v="0"/>
    <x v="1"/>
    <s v="Ngozi Ibrahim"/>
    <x v="0"/>
    <x v="7"/>
    <x v="1"/>
  </r>
  <r>
    <s v="TXN-01107"/>
    <d v="2025-03-15T00:00:00"/>
    <x v="6"/>
    <s v="South-South"/>
    <x v="0"/>
    <s v="Perfume 100ml"/>
    <n v="2"/>
    <n v="68510"/>
    <n v="0"/>
    <n v="137020"/>
    <n v="137020"/>
    <n v="0"/>
    <x v="0"/>
    <s v="Ifeoma Adeyemi"/>
    <x v="0"/>
    <x v="9"/>
    <x v="1"/>
  </r>
  <r>
    <s v="TXN-00226"/>
    <d v="2025-04-28T00:00:00"/>
    <x v="0"/>
    <s v="South-West"/>
    <x v="3"/>
    <s v="Wristwatch"/>
    <n v="8"/>
    <n v="20170"/>
    <n v="0"/>
    <n v="161360"/>
    <n v="161360"/>
    <n v="0"/>
    <x v="3"/>
    <s v="Uche Okoro"/>
    <x v="0"/>
    <x v="4"/>
    <x v="0"/>
  </r>
  <r>
    <s v="TXN-00624"/>
    <d v="2025-03-01T00:00:00"/>
    <x v="5"/>
    <s v="South-West"/>
    <x v="3"/>
    <s v="Office Blazer"/>
    <n v="9"/>
    <n v="3540"/>
    <n v="5"/>
    <n v="30267"/>
    <n v="31860"/>
    <n v="1593"/>
    <x v="1"/>
    <s v="Ade Abubakar"/>
    <x v="0"/>
    <x v="9"/>
    <x v="1"/>
  </r>
  <r>
    <s v="TXN-00183"/>
    <d v="2025-11-01T00:00:00"/>
    <x v="4"/>
    <s v="South-South"/>
    <x v="3"/>
    <s v="Handbag"/>
    <n v="6"/>
    <n v="40840"/>
    <n v="0"/>
    <n v="245040"/>
    <n v="245040"/>
    <n v="0"/>
    <x v="1"/>
    <s v="Funmi Eze"/>
    <x v="0"/>
    <x v="3"/>
    <x v="0"/>
  </r>
  <r>
    <s v="TXN-00135"/>
    <d v="2025-06-28T00:00:00"/>
    <x v="3"/>
    <s v="South-South"/>
    <x v="4"/>
    <s v="Rice Cooker"/>
    <n v="4"/>
    <n v="7600"/>
    <n v="0"/>
    <n v="30400"/>
    <n v="30400"/>
    <n v="0"/>
    <x v="1"/>
    <s v="Amaka Onwuka"/>
    <x v="0"/>
    <x v="1"/>
    <x v="1"/>
  </r>
  <r>
    <s v="TXN-01298"/>
    <d v="2025-07-26T00:00:00"/>
    <x v="1"/>
    <s v="South-West"/>
    <x v="3"/>
    <s v="Denim Jeans"/>
    <n v="3"/>
    <n v="1180"/>
    <n v="0"/>
    <n v="3540"/>
    <n v="3540"/>
    <n v="0"/>
    <x v="2"/>
    <s v="Amaka Onwuka"/>
    <x v="0"/>
    <x v="10"/>
    <x v="1"/>
  </r>
  <r>
    <s v="TXN-01492"/>
    <d v="2025-03-04T00:00:00"/>
    <x v="0"/>
    <s v="North-Central"/>
    <x v="1"/>
    <s v="Power Bank 20000mAh"/>
    <n v="7"/>
    <n v="8090"/>
    <n v="0"/>
    <n v="56630"/>
    <n v="56630"/>
    <n v="0"/>
    <x v="2"/>
    <s v="Tunde Balogun"/>
    <x v="0"/>
    <x v="9"/>
    <x v="1"/>
  </r>
  <r>
    <s v="TXN-00864"/>
    <d v="2025-07-23T00:00:00"/>
    <x v="3"/>
    <s v="South-South"/>
    <x v="4"/>
    <s v="Power Bank 20000mAh"/>
    <n v="6"/>
    <n v="20180"/>
    <n v="0"/>
    <n v="121080"/>
    <n v="121080"/>
    <n v="0"/>
    <x v="0"/>
    <s v="Segun Chukwu"/>
    <x v="0"/>
    <x v="10"/>
    <x v="0"/>
  </r>
  <r>
    <s v="TXN-00819"/>
    <d v="2025-12-02T00:00:00"/>
    <x v="3"/>
    <s v="South-South"/>
    <x v="3"/>
    <s v="Office Blazer"/>
    <n v="11"/>
    <n v="16750"/>
    <n v="10"/>
    <n v="165825"/>
    <n v="184250"/>
    <n v="18425"/>
    <x v="2"/>
    <s v="Chinwe Etim"/>
    <x v="0"/>
    <x v="11"/>
    <x v="1"/>
  </r>
  <r>
    <s v="TXN-00070"/>
    <d v="2025-08-26T00:00:00"/>
    <x v="5"/>
    <s v="South-West"/>
    <x v="2"/>
    <s v="Cleaning Mop"/>
    <n v="11"/>
    <n v="41350"/>
    <n v="0"/>
    <n v="454850"/>
    <n v="454850"/>
    <n v="0"/>
    <x v="1"/>
    <s v="Ade Abubakar"/>
    <x v="0"/>
    <x v="2"/>
    <x v="0"/>
  </r>
  <r>
    <s v="TXN-00443"/>
    <d v="2025-04-16T00:00:00"/>
    <x v="5"/>
    <s v="South-West"/>
    <x v="0"/>
    <s v="Body Lotion 400ml"/>
    <n v="4"/>
    <n v="10250"/>
    <n v="0"/>
    <n v="41000"/>
    <n v="41000"/>
    <n v="0"/>
    <x v="3"/>
    <s v="Tunde Balogun"/>
    <x v="0"/>
    <x v="4"/>
    <x v="0"/>
  </r>
  <r>
    <s v="TXN-00897"/>
    <d v="2025-05-24T00:00:00"/>
    <x v="6"/>
    <s v="South-South"/>
    <x v="3"/>
    <s v="Handbag"/>
    <n v="8"/>
    <n v="25670"/>
    <n v="0"/>
    <n v="205360"/>
    <n v="205360"/>
    <n v="0"/>
    <x v="1"/>
    <s v="Ifeoma Adeyemi"/>
    <x v="0"/>
    <x v="5"/>
    <x v="1"/>
  </r>
  <r>
    <s v="TXN-01179"/>
    <d v="2025-07-21T00:00:00"/>
    <x v="5"/>
    <s v="South-West"/>
    <x v="2"/>
    <s v="Non-stick Frying Pan"/>
    <n v="1"/>
    <n v="22570"/>
    <n v="0"/>
    <n v="22570"/>
    <n v="22570"/>
    <n v="0"/>
    <x v="0"/>
    <s v="Grace Okafor"/>
    <x v="0"/>
    <x v="10"/>
    <x v="0"/>
  </r>
  <r>
    <s v="TXN-00121"/>
    <d v="2025-04-02T00:00:00"/>
    <x v="3"/>
    <s v="South-South"/>
    <x v="1"/>
    <s v="LED TV 43&quot;"/>
    <n v="11"/>
    <n v="8410"/>
    <n v="5"/>
    <n v="87884.5"/>
    <n v="92510"/>
    <n v="4625.5"/>
    <x v="1"/>
    <s v="Mary Nnamdi"/>
    <x v="0"/>
    <x v="4"/>
    <x v="0"/>
  </r>
  <r>
    <s v="TXN-01202"/>
    <d v="2025-03-17T00:00:00"/>
    <x v="5"/>
    <s v="South-West"/>
    <x v="2"/>
    <s v="Storage Basket"/>
    <n v="1"/>
    <n v="530"/>
    <n v="0"/>
    <n v="530"/>
    <n v="530"/>
    <n v="0"/>
    <x v="3"/>
    <s v="Segun Chukwu"/>
    <x v="0"/>
    <x v="9"/>
    <x v="1"/>
  </r>
  <r>
    <s v="TXN-00608"/>
    <d v="2025-06-23T00:00:00"/>
    <x v="4"/>
    <s v="North-West"/>
    <x v="3"/>
    <s v="Handbag"/>
    <n v="12"/>
    <n v="480"/>
    <n v="5"/>
    <n v="5472"/>
    <n v="5760"/>
    <n v="288"/>
    <x v="3"/>
    <s v="Obinna Yusuf"/>
    <x v="0"/>
    <x v="1"/>
    <x v="1"/>
  </r>
  <r>
    <s v="TXN-00778"/>
    <d v="2025-02-10T00:00:00"/>
    <x v="6"/>
    <s v="South-South"/>
    <x v="1"/>
    <s v="Home Theatre System"/>
    <n v="6"/>
    <n v="5080"/>
    <n v="10"/>
    <n v="27432"/>
    <n v="30480"/>
    <n v="3048"/>
    <x v="0"/>
    <s v="Grace Okafor"/>
    <x v="0"/>
    <x v="8"/>
    <x v="1"/>
  </r>
  <r>
    <s v="TXN-01335"/>
    <d v="2025-12-13T00:00:00"/>
    <x v="2"/>
    <s v="South-East"/>
    <x v="2"/>
    <s v="Dinner Set"/>
    <n v="6"/>
    <n v="2370"/>
    <n v="0"/>
    <n v="14220"/>
    <n v="14220"/>
    <n v="0"/>
    <x v="1"/>
    <s v="Chinwe Etim"/>
    <x v="0"/>
    <x v="11"/>
    <x v="1"/>
  </r>
  <r>
    <s v="TXN-00008"/>
    <d v="2025-06-09T00:00:00"/>
    <x v="4"/>
    <s v="South-West"/>
    <x v="4"/>
    <s v="Milo 500g"/>
    <n v="12"/>
    <n v="3960"/>
    <n v="5"/>
    <n v="45144"/>
    <n v="47520"/>
    <n v="2376"/>
    <x v="0"/>
    <s v="Chidera Bello"/>
    <x v="0"/>
    <x v="1"/>
    <x v="1"/>
  </r>
  <r>
    <s v="TXN-00520"/>
    <d v="2025-02-07T00:00:00"/>
    <x v="1"/>
    <s v="South-West"/>
    <x v="1"/>
    <s v="Standing Fan"/>
    <n v="5"/>
    <n v="6920"/>
    <n v="0"/>
    <n v="34600"/>
    <n v="34600"/>
    <n v="0"/>
    <x v="2"/>
    <s v="Ifeoma Adeyemi"/>
    <x v="0"/>
    <x v="8"/>
    <x v="0"/>
  </r>
  <r>
    <s v="TXN-00817"/>
    <d v="2025-01-11T00:00:00"/>
    <x v="5"/>
    <s v="South-West"/>
    <x v="0"/>
    <s v="Toothpaste Pack"/>
    <n v="4"/>
    <n v="1180"/>
    <n v="0"/>
    <n v="4720"/>
    <n v="4720"/>
    <n v="0"/>
    <x v="3"/>
    <s v="Ifeoma Adeyemi"/>
    <x v="0"/>
    <x v="7"/>
    <x v="1"/>
  </r>
  <r>
    <s v="TXN-00547"/>
    <d v="2025-06-22T00:00:00"/>
    <x v="3"/>
    <s v="South-South"/>
    <x v="4"/>
    <s v="Kids Sneakers"/>
    <n v="9"/>
    <n v="560"/>
    <n v="0"/>
    <n v="5040"/>
    <n v="5040"/>
    <n v="0"/>
    <x v="1"/>
    <s v="Ade Abubakar"/>
    <x v="0"/>
    <x v="1"/>
    <x v="1"/>
  </r>
  <r>
    <s v="TXN-00822"/>
    <d v="2025-02-19T00:00:00"/>
    <x v="0"/>
    <s v="North-Central"/>
    <x v="2"/>
    <s v="Dinner Set"/>
    <n v="2"/>
    <n v="8370"/>
    <n v="0"/>
    <n v="16740"/>
    <n v="16740"/>
    <n v="0"/>
    <x v="3"/>
    <s v="Kelechi Nwosu"/>
    <x v="0"/>
    <x v="8"/>
    <x v="0"/>
  </r>
  <r>
    <s v="TXN-01343"/>
    <d v="2025-02-02T00:00:00"/>
    <x v="2"/>
    <s v="South-East"/>
    <x v="3"/>
    <s v="Handbag"/>
    <n v="4"/>
    <n v="9100"/>
    <n v="15"/>
    <n v="30940"/>
    <n v="36400"/>
    <n v="5460"/>
    <x v="1"/>
    <s v="Grace Okafor"/>
    <x v="0"/>
    <x v="8"/>
    <x v="0"/>
  </r>
  <r>
    <s v="TXN-00261"/>
    <d v="2025-07-01T00:00:00"/>
    <x v="6"/>
    <s v="South-West"/>
    <x v="3"/>
    <s v="Wristwatch"/>
    <n v="10"/>
    <n v="500"/>
    <n v="0"/>
    <n v="5000"/>
    <n v="5000"/>
    <n v="0"/>
    <x v="0"/>
    <s v="Chidera Bello"/>
    <x v="0"/>
    <x v="10"/>
    <x v="1"/>
  </r>
  <r>
    <s v="TXN-00021"/>
    <d v="2025-12-06T00:00:00"/>
    <x v="2"/>
    <s v="South-East"/>
    <x v="4"/>
    <s v="Semovita 2kg"/>
    <n v="10"/>
    <n v="50860"/>
    <n v="15"/>
    <n v="432310"/>
    <n v="508600"/>
    <n v="76290"/>
    <x v="0"/>
    <s v="Obinna Yusuf"/>
    <x v="0"/>
    <x v="11"/>
    <x v="0"/>
  </r>
  <r>
    <s v="TXN-00244"/>
    <d v="2025-04-21T00:00:00"/>
    <x v="0"/>
    <s v="North-Central"/>
    <x v="3"/>
    <s v="Kids Sneakers"/>
    <n v="3"/>
    <n v="8320"/>
    <n v="0"/>
    <n v="24960"/>
    <n v="24960"/>
    <n v="0"/>
    <x v="1"/>
    <s v="Grace Okafor"/>
    <x v="0"/>
    <x v="4"/>
    <x v="0"/>
  </r>
  <r>
    <s v="TXN-01021"/>
    <d v="2025-11-22T00:00:00"/>
    <x v="6"/>
    <s v="South-South"/>
    <x v="0"/>
    <s v="Deodorant Roll-on"/>
    <n v="7"/>
    <n v="41050"/>
    <n v="5"/>
    <n v="272982.5"/>
    <n v="287350"/>
    <n v="14367.5"/>
    <x v="2"/>
    <s v="Ngozi Ibrahim"/>
    <x v="0"/>
    <x v="3"/>
    <x v="1"/>
  </r>
  <r>
    <s v="TXN-00602"/>
    <d v="2025-08-16T00:00:00"/>
    <x v="1"/>
    <s v="South-West"/>
    <x v="1"/>
    <s v="Power Bank 20000mAh"/>
    <n v="5"/>
    <n v="500"/>
    <n v="0"/>
    <n v="2500"/>
    <n v="2500"/>
    <n v="0"/>
    <x v="2"/>
    <s v="Ifeoma Adeyemi"/>
    <x v="0"/>
    <x v="2"/>
    <x v="1"/>
  </r>
  <r>
    <s v="TXN-00545"/>
    <d v="2025-09-27T00:00:00"/>
    <x v="4"/>
    <s v="North-West"/>
    <x v="0"/>
    <s v="Deodorant Roll-on"/>
    <n v="5"/>
    <n v="16500"/>
    <n v="5"/>
    <n v="78375"/>
    <n v="82500"/>
    <n v="4125"/>
    <x v="2"/>
    <s v="Uche Okoro"/>
    <x v="0"/>
    <x v="0"/>
    <x v="0"/>
  </r>
  <r>
    <s v="TXN-01098"/>
    <d v="2025-02-21T00:00:00"/>
    <x v="0"/>
    <s v="North-Central"/>
    <x v="3"/>
    <s v="Handbag"/>
    <n v="6"/>
    <n v="23660"/>
    <n v="0"/>
    <n v="141960"/>
    <n v="141960"/>
    <n v="0"/>
    <x v="2"/>
    <s v="Ngozi Ibrahim"/>
    <x v="0"/>
    <x v="8"/>
    <x v="1"/>
  </r>
  <r>
    <s v="TXN-00938"/>
    <d v="2025-06-03T00:00:00"/>
    <x v="4"/>
    <s v="North-West"/>
    <x v="4"/>
    <s v="Indomie Carton"/>
    <n v="2"/>
    <n v="8150"/>
    <n v="0"/>
    <n v="16300"/>
    <n v="16300"/>
    <n v="0"/>
    <x v="3"/>
    <s v="Peter Adekunle"/>
    <x v="0"/>
    <x v="1"/>
    <x v="0"/>
  </r>
  <r>
    <s v="TXN-00085"/>
    <d v="2025-11-11T00:00:00"/>
    <x v="2"/>
    <s v="South-East"/>
    <x v="3"/>
    <s v="School Sandals"/>
    <n v="12"/>
    <n v="7590"/>
    <n v="15"/>
    <n v="77418"/>
    <n v="91080"/>
    <n v="13662"/>
    <x v="2"/>
    <s v="Kelechi Nwosu"/>
    <x v="0"/>
    <x v="3"/>
    <x v="1"/>
  </r>
  <r>
    <s v="TXN-01122"/>
    <d v="2025-03-06T00:00:00"/>
    <x v="2"/>
    <s v="South-East"/>
    <x v="0"/>
    <s v="Bathing Soap Pack"/>
    <n v="12"/>
    <n v="8120"/>
    <n v="15"/>
    <n v="82824"/>
    <n v="97440"/>
    <n v="14616"/>
    <x v="0"/>
    <s v="Kelechi Nwosu"/>
    <x v="0"/>
    <x v="9"/>
    <x v="1"/>
  </r>
  <r>
    <s v="TXN-00042"/>
    <d v="2025-06-18T00:00:00"/>
    <x v="4"/>
    <s v="North-West"/>
    <x v="1"/>
    <s v="Standing Fan"/>
    <n v="2"/>
    <n v="7350"/>
    <n v="0"/>
    <n v="14700"/>
    <n v="14700"/>
    <n v="0"/>
    <x v="2"/>
    <s v="Amaka Onwuka"/>
    <x v="0"/>
    <x v="1"/>
    <x v="1"/>
  </r>
  <r>
    <s v="TXN-01462"/>
    <d v="2025-01-12T00:00:00"/>
    <x v="0"/>
    <s v="North-Central"/>
    <x v="4"/>
    <s v="Rice 50kg Bag"/>
    <n v="10"/>
    <n v="41420"/>
    <n v="0"/>
    <n v="414200"/>
    <n v="414200"/>
    <n v="0"/>
    <x v="0"/>
    <s v="Obinna Yusuf"/>
    <x v="0"/>
    <x v="7"/>
    <x v="1"/>
  </r>
  <r>
    <s v="TXN-00182"/>
    <d v="2025-03-30T00:00:00"/>
    <x v="5"/>
    <s v="South-West"/>
    <x v="1"/>
    <s v="Microwave Oven"/>
    <n v="9"/>
    <n v="2740"/>
    <n v="0"/>
    <n v="24660"/>
    <n v="24660"/>
    <n v="0"/>
    <x v="3"/>
    <s v="Kelechi Nwosu"/>
    <x v="0"/>
    <x v="9"/>
    <x v="1"/>
  </r>
  <r>
    <s v="TXN-01165"/>
    <d v="2025-01-02T00:00:00"/>
    <x v="1"/>
    <s v="South-West"/>
    <x v="2"/>
    <s v="Plastic Chair Set"/>
    <n v="7"/>
    <n v="20070"/>
    <n v="10"/>
    <n v="126441"/>
    <n v="140490"/>
    <n v="14049"/>
    <x v="2"/>
    <s v="Tunde Balogun"/>
    <x v="0"/>
    <x v="7"/>
    <x v="0"/>
  </r>
  <r>
    <s v="TXN-00947"/>
    <d v="2025-06-08T00:00:00"/>
    <x v="3"/>
    <s v="South-West"/>
    <x v="0"/>
    <s v="Bathing Soap Pack"/>
    <n v="4"/>
    <n v="8560"/>
    <n v="0"/>
    <n v="34240"/>
    <n v="34240"/>
    <n v="0"/>
    <x v="0"/>
    <s v="Mary Nnamdi"/>
    <x v="0"/>
    <x v="1"/>
    <x v="1"/>
  </r>
  <r>
    <s v="TXN-01076"/>
    <d v="2025-08-18T00:00:00"/>
    <x v="4"/>
    <s v="South-West"/>
    <x v="2"/>
    <s v="Cleaning Mop"/>
    <n v="5"/>
    <n v="19190"/>
    <n v="0"/>
    <n v="95950"/>
    <n v="95950"/>
    <n v="0"/>
    <x v="2"/>
    <s v="Segun Chukwu"/>
    <x v="0"/>
    <x v="2"/>
    <x v="1"/>
  </r>
  <r>
    <s v="TXN-00722"/>
    <d v="2025-08-19T00:00:00"/>
    <x v="1"/>
    <s v="South-West"/>
    <x v="0"/>
    <s v="Perfume 100ml"/>
    <n v="5"/>
    <n v="26530"/>
    <n v="0"/>
    <n v="132650"/>
    <n v="132650"/>
    <n v="0"/>
    <x v="1"/>
    <s v="Ifeoma Adeyemi"/>
    <x v="0"/>
    <x v="2"/>
    <x v="1"/>
  </r>
  <r>
    <s v="TXN-00457"/>
    <d v="2025-07-13T00:00:00"/>
    <x v="4"/>
    <s v="North-West"/>
    <x v="4"/>
    <s v="Milo 500g"/>
    <n v="6"/>
    <n v="1370"/>
    <n v="0"/>
    <n v="8220"/>
    <n v="8220"/>
    <n v="0"/>
    <x v="0"/>
    <s v="Segun Chukwu"/>
    <x v="0"/>
    <x v="10"/>
    <x v="1"/>
  </r>
  <r>
    <s v="TXN-00475"/>
    <d v="2025-02-19T00:00:00"/>
    <x v="6"/>
    <s v="South-South"/>
    <x v="3"/>
    <s v="Handbag"/>
    <n v="4"/>
    <n v="5370"/>
    <n v="0"/>
    <n v="21480"/>
    <n v="21480"/>
    <n v="0"/>
    <x v="1"/>
    <s v="Chinwe Etim"/>
    <x v="0"/>
    <x v="8"/>
    <x v="1"/>
  </r>
  <r>
    <s v="TXN-00186"/>
    <d v="2025-05-22T00:00:00"/>
    <x v="1"/>
    <s v="South-West"/>
    <x v="0"/>
    <s v="Baby Diaper Pack"/>
    <n v="5"/>
    <n v="10990"/>
    <n v="15"/>
    <n v="46707.5"/>
    <n v="54950"/>
    <n v="8242.5"/>
    <x v="3"/>
    <s v="Grace Okafor"/>
    <x v="0"/>
    <x v="5"/>
    <x v="0"/>
  </r>
  <r>
    <s v="TXN-00855"/>
    <d v="2025-09-04T00:00:00"/>
    <x v="5"/>
    <s v="South-West"/>
    <x v="3"/>
    <s v="Denim Jeans"/>
    <n v="3"/>
    <n v="7770"/>
    <n v="10"/>
    <n v="20979"/>
    <n v="23310"/>
    <n v="2331"/>
    <x v="1"/>
    <s v="Kelechi Nwosu"/>
    <x v="0"/>
    <x v="0"/>
    <x v="1"/>
  </r>
  <r>
    <s v="TXN-00446"/>
    <d v="2025-07-29T00:00:00"/>
    <x v="2"/>
    <s v="South-West"/>
    <x v="4"/>
    <s v="Indomie Carton"/>
    <n v="2"/>
    <n v="6890"/>
    <n v="15"/>
    <n v="11713"/>
    <n v="13780"/>
    <n v="2067"/>
    <x v="0"/>
    <s v="Obinna Yusuf"/>
    <x v="0"/>
    <x v="10"/>
    <x v="0"/>
  </r>
  <r>
    <s v="TXN-01011"/>
    <d v="2025-08-07T00:00:00"/>
    <x v="3"/>
    <s v="South-South"/>
    <x v="1"/>
    <s v="Bluetooth Speaker"/>
    <n v="2"/>
    <n v="2340"/>
    <n v="0"/>
    <n v="4680"/>
    <n v="4680"/>
    <n v="0"/>
    <x v="1"/>
    <s v="Tunde Balogun"/>
    <x v="0"/>
    <x v="2"/>
    <x v="1"/>
  </r>
  <r>
    <s v="TXN-01493"/>
    <d v="2025-10-22T00:00:00"/>
    <x v="3"/>
    <s v="South-South"/>
    <x v="1"/>
    <s v="Standing Fan"/>
    <n v="11"/>
    <n v="9140"/>
    <n v="10"/>
    <n v="90486"/>
    <n v="100540"/>
    <n v="10054"/>
    <x v="3"/>
    <s v="Kelechi Nwosu"/>
    <x v="0"/>
    <x v="6"/>
    <x v="0"/>
  </r>
  <r>
    <s v="TXN-00328"/>
    <d v="2025-04-23T00:00:00"/>
    <x v="3"/>
    <s v="South-West"/>
    <x v="2"/>
    <s v="Cleaning Mop"/>
    <n v="4"/>
    <n v="65200"/>
    <n v="0"/>
    <n v="260800"/>
    <n v="260800"/>
    <n v="0"/>
    <x v="3"/>
    <s v="Chinwe Etim"/>
    <x v="0"/>
    <x v="4"/>
    <x v="0"/>
  </r>
  <r>
    <s v="TXN-01259"/>
    <d v="2025-06-22T00:00:00"/>
    <x v="2"/>
    <s v="South-East"/>
    <x v="1"/>
    <s v="Standing Fan"/>
    <n v="3"/>
    <n v="27990"/>
    <n v="10"/>
    <n v="75573"/>
    <n v="83970"/>
    <n v="8397"/>
    <x v="0"/>
    <s v="Peter Adekunle"/>
    <x v="0"/>
    <x v="1"/>
    <x v="1"/>
  </r>
  <r>
    <s v="TXN-00837"/>
    <d v="2025-04-29T00:00:00"/>
    <x v="4"/>
    <s v="North-West"/>
    <x v="4"/>
    <s v="Tomato Paste Carton"/>
    <n v="10"/>
    <n v="59740"/>
    <n v="0"/>
    <n v="597400"/>
    <n v="597400"/>
    <n v="0"/>
    <x v="2"/>
    <s v="Chidera Bello"/>
    <x v="0"/>
    <x v="4"/>
    <x v="0"/>
  </r>
  <r>
    <s v="TXN-00163"/>
    <d v="2025-12-18T00:00:00"/>
    <x v="3"/>
    <s v="South-South"/>
    <x v="4"/>
    <s v="Vegetable Oil 5L"/>
    <n v="7"/>
    <n v="3260"/>
    <n v="15"/>
    <n v="19397"/>
    <n v="22820"/>
    <n v="3423"/>
    <x v="1"/>
    <s v="Ifeoma Adeyemi"/>
    <x v="0"/>
    <x v="11"/>
    <x v="1"/>
  </r>
  <r>
    <s v="TXN-01473"/>
    <d v="2025-04-18T00:00:00"/>
    <x v="2"/>
    <s v="South-East"/>
    <x v="0"/>
    <s v="Shea Butter Cream"/>
    <n v="4"/>
    <n v="17180"/>
    <n v="15"/>
    <n v="58412"/>
    <n v="68720"/>
    <n v="10308"/>
    <x v="0"/>
    <s v="Mary Nnamdi"/>
    <x v="0"/>
    <x v="4"/>
    <x v="0"/>
  </r>
  <r>
    <s v="TXN-00961"/>
    <d v="2025-05-04T00:00:00"/>
    <x v="1"/>
    <s v="South-West"/>
    <x v="0"/>
    <s v="Toothpaste Pack"/>
    <n v="2"/>
    <n v="1090"/>
    <n v="0"/>
    <n v="2180"/>
    <n v="2180"/>
    <n v="0"/>
    <x v="2"/>
    <s v="Ade Abubakar"/>
    <x v="0"/>
    <x v="5"/>
    <x v="0"/>
  </r>
  <r>
    <s v="TXN-00119"/>
    <d v="2025-03-16T00:00:00"/>
    <x v="6"/>
    <s v="South-South"/>
    <x v="3"/>
    <s v="Office Blazer"/>
    <n v="1"/>
    <n v="7340"/>
    <n v="5"/>
    <n v="6973"/>
    <n v="7340"/>
    <n v="367"/>
    <x v="0"/>
    <s v="Uche Okoro"/>
    <x v="0"/>
    <x v="9"/>
    <x v="0"/>
  </r>
  <r>
    <s v="TXN-00090"/>
    <d v="2025-09-23T00:00:00"/>
    <x v="4"/>
    <s v="North-West"/>
    <x v="3"/>
    <s v="Office Blazer"/>
    <n v="1"/>
    <n v="2520"/>
    <n v="0"/>
    <n v="2520"/>
    <n v="2520"/>
    <n v="0"/>
    <x v="1"/>
    <s v="Ade Abubakar"/>
    <x v="0"/>
    <x v="0"/>
    <x v="0"/>
  </r>
  <r>
    <s v="TXN-01385"/>
    <d v="2025-06-19T00:00:00"/>
    <x v="1"/>
    <s v="South-West"/>
    <x v="3"/>
    <s v="Denim Jeans"/>
    <n v="4"/>
    <n v="5670"/>
    <n v="10"/>
    <n v="20412"/>
    <n v="22680"/>
    <n v="2268"/>
    <x v="0"/>
    <s v="Amaka Onwuka"/>
    <x v="0"/>
    <x v="1"/>
    <x v="1"/>
  </r>
  <r>
    <s v="TXN-00048"/>
    <d v="2025-12-06T00:00:00"/>
    <x v="0"/>
    <s v="North-Central"/>
    <x v="2"/>
    <s v="Dinner Set"/>
    <n v="9"/>
    <n v="8350"/>
    <n v="0"/>
    <n v="75150"/>
    <n v="75150"/>
    <n v="0"/>
    <x v="2"/>
    <s v="Funmi Eze"/>
    <x v="0"/>
    <x v="11"/>
    <x v="0"/>
  </r>
  <r>
    <s v="TXN-00373"/>
    <d v="2025-08-21T00:00:00"/>
    <x v="3"/>
    <s v="South-South"/>
    <x v="4"/>
    <s v="Milo 500g"/>
    <n v="12"/>
    <n v="7540.0000000000009"/>
    <n v="15"/>
    <n v="76908"/>
    <n v="90480.000000000015"/>
    <n v="13572.000000000002"/>
    <x v="0"/>
    <s v="Chidera Bello"/>
    <x v="0"/>
    <x v="2"/>
    <x v="0"/>
  </r>
  <r>
    <s v="TXN-00611"/>
    <d v="2025-02-13T00:00:00"/>
    <x v="5"/>
    <s v="South-West"/>
    <x v="4"/>
    <s v="Rice 50kg Bag"/>
    <n v="3"/>
    <n v="9570"/>
    <n v="10"/>
    <n v="25839"/>
    <n v="28710"/>
    <n v="2871"/>
    <x v="2"/>
    <s v="Grace Okafor"/>
    <x v="0"/>
    <x v="8"/>
    <x v="0"/>
  </r>
  <r>
    <s v="TXN-00204"/>
    <d v="2025-08-23T00:00:00"/>
    <x v="2"/>
    <s v="South-East"/>
    <x v="3"/>
    <s v="Ladies Ankara Gown"/>
    <n v="7"/>
    <n v="3260"/>
    <n v="5"/>
    <n v="21679"/>
    <n v="22820"/>
    <n v="1141"/>
    <x v="2"/>
    <s v="Grace Okafor"/>
    <x v="0"/>
    <x v="2"/>
    <x v="1"/>
  </r>
  <r>
    <s v="TXN-00693"/>
    <d v="2025-11-23T00:00:00"/>
    <x v="6"/>
    <s v="South-South"/>
    <x v="2"/>
    <s v="Cleaning Mop"/>
    <n v="7"/>
    <n v="74150"/>
    <n v="0"/>
    <n v="519050"/>
    <n v="519050"/>
    <n v="0"/>
    <x v="1"/>
    <s v="Segun Chukwu"/>
    <x v="0"/>
    <x v="3"/>
    <x v="1"/>
  </r>
  <r>
    <s v="TXN-00892"/>
    <d v="2025-02-22T00:00:00"/>
    <x v="4"/>
    <s v="North-West"/>
    <x v="4"/>
    <s v="Spaghetti Pack"/>
    <n v="9"/>
    <n v="62110"/>
    <n v="15"/>
    <n v="475141.5"/>
    <n v="558990"/>
    <n v="83848.5"/>
    <x v="0"/>
    <s v="Obinna Yusuf"/>
    <x v="0"/>
    <x v="8"/>
    <x v="0"/>
  </r>
  <r>
    <s v="TXN-00765"/>
    <d v="2025-12-22T00:00:00"/>
    <x v="1"/>
    <s v="South-West"/>
    <x v="4"/>
    <s v="Dinner Set"/>
    <n v="8"/>
    <n v="3710"/>
    <n v="0"/>
    <n v="29680"/>
    <n v="29680"/>
    <n v="0"/>
    <x v="2"/>
    <s v="Kelechi Nwosu"/>
    <x v="0"/>
    <x v="11"/>
    <x v="0"/>
  </r>
  <r>
    <s v="TXN-00349"/>
    <d v="2025-08-02T00:00:00"/>
    <x v="0"/>
    <s v="North-Central"/>
    <x v="4"/>
    <s v="Vegetable Oil 5L"/>
    <n v="4"/>
    <n v="17200"/>
    <n v="0"/>
    <n v="68800"/>
    <n v="68800"/>
    <n v="0"/>
    <x v="2"/>
    <s v="Ngozi Ibrahim"/>
    <x v="0"/>
    <x v="2"/>
    <x v="0"/>
  </r>
  <r>
    <s v="TXN-00179"/>
    <d v="2025-02-24T00:00:00"/>
    <x v="6"/>
    <s v="South-South"/>
    <x v="1"/>
    <s v="Electric Kettle"/>
    <n v="10"/>
    <n v="2340"/>
    <n v="0"/>
    <n v="23400"/>
    <n v="23400"/>
    <n v="0"/>
    <x v="1"/>
    <s v="Chinwe Etim"/>
    <x v="0"/>
    <x v="8"/>
    <x v="1"/>
  </r>
  <r>
    <s v="TXN-00415"/>
    <d v="2025-03-14T00:00:00"/>
    <x v="2"/>
    <s v="South-East"/>
    <x v="4"/>
    <s v="Milo 500g"/>
    <n v="11"/>
    <n v="11050"/>
    <n v="5"/>
    <n v="115472.5"/>
    <n v="121550"/>
    <n v="6077.5"/>
    <x v="0"/>
    <s v="Peter Adekunle"/>
    <x v="0"/>
    <x v="9"/>
    <x v="1"/>
  </r>
  <r>
    <s v="TXN-01243"/>
    <d v="2025-03-06T00:00:00"/>
    <x v="4"/>
    <s v="North-West"/>
    <x v="2"/>
    <s v="Curtain Set"/>
    <n v="12"/>
    <n v="8330"/>
    <n v="15"/>
    <n v="84966"/>
    <n v="99960"/>
    <n v="14994"/>
    <x v="0"/>
    <s v="Segun Chukwu"/>
    <x v="0"/>
    <x v="9"/>
    <x v="0"/>
  </r>
  <r>
    <s v="TXN-00314"/>
    <d v="2025-03-11T00:00:00"/>
    <x v="0"/>
    <s v="North-Central"/>
    <x v="4"/>
    <s v="Rice 50kg Bag"/>
    <n v="11"/>
    <n v="570"/>
    <n v="5"/>
    <n v="5956.5"/>
    <n v="6270"/>
    <n v="313.5"/>
    <x v="3"/>
    <s v="Ifeoma Adeyemi"/>
    <x v="0"/>
    <x v="9"/>
    <x v="0"/>
  </r>
  <r>
    <s v="TXN-01154"/>
    <d v="2025-10-08T00:00:00"/>
    <x v="4"/>
    <s v="North-West"/>
    <x v="4"/>
    <s v="Spaghetti Pack"/>
    <n v="6"/>
    <n v="61860"/>
    <n v="5"/>
    <n v="352602"/>
    <n v="371160"/>
    <n v="18558"/>
    <x v="3"/>
    <s v="Tunde Balogun"/>
    <x v="0"/>
    <x v="6"/>
    <x v="0"/>
  </r>
  <r>
    <s v="TXN-00717"/>
    <d v="2025-04-04T00:00:00"/>
    <x v="5"/>
    <s v="South-West"/>
    <x v="4"/>
    <s v="Vegetable Oil 5L"/>
    <n v="8"/>
    <n v="1130"/>
    <n v="0"/>
    <n v="9040"/>
    <n v="9040"/>
    <n v="0"/>
    <x v="0"/>
    <s v="Funmi Eze"/>
    <x v="0"/>
    <x v="4"/>
    <x v="0"/>
  </r>
  <r>
    <s v="TXN-00059"/>
    <d v="2025-09-27T00:00:00"/>
    <x v="0"/>
    <s v="North-Central"/>
    <x v="4"/>
    <s v="Semovita 2kg"/>
    <n v="12"/>
    <n v="4570"/>
    <n v="0"/>
    <n v="54840"/>
    <n v="54840"/>
    <n v="0"/>
    <x v="2"/>
    <s v="Ifeoma Adeyemi"/>
    <x v="0"/>
    <x v="0"/>
    <x v="0"/>
  </r>
  <r>
    <s v="TXN-00758"/>
    <d v="2025-08-02T00:00:00"/>
    <x v="1"/>
    <s v="South-West"/>
    <x v="4"/>
    <s v="Vegetable Oil 5L"/>
    <n v="7"/>
    <n v="3720"/>
    <n v="15"/>
    <n v="22134"/>
    <n v="26040"/>
    <n v="3906"/>
    <x v="2"/>
    <s v="Ifeoma Adeyemi"/>
    <x v="0"/>
    <x v="2"/>
    <x v="1"/>
  </r>
  <r>
    <s v="TXN-00278"/>
    <d v="2025-07-11T00:00:00"/>
    <x v="2"/>
    <s v="South-East"/>
    <x v="2"/>
    <s v="Bedsheet Set"/>
    <n v="1"/>
    <n v="1120"/>
    <n v="10"/>
    <n v="1008"/>
    <n v="1120"/>
    <n v="112"/>
    <x v="2"/>
    <s v="Mary Nnamdi"/>
    <x v="0"/>
    <x v="10"/>
    <x v="0"/>
  </r>
  <r>
    <s v="TXN-01184"/>
    <d v="2025-09-02T00:00:00"/>
    <x v="2"/>
    <s v="South-East"/>
    <x v="4"/>
    <s v="Indomie Carton"/>
    <n v="7"/>
    <n v="12780"/>
    <n v="15"/>
    <n v="76041"/>
    <n v="89460"/>
    <n v="13419"/>
    <x v="3"/>
    <s v="Ade Abubakar"/>
    <x v="0"/>
    <x v="0"/>
    <x v="1"/>
  </r>
  <r>
    <s v="TXN-00241"/>
    <d v="2025-07-21T00:00:00"/>
    <x v="6"/>
    <s v="South-South"/>
    <x v="0"/>
    <s v="Hair Relaxer Kit"/>
    <n v="1"/>
    <n v="13620"/>
    <n v="15"/>
    <n v="11577"/>
    <n v="13620"/>
    <n v="2043"/>
    <x v="0"/>
    <s v="Ifeoma Adeyemi"/>
    <x v="0"/>
    <x v="10"/>
    <x v="1"/>
  </r>
  <r>
    <s v="TXN-01206"/>
    <d v="2025-12-20T00:00:00"/>
    <x v="1"/>
    <s v="South-West"/>
    <x v="3"/>
    <s v="Wristwatch"/>
    <n v="6"/>
    <n v="4800"/>
    <n v="0"/>
    <n v="28800"/>
    <n v="28800"/>
    <n v="0"/>
    <x v="1"/>
    <s v="Ifeoma Adeyemi"/>
    <x v="0"/>
    <x v="11"/>
    <x v="1"/>
  </r>
  <r>
    <s v="TXN-00652"/>
    <d v="2025-03-31T00:00:00"/>
    <x v="2"/>
    <s v="South-East"/>
    <x v="0"/>
    <s v="Body Lotion 400ml"/>
    <n v="12"/>
    <n v="2540"/>
    <n v="5"/>
    <n v="28956"/>
    <n v="30480"/>
    <n v="1524"/>
    <x v="3"/>
    <s v="Chidera Bello"/>
    <x v="0"/>
    <x v="9"/>
    <x v="0"/>
  </r>
  <r>
    <s v="TXN-01261"/>
    <d v="2025-06-20T00:00:00"/>
    <x v="0"/>
    <s v="North-Central"/>
    <x v="4"/>
    <s v="Rice 50kg Bag"/>
    <n v="9"/>
    <n v="1190"/>
    <n v="0"/>
    <n v="10710"/>
    <n v="10710"/>
    <n v="0"/>
    <x v="0"/>
    <s v="Mary Nnamdi"/>
    <x v="0"/>
    <x v="1"/>
    <x v="0"/>
  </r>
  <r>
    <s v="TXN-01190"/>
    <d v="2025-09-23T00:00:00"/>
    <x v="4"/>
    <s v="South-South"/>
    <x v="4"/>
    <s v="Tomato Paste Carton"/>
    <n v="12"/>
    <n v="7990"/>
    <n v="0"/>
    <n v="95880"/>
    <n v="95880"/>
    <n v="0"/>
    <x v="2"/>
    <s v="Chidera Bello"/>
    <x v="0"/>
    <x v="0"/>
    <x v="0"/>
  </r>
  <r>
    <s v="TXN-00467"/>
    <d v="2025-11-23T00:00:00"/>
    <x v="5"/>
    <s v="South-West"/>
    <x v="2"/>
    <s v="Laundry Basket"/>
    <n v="4"/>
    <n v="18060"/>
    <n v="0"/>
    <n v="72240"/>
    <n v="72240"/>
    <n v="0"/>
    <x v="1"/>
    <s v="Peter Adekunle"/>
    <x v="0"/>
    <x v="3"/>
    <x v="1"/>
  </r>
  <r>
    <s v="TXN-00198"/>
    <d v="2025-05-20T00:00:00"/>
    <x v="2"/>
    <s v="South-East"/>
    <x v="1"/>
    <s v="Home Theatre System"/>
    <n v="7"/>
    <n v="2320"/>
    <n v="0"/>
    <n v="16240"/>
    <n v="16240"/>
    <n v="0"/>
    <x v="3"/>
    <s v="Segun Chukwu"/>
    <x v="0"/>
    <x v="5"/>
    <x v="1"/>
  </r>
  <r>
    <s v="TXN-00562"/>
    <d v="2025-11-16T00:00:00"/>
    <x v="3"/>
    <s v="South-South"/>
    <x v="1"/>
    <s v="Standing Fan"/>
    <n v="9"/>
    <n v="12840"/>
    <n v="10"/>
    <n v="104004"/>
    <n v="115560"/>
    <n v="11556"/>
    <x v="2"/>
    <s v="Uche Okoro"/>
    <x v="0"/>
    <x v="3"/>
    <x v="0"/>
  </r>
  <r>
    <s v="TXN-00858"/>
    <d v="2025-10-09T00:00:00"/>
    <x v="6"/>
    <s v="South-South"/>
    <x v="1"/>
    <s v="LED TV 43&quot;"/>
    <n v="11"/>
    <n v="3670"/>
    <n v="5"/>
    <n v="38351.5"/>
    <n v="40370"/>
    <n v="2018.5"/>
    <x v="2"/>
    <s v="Peter Adekunle"/>
    <x v="0"/>
    <x v="6"/>
    <x v="0"/>
  </r>
  <r>
    <s v="TXN-00516"/>
    <d v="2025-08-29T00:00:00"/>
    <x v="6"/>
    <s v="South-South"/>
    <x v="3"/>
    <s v="School Sandals"/>
    <n v="12"/>
    <n v="13030"/>
    <n v="10"/>
    <n v="140724"/>
    <n v="156360"/>
    <n v="15636"/>
    <x v="1"/>
    <s v="Mary Nnamdi"/>
    <x v="0"/>
    <x v="2"/>
    <x v="0"/>
  </r>
  <r>
    <s v="TXN-00333"/>
    <d v="2025-09-29T00:00:00"/>
    <x v="6"/>
    <s v="South-South"/>
    <x v="2"/>
    <s v="Laundry Basket"/>
    <n v="12"/>
    <n v="41300"/>
    <n v="15"/>
    <n v="421260"/>
    <n v="495600"/>
    <n v="74340"/>
    <x v="3"/>
    <s v="Kelechi Nwosu"/>
    <x v="0"/>
    <x v="0"/>
    <x v="0"/>
  </r>
  <r>
    <s v="TXN-01229"/>
    <d v="2025-07-21T00:00:00"/>
    <x v="4"/>
    <s v="North-West"/>
    <x v="1"/>
    <s v="Power Bank 20000mAh"/>
    <n v="6"/>
    <n v="18010"/>
    <n v="0"/>
    <n v="108060"/>
    <n v="108060"/>
    <n v="0"/>
    <x v="2"/>
    <s v="Mary Nnamdi"/>
    <x v="0"/>
    <x v="10"/>
    <x v="1"/>
  </r>
  <r>
    <s v="TXN-01092"/>
    <d v="2025-12-02T00:00:00"/>
    <x v="5"/>
    <s v="South-West"/>
    <x v="3"/>
    <s v="Wristwatch"/>
    <n v="9"/>
    <n v="20680"/>
    <n v="0"/>
    <n v="186120"/>
    <n v="186120"/>
    <n v="0"/>
    <x v="1"/>
    <s v="Mary Nnamdi"/>
    <x v="0"/>
    <x v="11"/>
    <x v="0"/>
  </r>
  <r>
    <s v="TXN-00677"/>
    <d v="2025-06-11T00:00:00"/>
    <x v="1"/>
    <s v="South-West"/>
    <x v="1"/>
    <s v="Bluetooth Speaker"/>
    <n v="2"/>
    <n v="2720"/>
    <n v="0"/>
    <n v="5440"/>
    <n v="5440"/>
    <n v="0"/>
    <x v="3"/>
    <s v="Ade Abubakar"/>
    <x v="0"/>
    <x v="1"/>
    <x v="0"/>
  </r>
  <r>
    <s v="TXN-00137"/>
    <d v="2025-10-23T00:00:00"/>
    <x v="5"/>
    <s v="South-West"/>
    <x v="3"/>
    <s v="Handbag"/>
    <n v="5"/>
    <n v="61990"/>
    <n v="0"/>
    <n v="309950"/>
    <n v="309950"/>
    <n v="0"/>
    <x v="1"/>
    <s v="Obinna Yusuf"/>
    <x v="0"/>
    <x v="6"/>
    <x v="0"/>
  </r>
  <r>
    <s v="TXN-01201"/>
    <d v="2025-09-23T00:00:00"/>
    <x v="0"/>
    <s v="North-Central"/>
    <x v="1"/>
    <s v="Standing Fan"/>
    <n v="11"/>
    <n v="3180"/>
    <n v="0"/>
    <n v="34980"/>
    <n v="34980"/>
    <n v="0"/>
    <x v="0"/>
    <s v="Uche Okoro"/>
    <x v="0"/>
    <x v="0"/>
    <x v="0"/>
  </r>
  <r>
    <s v="TXN-00714"/>
    <d v="2025-08-23T00:00:00"/>
    <x v="6"/>
    <s v="South-South"/>
    <x v="3"/>
    <s v="School Sandals"/>
    <n v="4"/>
    <n v="48370"/>
    <n v="0"/>
    <n v="193480"/>
    <n v="193480"/>
    <n v="0"/>
    <x v="3"/>
    <s v="Chidera Bello"/>
    <x v="0"/>
    <x v="2"/>
    <x v="1"/>
  </r>
  <r>
    <s v="TXN-00251"/>
    <d v="2025-11-27T00:00:00"/>
    <x v="3"/>
    <s v="South-South"/>
    <x v="0"/>
    <s v="Deodorant Roll-on"/>
    <n v="4"/>
    <n v="18170"/>
    <n v="0"/>
    <n v="72680"/>
    <n v="72680"/>
    <n v="0"/>
    <x v="0"/>
    <s v="Ngozi Ibrahim"/>
    <x v="0"/>
    <x v="3"/>
    <x v="1"/>
  </r>
  <r>
    <s v="TXN-01109"/>
    <d v="2025-10-07T00:00:00"/>
    <x v="0"/>
    <s v="North-Central"/>
    <x v="3"/>
    <s v="Handbag"/>
    <n v="1"/>
    <n v="3190"/>
    <n v="0"/>
    <n v="3190"/>
    <n v="3190"/>
    <n v="0"/>
    <x v="3"/>
    <s v="Chinwe Etim"/>
    <x v="0"/>
    <x v="6"/>
    <x v="1"/>
  </r>
  <r>
    <s v="TXN-00164"/>
    <d v="2025-07-22T00:00:00"/>
    <x v="5"/>
    <s v="South-West"/>
    <x v="1"/>
    <s v="Home Theatre System"/>
    <n v="10"/>
    <n v="10950"/>
    <n v="0"/>
    <n v="109500"/>
    <n v="109500"/>
    <n v="0"/>
    <x v="1"/>
    <s v="Chinwe Etim"/>
    <x v="0"/>
    <x v="10"/>
    <x v="0"/>
  </r>
  <r>
    <s v="TXN-01252"/>
    <d v="2025-12-24T00:00:00"/>
    <x v="1"/>
    <s v="South-West"/>
    <x v="2"/>
    <s v="Non-stick Frying Pan"/>
    <n v="12"/>
    <n v="9670"/>
    <n v="5"/>
    <n v="110238"/>
    <n v="116040"/>
    <n v="5802"/>
    <x v="1"/>
    <s v="Obinna Yusuf"/>
    <x v="0"/>
    <x v="11"/>
    <x v="0"/>
  </r>
  <r>
    <s v="TXN-01005"/>
    <d v="2025-05-25T00:00:00"/>
    <x v="6"/>
    <s v="South-South"/>
    <x v="1"/>
    <s v="Electric Kettle"/>
    <n v="4"/>
    <n v="3640"/>
    <n v="0"/>
    <n v="14560"/>
    <n v="14560"/>
    <n v="0"/>
    <x v="2"/>
    <s v="Grace Okafor"/>
    <x v="0"/>
    <x v="5"/>
    <x v="0"/>
  </r>
  <r>
    <s v="TXN-00726"/>
    <d v="2025-04-03T00:00:00"/>
    <x v="5"/>
    <s v="South-West"/>
    <x v="4"/>
    <s v="Semovita 2kg"/>
    <n v="9"/>
    <n v="44820"/>
    <n v="0"/>
    <n v="403380"/>
    <n v="403380"/>
    <n v="0"/>
    <x v="3"/>
    <s v="Chidera Bello"/>
    <x v="0"/>
    <x v="4"/>
    <x v="1"/>
  </r>
  <r>
    <s v="TXN-00167"/>
    <d v="2025-03-30T00:00:00"/>
    <x v="0"/>
    <s v="North-Central"/>
    <x v="0"/>
    <s v="Shea Butter Cream"/>
    <n v="7"/>
    <n v="27790"/>
    <n v="15"/>
    <n v="165350.5"/>
    <n v="194530"/>
    <n v="29179.5"/>
    <x v="2"/>
    <s v="Mary Nnamdi"/>
    <x v="0"/>
    <x v="9"/>
    <x v="0"/>
  </r>
  <r>
    <s v="TXN-01064"/>
    <d v="2025-09-05T00:00:00"/>
    <x v="5"/>
    <s v="South-West"/>
    <x v="4"/>
    <s v="Sugar 1kg"/>
    <n v="4"/>
    <n v="46911"/>
    <n v="0"/>
    <n v="187644"/>
    <n v="187644"/>
    <n v="0"/>
    <x v="2"/>
    <s v="Uche Okoro"/>
    <x v="0"/>
    <x v="0"/>
    <x v="1"/>
  </r>
  <r>
    <s v="TXN-01001"/>
    <d v="2025-10-13T00:00:00"/>
    <x v="6"/>
    <s v="South-South"/>
    <x v="4"/>
    <s v="Vegetable Oil 5L"/>
    <n v="6"/>
    <n v="510"/>
    <n v="0"/>
    <n v="3060"/>
    <n v="3060"/>
    <n v="0"/>
    <x v="0"/>
    <s v="Obinna Yusuf"/>
    <x v="0"/>
    <x v="6"/>
    <x v="1"/>
  </r>
  <r>
    <s v="TXN-01338"/>
    <d v="2025-12-25T00:00:00"/>
    <x v="5"/>
    <s v="South-West"/>
    <x v="3"/>
    <s v="Handbag"/>
    <n v="3"/>
    <n v="550"/>
    <n v="0"/>
    <n v="1650"/>
    <n v="1650"/>
    <n v="0"/>
    <x v="2"/>
    <s v="Chinwe Etim"/>
    <x v="0"/>
    <x v="11"/>
    <x v="0"/>
  </r>
  <r>
    <s v="TXN-00200"/>
    <d v="2025-10-08T00:00:00"/>
    <x v="6"/>
    <s v="South-South"/>
    <x v="4"/>
    <s v="Toothpaste Pack"/>
    <n v="12"/>
    <n v="18550"/>
    <n v="0"/>
    <n v="222600"/>
    <n v="222600"/>
    <n v="0"/>
    <x v="3"/>
    <s v="Funmi Eze"/>
    <x v="0"/>
    <x v="6"/>
    <x v="1"/>
  </r>
  <r>
    <s v="TXN-00792"/>
    <d v="2025-08-25T00:00:00"/>
    <x v="5"/>
    <s v="South-West"/>
    <x v="0"/>
    <s v="Perfume 100ml"/>
    <n v="3"/>
    <n v="5520"/>
    <n v="0"/>
    <n v="16560"/>
    <n v="16560"/>
    <n v="0"/>
    <x v="3"/>
    <s v="Chinwe Etim"/>
    <x v="0"/>
    <x v="2"/>
    <x v="0"/>
  </r>
  <r>
    <s v="TXN-00737"/>
    <d v="2025-05-15T00:00:00"/>
    <x v="4"/>
    <s v="North-West"/>
    <x v="2"/>
    <s v="Plastic Chair Set"/>
    <n v="3"/>
    <n v="16230"/>
    <n v="5"/>
    <n v="46255.5"/>
    <n v="48690"/>
    <n v="2434.5"/>
    <x v="2"/>
    <s v="Tunde Balogun"/>
    <x v="0"/>
    <x v="5"/>
    <x v="0"/>
  </r>
  <r>
    <s v="TXN-01453"/>
    <d v="2025-07-12T00:00:00"/>
    <x v="5"/>
    <s v="South-West"/>
    <x v="4"/>
    <s v="Vegetable Oil 5L"/>
    <n v="2"/>
    <n v="6880"/>
    <n v="0"/>
    <n v="13760"/>
    <n v="13760"/>
    <n v="0"/>
    <x v="3"/>
    <s v="Grace Okafor"/>
    <x v="0"/>
    <x v="10"/>
    <x v="0"/>
  </r>
  <r>
    <s v="TXN-01019"/>
    <d v="2025-12-29T00:00:00"/>
    <x v="1"/>
    <s v="South-West"/>
    <x v="0"/>
    <s v="Hair Relaxer Kit"/>
    <n v="11"/>
    <n v="12800"/>
    <n v="0"/>
    <n v="140800"/>
    <n v="140800"/>
    <n v="0"/>
    <x v="0"/>
    <s v="Kelechi Nwosu"/>
    <x v="0"/>
    <x v="11"/>
    <x v="0"/>
  </r>
  <r>
    <s v="TXN-01068"/>
    <d v="2025-12-07T00:00:00"/>
    <x v="0"/>
    <s v="North-Central"/>
    <x v="2"/>
    <s v="Laundry Basket"/>
    <n v="3"/>
    <n v="71860"/>
    <n v="0"/>
    <n v="215580"/>
    <n v="215580"/>
    <n v="0"/>
    <x v="0"/>
    <s v="Ade Abubakar"/>
    <x v="0"/>
    <x v="11"/>
    <x v="0"/>
  </r>
  <r>
    <s v="TXN-00723"/>
    <d v="2025-01-11T00:00:00"/>
    <x v="5"/>
    <s v="South-West"/>
    <x v="4"/>
    <s v="Milo 500g"/>
    <n v="3"/>
    <n v="10350"/>
    <n v="15"/>
    <n v="26392.5"/>
    <n v="31050"/>
    <n v="4657.5"/>
    <x v="0"/>
    <s v="Funmi Eze"/>
    <x v="0"/>
    <x v="7"/>
    <x v="0"/>
  </r>
  <r>
    <s v="TXN-00587"/>
    <d v="2025-07-08T00:00:00"/>
    <x v="1"/>
    <s v="South-West"/>
    <x v="2"/>
    <s v="Storage Basket"/>
    <n v="10"/>
    <n v="490"/>
    <n v="0"/>
    <n v="4900"/>
    <n v="4900"/>
    <n v="0"/>
    <x v="0"/>
    <s v="Mary Nnamdi"/>
    <x v="0"/>
    <x v="10"/>
    <x v="0"/>
  </r>
  <r>
    <s v="TXN-00631"/>
    <d v="2025-04-22T00:00:00"/>
    <x v="0"/>
    <s v="North-Central"/>
    <x v="2"/>
    <s v="Cleaning Mop"/>
    <n v="4"/>
    <n v="1230"/>
    <n v="10"/>
    <n v="4428"/>
    <n v="4920"/>
    <n v="492"/>
    <x v="3"/>
    <s v="Amaka Onwuka"/>
    <x v="0"/>
    <x v="4"/>
    <x v="1"/>
  </r>
  <r>
    <s v="TXN-00418"/>
    <d v="2025-07-31T00:00:00"/>
    <x v="2"/>
    <s v="South-East"/>
    <x v="4"/>
    <s v="Rice 50kg Bag"/>
    <n v="11"/>
    <n v="560"/>
    <n v="0"/>
    <n v="6160"/>
    <n v="6160"/>
    <n v="0"/>
    <x v="2"/>
    <s v="Peter Adekunle"/>
    <x v="0"/>
    <x v="10"/>
    <x v="1"/>
  </r>
  <r>
    <s v="TXN-00826"/>
    <d v="2025-02-18T00:00:00"/>
    <x v="0"/>
    <s v="North-Central"/>
    <x v="3"/>
    <s v="Ladies Ankara Gown"/>
    <n v="3"/>
    <n v="5430"/>
    <n v="0"/>
    <n v="16290"/>
    <n v="16290"/>
    <n v="0"/>
    <x v="0"/>
    <s v="Funmi Eze"/>
    <x v="0"/>
    <x v="8"/>
    <x v="1"/>
  </r>
  <r>
    <s v="TXN-00625"/>
    <d v="2025-08-30T00:00:00"/>
    <x v="4"/>
    <s v="North-West"/>
    <x v="3"/>
    <s v="Men's Polo Shirt"/>
    <n v="10"/>
    <n v="5280"/>
    <n v="0"/>
    <n v="52800"/>
    <n v="52800"/>
    <n v="0"/>
    <x v="2"/>
    <s v="Kelechi Nwosu"/>
    <x v="0"/>
    <x v="2"/>
    <x v="1"/>
  </r>
  <r>
    <s v="TXN-01376"/>
    <d v="2025-09-03T00:00:00"/>
    <x v="2"/>
    <s v="South-East"/>
    <x v="1"/>
    <s v="Bluetooth Speaker"/>
    <n v="2"/>
    <n v="9180"/>
    <n v="0"/>
    <n v="18360"/>
    <n v="18360"/>
    <n v="0"/>
    <x v="2"/>
    <s v="Obinna Yusuf"/>
    <x v="0"/>
    <x v="0"/>
    <x v="1"/>
  </r>
  <r>
    <s v="TXN-01031"/>
    <d v="2025-12-03T00:00:00"/>
    <x v="4"/>
    <s v="North-West"/>
    <x v="0"/>
    <s v="Hair Relaxer Kit"/>
    <n v="11"/>
    <n v="1110"/>
    <n v="15"/>
    <n v="10378.5"/>
    <n v="12210"/>
    <n v="1831.5"/>
    <x v="2"/>
    <s v="Tunde Balogun"/>
    <x v="0"/>
    <x v="11"/>
    <x v="1"/>
  </r>
  <r>
    <s v="TXN-00838"/>
    <d v="2025-03-03T00:00:00"/>
    <x v="2"/>
    <s v="South-West"/>
    <x v="4"/>
    <s v="Sugar 1kg"/>
    <n v="10"/>
    <n v="480"/>
    <n v="0"/>
    <n v="4800"/>
    <n v="4800"/>
    <n v="0"/>
    <x v="2"/>
    <s v="Amaka Onwuka"/>
    <x v="0"/>
    <x v="9"/>
    <x v="0"/>
  </r>
  <r>
    <s v="TXN-00326"/>
    <d v="2025-05-22T00:00:00"/>
    <x v="3"/>
    <s v="South-South"/>
    <x v="0"/>
    <s v="Deodorant Roll-on"/>
    <n v="11"/>
    <n v="13110"/>
    <n v="5"/>
    <n v="136999.5"/>
    <n v="144210"/>
    <n v="7210.5"/>
    <x v="0"/>
    <s v="Segun Chukwu"/>
    <x v="0"/>
    <x v="5"/>
    <x v="0"/>
  </r>
  <r>
    <s v="TXN-00007"/>
    <d v="2025-01-30T00:00:00"/>
    <x v="3"/>
    <s v="South-South"/>
    <x v="0"/>
    <s v="Deodorant Roll-on"/>
    <n v="5"/>
    <n v="1360"/>
    <n v="5"/>
    <n v="6460"/>
    <n v="6800"/>
    <n v="340"/>
    <x v="0"/>
    <s v="Tunde Balogun"/>
    <x v="0"/>
    <x v="7"/>
    <x v="0"/>
  </r>
  <r>
    <s v="TXN-01271"/>
    <d v="2025-04-23T00:00:00"/>
    <x v="3"/>
    <s v="South-South"/>
    <x v="3"/>
    <s v="Handbag"/>
    <n v="10"/>
    <n v="1090"/>
    <n v="0"/>
    <n v="10900"/>
    <n v="10900"/>
    <n v="0"/>
    <x v="0"/>
    <s v="Kelechi Nwosu"/>
    <x v="0"/>
    <x v="4"/>
    <x v="0"/>
  </r>
  <r>
    <s v="TXN-00122"/>
    <d v="2025-02-10T00:00:00"/>
    <x v="4"/>
    <s v="North-West"/>
    <x v="1"/>
    <s v="LED TV 43&quot;"/>
    <n v="12"/>
    <n v="450"/>
    <n v="10"/>
    <n v="4860"/>
    <n v="5400"/>
    <n v="540"/>
    <x v="0"/>
    <s v="Chidera Bello"/>
    <x v="0"/>
    <x v="8"/>
    <x v="1"/>
  </r>
  <r>
    <s v="TXN-01383"/>
    <d v="2025-11-01T00:00:00"/>
    <x v="3"/>
    <s v="South-South"/>
    <x v="0"/>
    <s v="Shea Butter Cream"/>
    <n v="8"/>
    <n v="450"/>
    <n v="5"/>
    <n v="3420"/>
    <n v="3600"/>
    <n v="180"/>
    <x v="0"/>
    <s v="Obinna Yusuf"/>
    <x v="0"/>
    <x v="3"/>
    <x v="0"/>
  </r>
  <r>
    <s v="TXN-00303"/>
    <d v="2025-07-03T00:00:00"/>
    <x v="2"/>
    <s v="South-East"/>
    <x v="2"/>
    <s v="Dinner Set"/>
    <n v="10"/>
    <n v="1250"/>
    <n v="0"/>
    <n v="12500"/>
    <n v="12500"/>
    <n v="0"/>
    <x v="2"/>
    <s v="Kelechi Nwosu"/>
    <x v="0"/>
    <x v="10"/>
    <x v="1"/>
  </r>
  <r>
    <s v="TXN-00133"/>
    <d v="2025-02-25T00:00:00"/>
    <x v="4"/>
    <s v="North-West"/>
    <x v="0"/>
    <s v="Shea Butter Cream"/>
    <n v="9"/>
    <n v="73050"/>
    <n v="0"/>
    <n v="657450"/>
    <n v="657450"/>
    <n v="0"/>
    <x v="2"/>
    <s v="Mary Nnamdi"/>
    <x v="0"/>
    <x v="8"/>
    <x v="1"/>
  </r>
  <r>
    <s v="TXN-00601"/>
    <d v="2025-05-28T00:00:00"/>
    <x v="0"/>
    <s v="North-Central"/>
    <x v="2"/>
    <s v="Bedsheet Set"/>
    <n v="4"/>
    <n v="5110"/>
    <n v="0"/>
    <n v="20440"/>
    <n v="20440"/>
    <n v="0"/>
    <x v="2"/>
    <s v="Chinwe Etim"/>
    <x v="0"/>
    <x v="5"/>
    <x v="1"/>
  </r>
  <r>
    <s v="TXN-00004"/>
    <d v="2025-03-15T00:00:00"/>
    <x v="2"/>
    <s v="South-East"/>
    <x v="4"/>
    <s v="Cleaning Mop"/>
    <n v="11"/>
    <n v="10090"/>
    <n v="0"/>
    <n v="110990"/>
    <n v="110990"/>
    <n v="0"/>
    <x v="1"/>
    <s v="Funmi Eze"/>
    <x v="0"/>
    <x v="9"/>
    <x v="1"/>
  </r>
  <r>
    <s v="TXN-01247"/>
    <d v="2025-11-21T00:00:00"/>
    <x v="4"/>
    <s v="South-South"/>
    <x v="1"/>
    <s v="Power Bank 20000mAh"/>
    <n v="11"/>
    <n v="3850"/>
    <n v="15"/>
    <n v="35997.5"/>
    <n v="42350"/>
    <n v="6352.5"/>
    <x v="2"/>
    <s v="Kelechi Nwosu"/>
    <x v="0"/>
    <x v="3"/>
    <x v="1"/>
  </r>
  <r>
    <s v="TXN-01388"/>
    <d v="2025-04-07T00:00:00"/>
    <x v="2"/>
    <s v="South-East"/>
    <x v="2"/>
    <s v="Plastic Chair Set"/>
    <n v="6"/>
    <n v="71340"/>
    <n v="0"/>
    <n v="428040"/>
    <n v="428040"/>
    <n v="0"/>
    <x v="0"/>
    <s v="Amaka Onwuka"/>
    <x v="0"/>
    <x v="4"/>
    <x v="0"/>
  </r>
  <r>
    <s v="TXN-01373"/>
    <d v="2025-08-06T00:00:00"/>
    <x v="1"/>
    <s v="South-West"/>
    <x v="1"/>
    <s v="Power Bank 20000mAh"/>
    <n v="8"/>
    <n v="62090"/>
    <n v="0"/>
    <n v="496720"/>
    <n v="496720"/>
    <n v="0"/>
    <x v="2"/>
    <s v="Ifeoma Adeyemi"/>
    <x v="0"/>
    <x v="2"/>
    <x v="1"/>
  </r>
  <r>
    <s v="TXN-01029"/>
    <d v="2025-07-22T00:00:00"/>
    <x v="0"/>
    <s v="North-Central"/>
    <x v="3"/>
    <s v="Men's Polo Shirt"/>
    <n v="9"/>
    <n v="470"/>
    <n v="0"/>
    <n v="4230"/>
    <n v="4230"/>
    <n v="0"/>
    <x v="0"/>
    <s v="Kelechi Nwosu"/>
    <x v="0"/>
    <x v="10"/>
    <x v="0"/>
  </r>
  <r>
    <s v="TXN-00969"/>
    <d v="2025-05-10T00:00:00"/>
    <x v="0"/>
    <s v="North-Central"/>
    <x v="1"/>
    <s v="Rice Cooker"/>
    <n v="2"/>
    <n v="9450"/>
    <n v="0"/>
    <n v="18900"/>
    <n v="18900"/>
    <n v="0"/>
    <x v="1"/>
    <s v="Tunde Balogun"/>
    <x v="0"/>
    <x v="5"/>
    <x v="1"/>
  </r>
  <r>
    <s v="TXN-00147"/>
    <d v="2025-10-07T00:00:00"/>
    <x v="5"/>
    <s v="South-West"/>
    <x v="2"/>
    <s v="Bedsheet Set"/>
    <n v="5"/>
    <n v="1280"/>
    <n v="0"/>
    <n v="6400"/>
    <n v="6400"/>
    <n v="0"/>
    <x v="1"/>
    <s v="Segun Chukwu"/>
    <x v="0"/>
    <x v="6"/>
    <x v="1"/>
  </r>
  <r>
    <s v="TXN-00307"/>
    <d v="2025-05-06T00:00:00"/>
    <x v="4"/>
    <s v="North-West"/>
    <x v="1"/>
    <s v="Rice Cooker"/>
    <n v="9"/>
    <n v="12350"/>
    <n v="0"/>
    <n v="111150"/>
    <n v="111150"/>
    <n v="0"/>
    <x v="2"/>
    <s v="Kelechi Nwosu"/>
    <x v="0"/>
    <x v="5"/>
    <x v="1"/>
  </r>
  <r>
    <s v="TXN-00417"/>
    <d v="2025-11-22T00:00:00"/>
    <x v="3"/>
    <s v="South-South"/>
    <x v="4"/>
    <s v="Milo 500g"/>
    <n v="6"/>
    <n v="3680.0000000000005"/>
    <n v="15"/>
    <n v="18768"/>
    <n v="22080.000000000004"/>
    <n v="3312.0000000000005"/>
    <x v="3"/>
    <s v="Uche Okoro"/>
    <x v="0"/>
    <x v="3"/>
    <x v="1"/>
  </r>
  <r>
    <s v="TXN-01330"/>
    <d v="2025-09-13T00:00:00"/>
    <x v="1"/>
    <s v="South-West"/>
    <x v="2"/>
    <s v="Curtain Set"/>
    <n v="7"/>
    <n v="28300"/>
    <n v="0"/>
    <n v="198100"/>
    <n v="198100"/>
    <n v="0"/>
    <x v="3"/>
    <s v="Tunde Balogun"/>
    <x v="0"/>
    <x v="0"/>
    <x v="1"/>
  </r>
  <r>
    <s v="TXN-01067"/>
    <d v="2025-07-29T00:00:00"/>
    <x v="1"/>
    <s v="South-West"/>
    <x v="1"/>
    <s v="Microwave Oven"/>
    <n v="10"/>
    <n v="23300"/>
    <n v="0"/>
    <n v="233000"/>
    <n v="233000"/>
    <n v="0"/>
    <x v="1"/>
    <s v="Ngozi Ibrahim"/>
    <x v="0"/>
    <x v="10"/>
    <x v="0"/>
  </r>
  <r>
    <s v="TXN-01413"/>
    <d v="2025-01-02T00:00:00"/>
    <x v="1"/>
    <s v="South-West"/>
    <x v="3"/>
    <s v="Wristwatch"/>
    <n v="9"/>
    <n v="3480"/>
    <n v="5"/>
    <n v="29754"/>
    <n v="31320"/>
    <n v="1566"/>
    <x v="3"/>
    <s v="Uche Okoro"/>
    <x v="0"/>
    <x v="7"/>
    <x v="0"/>
  </r>
  <r>
    <s v="TXN-00747"/>
    <d v="2025-06-11T00:00:00"/>
    <x v="0"/>
    <s v="North-Central"/>
    <x v="2"/>
    <s v="Laundry Basket"/>
    <n v="8"/>
    <n v="5700"/>
    <n v="15"/>
    <n v="38760"/>
    <n v="45600"/>
    <n v="6840"/>
    <x v="2"/>
    <s v="Chidera Bello"/>
    <x v="0"/>
    <x v="1"/>
    <x v="0"/>
  </r>
  <r>
    <s v="TXN-00338"/>
    <d v="2025-05-14T00:00:00"/>
    <x v="2"/>
    <s v="South-East"/>
    <x v="0"/>
    <s v="Bathing Soap Pack"/>
    <n v="5"/>
    <n v="23320"/>
    <n v="0"/>
    <n v="116600"/>
    <n v="116600"/>
    <n v="0"/>
    <x v="3"/>
    <s v="Tunde Balogun"/>
    <x v="0"/>
    <x v="5"/>
    <x v="1"/>
  </r>
  <r>
    <s v="TXN-00103"/>
    <d v="2025-11-23T00:00:00"/>
    <x v="0"/>
    <s v="North-Central"/>
    <x v="4"/>
    <s v="Vegetable Oil 5L"/>
    <n v="9"/>
    <n v="3190"/>
    <n v="5"/>
    <n v="27274.5"/>
    <n v="28710"/>
    <n v="1435.5"/>
    <x v="2"/>
    <s v="Mary Nnamdi"/>
    <x v="0"/>
    <x v="3"/>
    <x v="0"/>
  </r>
  <r>
    <s v="TXN-00029"/>
    <d v="2025-01-16T00:00:00"/>
    <x v="3"/>
    <s v="South-South"/>
    <x v="0"/>
    <s v="Shea Butter Cream"/>
    <n v="11"/>
    <n v="41270"/>
    <n v="0"/>
    <n v="453970"/>
    <n v="453970"/>
    <n v="0"/>
    <x v="3"/>
    <s v="Amaka Onwuka"/>
    <x v="0"/>
    <x v="7"/>
    <x v="0"/>
  </r>
  <r>
    <s v="TXN-00566"/>
    <d v="2025-01-15T00:00:00"/>
    <x v="2"/>
    <s v="South-East"/>
    <x v="2"/>
    <s v="Curtain Set"/>
    <n v="7"/>
    <n v="9150"/>
    <n v="0"/>
    <n v="64050"/>
    <n v="64050"/>
    <n v="0"/>
    <x v="3"/>
    <s v="Tunde Balogun"/>
    <x v="0"/>
    <x v="7"/>
    <x v="1"/>
  </r>
  <r>
    <s v="TXN-00340"/>
    <d v="2025-06-13T00:00:00"/>
    <x v="1"/>
    <s v="South-West"/>
    <x v="4"/>
    <s v="Non-stick Frying Pan"/>
    <n v="3"/>
    <n v="10190"/>
    <n v="0"/>
    <n v="30570"/>
    <n v="30570"/>
    <n v="0"/>
    <x v="1"/>
    <s v="Uche Okoro"/>
    <x v="0"/>
    <x v="1"/>
    <x v="0"/>
  </r>
  <r>
    <s v="TXN-00753"/>
    <d v="2025-09-10T00:00:00"/>
    <x v="6"/>
    <s v="South-South"/>
    <x v="4"/>
    <s v="Semovita 2kg"/>
    <n v="1"/>
    <n v="48040"/>
    <n v="10"/>
    <n v="43236"/>
    <n v="48040"/>
    <n v="4804"/>
    <x v="2"/>
    <s v="Amaka Onwuka"/>
    <x v="0"/>
    <x v="0"/>
    <x v="1"/>
  </r>
  <r>
    <s v="TXN-00808"/>
    <d v="2025-07-12T00:00:00"/>
    <x v="2"/>
    <s v="South-East"/>
    <x v="0"/>
    <s v="Perfume 100ml"/>
    <n v="7"/>
    <n v="63110"/>
    <n v="15"/>
    <n v="375504.5"/>
    <n v="441770"/>
    <n v="66265.5"/>
    <x v="1"/>
    <s v="Tunde Balogun"/>
    <x v="0"/>
    <x v="10"/>
    <x v="0"/>
  </r>
  <r>
    <s v="TXN-00298"/>
    <d v="2025-02-19T00:00:00"/>
    <x v="1"/>
    <s v="South-West"/>
    <x v="1"/>
    <s v="Standing Fan"/>
    <n v="12"/>
    <n v="1320"/>
    <n v="0"/>
    <n v="15840"/>
    <n v="15840"/>
    <n v="0"/>
    <x v="0"/>
    <s v="Peter Adekunle"/>
    <x v="0"/>
    <x v="8"/>
    <x v="0"/>
  </r>
  <r>
    <s v="TXN-00295"/>
    <d v="2025-09-24T00:00:00"/>
    <x v="3"/>
    <s v="South-South"/>
    <x v="2"/>
    <s v="Plastic Chair Set"/>
    <n v="1"/>
    <n v="7630"/>
    <n v="0"/>
    <n v="7630"/>
    <n v="7630"/>
    <n v="0"/>
    <x v="3"/>
    <s v="Funmi Eze"/>
    <x v="0"/>
    <x v="0"/>
    <x v="1"/>
  </r>
  <r>
    <s v="TXN-01491"/>
    <d v="2025-10-31T00:00:00"/>
    <x v="2"/>
    <s v="South-East"/>
    <x v="2"/>
    <s v="Laundry Basket"/>
    <n v="5"/>
    <n v="510"/>
    <n v="0"/>
    <n v="2550"/>
    <n v="2550"/>
    <n v="0"/>
    <x v="0"/>
    <s v="Ifeoma Adeyemi"/>
    <x v="0"/>
    <x v="6"/>
    <x v="1"/>
  </r>
  <r>
    <s v="TXN-00703"/>
    <d v="2025-06-28T00:00:00"/>
    <x v="2"/>
    <s v="South-East"/>
    <x v="4"/>
    <s v="Spaghetti Pack"/>
    <n v="10"/>
    <n v="17610"/>
    <n v="5"/>
    <n v="167295"/>
    <n v="176100"/>
    <n v="8805"/>
    <x v="0"/>
    <s v="Chinwe Etim"/>
    <x v="0"/>
    <x v="1"/>
    <x v="1"/>
  </r>
  <r>
    <s v="TXN-01419"/>
    <d v="2025-09-13T00:00:00"/>
    <x v="1"/>
    <s v="South-West"/>
    <x v="0"/>
    <s v="Shea Butter Cream"/>
    <n v="4"/>
    <n v="59270"/>
    <n v="0"/>
    <n v="237080"/>
    <n v="237080"/>
    <n v="0"/>
    <x v="3"/>
    <s v="Mary Nnamdi"/>
    <x v="0"/>
    <x v="0"/>
    <x v="0"/>
  </r>
  <r>
    <s v="TXN-00005"/>
    <d v="2025-11-02T00:00:00"/>
    <x v="5"/>
    <s v="South-West"/>
    <x v="0"/>
    <s v="Bathing Soap Pack"/>
    <n v="3"/>
    <n v="1130"/>
    <n v="0"/>
    <n v="3390"/>
    <n v="3390"/>
    <n v="0"/>
    <x v="1"/>
    <s v="Chinwe Etim"/>
    <x v="0"/>
    <x v="3"/>
    <x v="0"/>
  </r>
  <r>
    <s v="TXN-00595"/>
    <d v="2025-08-16T00:00:00"/>
    <x v="0"/>
    <s v="North-Central"/>
    <x v="4"/>
    <s v="Semovita 2kg"/>
    <n v="2"/>
    <n v="8150"/>
    <n v="5"/>
    <n v="15485"/>
    <n v="16300"/>
    <n v="815"/>
    <x v="1"/>
    <s v="Ngozi Ibrahim"/>
    <x v="0"/>
    <x v="2"/>
    <x v="1"/>
  </r>
  <r>
    <s v="TXN-01404"/>
    <d v="2025-02-10T00:00:00"/>
    <x v="2"/>
    <s v="South-East"/>
    <x v="4"/>
    <s v="Milo 500g"/>
    <n v="11"/>
    <n v="44410"/>
    <n v="0"/>
    <n v="488510"/>
    <n v="488510"/>
    <n v="0"/>
    <x v="2"/>
    <s v="Obinna Yusuf"/>
    <x v="0"/>
    <x v="8"/>
    <x v="1"/>
  </r>
  <r>
    <s v="TXN-01175"/>
    <d v="2025-04-17T00:00:00"/>
    <x v="4"/>
    <s v="North-West"/>
    <x v="3"/>
    <s v="Men's Polo Shirt"/>
    <n v="10"/>
    <n v="44800"/>
    <n v="5"/>
    <n v="425600"/>
    <n v="448000"/>
    <n v="22400"/>
    <x v="0"/>
    <s v="Obinna Yusuf"/>
    <x v="0"/>
    <x v="4"/>
    <x v="1"/>
  </r>
  <r>
    <s v="TXN-01340"/>
    <d v="2025-12-02T00:00:00"/>
    <x v="2"/>
    <s v="South-East"/>
    <x v="4"/>
    <s v="Baby Diaper Pack"/>
    <n v="8"/>
    <n v="8600"/>
    <n v="0"/>
    <n v="68800"/>
    <n v="68800"/>
    <n v="0"/>
    <x v="2"/>
    <s v="Funmi Eze"/>
    <x v="0"/>
    <x v="11"/>
    <x v="1"/>
  </r>
  <r>
    <s v="TXN-00102"/>
    <d v="2025-01-22T00:00:00"/>
    <x v="1"/>
    <s v="South-West"/>
    <x v="4"/>
    <s v="Body Lotion 400ml"/>
    <n v="3"/>
    <n v="8540"/>
    <n v="10"/>
    <n v="23058"/>
    <n v="25620"/>
    <n v="2562"/>
    <x v="1"/>
    <s v="Uche Okoro"/>
    <x v="0"/>
    <x v="7"/>
    <x v="1"/>
  </r>
  <r>
    <s v="TXN-00399"/>
    <d v="2025-05-27T00:00:00"/>
    <x v="5"/>
    <s v="South-West"/>
    <x v="3"/>
    <s v="Handbag"/>
    <n v="8"/>
    <n v="3880"/>
    <n v="15"/>
    <n v="26384"/>
    <n v="31040"/>
    <n v="4656"/>
    <x v="1"/>
    <s v="Mary Nnamdi"/>
    <x v="0"/>
    <x v="5"/>
    <x v="0"/>
  </r>
  <r>
    <s v="TXN-00020"/>
    <d v="2025-07-11T00:00:00"/>
    <x v="0"/>
    <s v="North-Central"/>
    <x v="1"/>
    <s v="Bluetooth Speaker"/>
    <n v="6"/>
    <n v="8120"/>
    <n v="0"/>
    <n v="48720"/>
    <n v="48720"/>
    <n v="0"/>
    <x v="1"/>
    <s v="Peter Adekunle"/>
    <x v="0"/>
    <x v="10"/>
    <x v="1"/>
  </r>
  <r>
    <s v="TXN-01033"/>
    <d v="2025-07-02T00:00:00"/>
    <x v="0"/>
    <s v="North-Central"/>
    <x v="2"/>
    <s v="Storage Basket"/>
    <n v="12"/>
    <n v="62100"/>
    <n v="10"/>
    <n v="670680"/>
    <n v="745200"/>
    <n v="74520"/>
    <x v="3"/>
    <s v="Segun Chukwu"/>
    <x v="0"/>
    <x v="10"/>
    <x v="1"/>
  </r>
  <r>
    <s v="TXN-01132"/>
    <d v="2025-12-24T00:00:00"/>
    <x v="4"/>
    <s v="North-West"/>
    <x v="3"/>
    <s v="Men's Polo Shirt"/>
    <n v="7"/>
    <n v="9680"/>
    <n v="15"/>
    <n v="57596"/>
    <n v="67760"/>
    <n v="10164"/>
    <x v="2"/>
    <s v="Chidera Bello"/>
    <x v="0"/>
    <x v="11"/>
    <x v="1"/>
  </r>
  <r>
    <s v="TXN-01128"/>
    <d v="2025-05-11T00:00:00"/>
    <x v="0"/>
    <s v="North-Central"/>
    <x v="0"/>
    <s v="Shea Butter Cream"/>
    <n v="1"/>
    <n v="1350"/>
    <n v="0"/>
    <n v="1350"/>
    <n v="1350"/>
    <n v="0"/>
    <x v="2"/>
    <s v="Grace Okafor"/>
    <x v="0"/>
    <x v="5"/>
    <x v="1"/>
  </r>
  <r>
    <s v="TXN-01244"/>
    <d v="2025-03-07T00:00:00"/>
    <x v="6"/>
    <s v="South-South"/>
    <x v="3"/>
    <s v="Kids Sneakers"/>
    <n v="7"/>
    <n v="42240"/>
    <n v="0"/>
    <n v="295680"/>
    <n v="295680"/>
    <n v="0"/>
    <x v="2"/>
    <s v="Ngozi Ibrahim"/>
    <x v="0"/>
    <x v="9"/>
    <x v="0"/>
  </r>
  <r>
    <s v="TXN-00766"/>
    <d v="2025-03-03T00:00:00"/>
    <x v="4"/>
    <s v="North-West"/>
    <x v="2"/>
    <s v="Cleaning Mop"/>
    <n v="1"/>
    <n v="3170"/>
    <n v="10"/>
    <n v="2853"/>
    <n v="3170"/>
    <n v="317"/>
    <x v="2"/>
    <s v="Chidera Bello"/>
    <x v="0"/>
    <x v="9"/>
    <x v="0"/>
  </r>
  <r>
    <s v="TXN-00521"/>
    <d v="2025-10-28T00:00:00"/>
    <x v="2"/>
    <s v="South-East"/>
    <x v="0"/>
    <s v="Perfume 100ml"/>
    <n v="7"/>
    <n v="520"/>
    <n v="0"/>
    <n v="3640"/>
    <n v="3640"/>
    <n v="0"/>
    <x v="2"/>
    <s v="Chidera Bello"/>
    <x v="0"/>
    <x v="6"/>
    <x v="0"/>
  </r>
  <r>
    <s v="TXN-01416"/>
    <d v="2025-11-06T00:00:00"/>
    <x v="2"/>
    <s v="South-East"/>
    <x v="0"/>
    <s v="Baby Diaper Pack"/>
    <n v="8"/>
    <n v="5230"/>
    <n v="0"/>
    <n v="41840"/>
    <n v="41840"/>
    <n v="0"/>
    <x v="2"/>
    <s v="Segun Chukwu"/>
    <x v="0"/>
    <x v="3"/>
    <x v="1"/>
  </r>
  <r>
    <s v="TXN-00423"/>
    <d v="2025-04-26T00:00:00"/>
    <x v="0"/>
    <s v="North-Central"/>
    <x v="3"/>
    <s v="Wristwatch"/>
    <n v="2"/>
    <n v="8540"/>
    <n v="0"/>
    <n v="17080"/>
    <n v="17080"/>
    <n v="0"/>
    <x v="3"/>
    <s v="Amaka Onwuka"/>
    <x v="0"/>
    <x v="4"/>
    <x v="0"/>
  </r>
  <r>
    <s v="TXN-00510"/>
    <d v="2025-09-02T00:00:00"/>
    <x v="6"/>
    <s v="South-West"/>
    <x v="1"/>
    <s v="Standing Fan"/>
    <n v="5"/>
    <n v="3240"/>
    <n v="15"/>
    <n v="13770"/>
    <n v="16200"/>
    <n v="2430"/>
    <x v="2"/>
    <s v="Ade Abubakar"/>
    <x v="0"/>
    <x v="0"/>
    <x v="1"/>
  </r>
  <r>
    <s v="TXN-00019"/>
    <d v="2025-06-29T00:00:00"/>
    <x v="6"/>
    <s v="South-South"/>
    <x v="4"/>
    <s v="Sugar 1kg"/>
    <n v="2"/>
    <n v="8840"/>
    <n v="10"/>
    <n v="15912"/>
    <n v="17680"/>
    <n v="1768"/>
    <x v="1"/>
    <s v="Ifeoma Adeyemi"/>
    <x v="0"/>
    <x v="1"/>
    <x v="0"/>
  </r>
  <r>
    <s v="TXN-00626"/>
    <d v="2025-06-10T00:00:00"/>
    <x v="5"/>
    <s v="South-West"/>
    <x v="4"/>
    <s v="Vegetable Oil 5L"/>
    <n v="12"/>
    <n v="510"/>
    <n v="0"/>
    <n v="6120"/>
    <n v="6120"/>
    <n v="0"/>
    <x v="2"/>
    <s v="Obinna Yusuf"/>
    <x v="0"/>
    <x v="1"/>
    <x v="0"/>
  </r>
  <r>
    <s v="TXN-00966"/>
    <d v="2025-03-23T00:00:00"/>
    <x v="6"/>
    <s v="South-South"/>
    <x v="4"/>
    <s v="Tomato Paste Carton"/>
    <n v="7"/>
    <n v="5190"/>
    <n v="0"/>
    <n v="36330"/>
    <n v="36330"/>
    <n v="0"/>
    <x v="3"/>
    <s v="Obinna Yusuf"/>
    <x v="0"/>
    <x v="9"/>
    <x v="0"/>
  </r>
  <r>
    <s v="TXN-00790"/>
    <d v="2025-12-29T00:00:00"/>
    <x v="4"/>
    <s v="South-West"/>
    <x v="0"/>
    <s v="Toothpaste Pack"/>
    <n v="4"/>
    <n v="8920"/>
    <n v="0"/>
    <n v="35680"/>
    <n v="35680"/>
    <n v="0"/>
    <x v="1"/>
    <s v="Segun Chukwu"/>
    <x v="0"/>
    <x v="11"/>
    <x v="0"/>
  </r>
  <r>
    <s v="TXN-00874"/>
    <d v="2025-02-08T00:00:00"/>
    <x v="4"/>
    <s v="South-West"/>
    <x v="3"/>
    <s v="Handbag"/>
    <n v="7"/>
    <n v="1330"/>
    <n v="5"/>
    <n v="8844.5"/>
    <n v="9310"/>
    <n v="465.5"/>
    <x v="2"/>
    <s v="Chinwe Etim"/>
    <x v="0"/>
    <x v="8"/>
    <x v="0"/>
  </r>
  <r>
    <s v="TXN-00865"/>
    <d v="2025-12-08T00:00:00"/>
    <x v="5"/>
    <s v="South-West"/>
    <x v="4"/>
    <s v="Milo 500g"/>
    <n v="7"/>
    <n v="6850"/>
    <n v="0"/>
    <n v="47950"/>
    <n v="47950"/>
    <n v="0"/>
    <x v="0"/>
    <s v="Uche Okoro"/>
    <x v="0"/>
    <x v="11"/>
    <x v="1"/>
  </r>
  <r>
    <s v="TXN-00254"/>
    <d v="2025-05-09T00:00:00"/>
    <x v="5"/>
    <s v="South-West"/>
    <x v="1"/>
    <s v="Microwave Oven"/>
    <n v="3"/>
    <n v="1240"/>
    <n v="5"/>
    <n v="3534"/>
    <n v="3720"/>
    <n v="186"/>
    <x v="3"/>
    <s v="Mary Nnamdi"/>
    <x v="0"/>
    <x v="5"/>
    <x v="1"/>
  </r>
  <r>
    <s v="TXN-01233"/>
    <d v="2025-05-26T00:00:00"/>
    <x v="2"/>
    <s v="South-East"/>
    <x v="0"/>
    <s v="Perfume 100ml"/>
    <n v="9"/>
    <n v="7930"/>
    <n v="5"/>
    <n v="67801.5"/>
    <n v="71370"/>
    <n v="3568.5"/>
    <x v="3"/>
    <s v="Kelechi Nwosu"/>
    <x v="0"/>
    <x v="5"/>
    <x v="1"/>
  </r>
  <r>
    <s v="TXN-00812"/>
    <d v="2025-09-20T00:00:00"/>
    <x v="0"/>
    <s v="North-Central"/>
    <x v="3"/>
    <s v="Ladies Ankara Gown"/>
    <n v="3"/>
    <n v="2280"/>
    <n v="5"/>
    <n v="6498"/>
    <n v="6840"/>
    <n v="342"/>
    <x v="3"/>
    <s v="Tunde Balogun"/>
    <x v="0"/>
    <x v="0"/>
    <x v="1"/>
  </r>
  <r>
    <s v="TXN-00852"/>
    <d v="2025-10-08T00:00:00"/>
    <x v="4"/>
    <s v="North-West"/>
    <x v="2"/>
    <s v="Non-stick Frying Pan"/>
    <n v="5"/>
    <n v="5280"/>
    <n v="0"/>
    <n v="26400"/>
    <n v="26400"/>
    <n v="0"/>
    <x v="3"/>
    <s v="Uche Okoro"/>
    <x v="0"/>
    <x v="6"/>
    <x v="1"/>
  </r>
  <r>
    <s v="TXN-00230"/>
    <d v="2025-04-28T00:00:00"/>
    <x v="1"/>
    <s v="South-West"/>
    <x v="0"/>
    <s v="Shea Butter Cream"/>
    <n v="1"/>
    <n v="18090"/>
    <n v="0"/>
    <n v="18090"/>
    <n v="18090"/>
    <n v="0"/>
    <x v="2"/>
    <s v="Uche Okoro"/>
    <x v="0"/>
    <x v="4"/>
    <x v="1"/>
  </r>
  <r>
    <s v="TXN-00062"/>
    <d v="2025-02-04T00:00:00"/>
    <x v="4"/>
    <s v="North-West"/>
    <x v="1"/>
    <s v="Home Theatre System"/>
    <n v="3"/>
    <n v="43370"/>
    <n v="0"/>
    <n v="130110"/>
    <n v="130110"/>
    <n v="0"/>
    <x v="1"/>
    <s v="Obinna Yusuf"/>
    <x v="0"/>
    <x v="8"/>
    <x v="1"/>
  </r>
  <r>
    <s v="TXN-00290"/>
    <d v="2025-05-11T00:00:00"/>
    <x v="3"/>
    <s v="South-South"/>
    <x v="2"/>
    <s v="Curtain Set"/>
    <n v="12"/>
    <n v="530"/>
    <n v="10"/>
    <n v="5724"/>
    <n v="6360"/>
    <n v="636"/>
    <x v="2"/>
    <s v="Chidera Bello"/>
    <x v="0"/>
    <x v="5"/>
    <x v="0"/>
  </r>
  <r>
    <s v="TXN-01256"/>
    <d v="2025-03-20T00:00:00"/>
    <x v="0"/>
    <s v="North-Central"/>
    <x v="1"/>
    <s v="Home Theatre System"/>
    <n v="6"/>
    <n v="8890"/>
    <n v="0"/>
    <n v="53340"/>
    <n v="53340"/>
    <n v="0"/>
    <x v="2"/>
    <s v="Chinwe Etim"/>
    <x v="0"/>
    <x v="9"/>
    <x v="1"/>
  </r>
  <r>
    <s v="TXN-00235"/>
    <d v="2025-11-11T00:00:00"/>
    <x v="6"/>
    <s v="South-South"/>
    <x v="0"/>
    <s v="Baby Diaper Pack"/>
    <n v="12"/>
    <n v="25690"/>
    <n v="5"/>
    <n v="292866"/>
    <n v="308280"/>
    <n v="15414"/>
    <x v="3"/>
    <s v="Mary Nnamdi"/>
    <x v="0"/>
    <x v="3"/>
    <x v="0"/>
  </r>
  <r>
    <s v="TXN-00420"/>
    <d v="2025-05-24T00:00:00"/>
    <x v="6"/>
    <s v="South-South"/>
    <x v="0"/>
    <s v="Baby Diaper Pack"/>
    <n v="6"/>
    <n v="4010"/>
    <n v="0"/>
    <n v="24060"/>
    <n v="24060"/>
    <n v="0"/>
    <x v="2"/>
    <s v="Mary Nnamdi"/>
    <x v="0"/>
    <x v="5"/>
    <x v="0"/>
  </r>
  <r>
    <s v="TXN-00678"/>
    <d v="2025-04-07T00:00:00"/>
    <x v="4"/>
    <s v="North-West"/>
    <x v="1"/>
    <s v="LED TV 43&quot;"/>
    <n v="2"/>
    <n v="10260"/>
    <n v="15"/>
    <n v="17442"/>
    <n v="20520"/>
    <n v="3078"/>
    <x v="1"/>
    <s v="Obinna Yusuf"/>
    <x v="0"/>
    <x v="4"/>
    <x v="1"/>
  </r>
  <r>
    <s v="TXN-00936"/>
    <d v="2025-01-14T00:00:00"/>
    <x v="0"/>
    <s v="North-Central"/>
    <x v="0"/>
    <s v="Body Lotion 400ml"/>
    <n v="10"/>
    <n v="62800"/>
    <n v="0"/>
    <n v="628000"/>
    <n v="628000"/>
    <n v="0"/>
    <x v="2"/>
    <s v="Obinna Yusuf"/>
    <x v="0"/>
    <x v="7"/>
    <x v="0"/>
  </r>
  <r>
    <s v="TXN-00405"/>
    <d v="2025-07-04T00:00:00"/>
    <x v="2"/>
    <s v="South-East"/>
    <x v="4"/>
    <s v="Tomato Paste Carton"/>
    <n v="10"/>
    <n v="1180"/>
    <n v="5"/>
    <n v="11210"/>
    <n v="11800"/>
    <n v="590"/>
    <x v="2"/>
    <s v="Chidera Bello"/>
    <x v="0"/>
    <x v="10"/>
    <x v="0"/>
  </r>
  <r>
    <s v="TXN-00563"/>
    <d v="2025-09-05T00:00:00"/>
    <x v="3"/>
    <s v="South-South"/>
    <x v="3"/>
    <s v="Kids Sneakers"/>
    <n v="1"/>
    <n v="7990"/>
    <n v="0"/>
    <n v="7990"/>
    <n v="7990"/>
    <n v="0"/>
    <x v="3"/>
    <s v="Ifeoma Adeyemi"/>
    <x v="0"/>
    <x v="0"/>
    <x v="1"/>
  </r>
  <r>
    <s v="TXN-00292"/>
    <d v="2025-03-02T00:00:00"/>
    <x v="0"/>
    <s v="North-Central"/>
    <x v="0"/>
    <s v="Deodorant Roll-on"/>
    <n v="6"/>
    <n v="3660"/>
    <n v="15"/>
    <n v="18666"/>
    <n v="21960"/>
    <n v="3294"/>
    <x v="3"/>
    <s v="Chidera Bello"/>
    <x v="0"/>
    <x v="9"/>
    <x v="0"/>
  </r>
  <r>
    <s v="TXN-00557"/>
    <d v="2025-08-08T00:00:00"/>
    <x v="5"/>
    <s v="South-West"/>
    <x v="4"/>
    <s v="Semovita 2kg"/>
    <n v="11"/>
    <n v="2850"/>
    <n v="0"/>
    <n v="31350"/>
    <n v="31350"/>
    <n v="0"/>
    <x v="3"/>
    <s v="Uche Okoro"/>
    <x v="0"/>
    <x v="2"/>
    <x v="1"/>
  </r>
  <r>
    <s v="TXN-01191"/>
    <d v="2025-11-01T00:00:00"/>
    <x v="3"/>
    <s v="South-South"/>
    <x v="1"/>
    <s v="Microwave Oven"/>
    <n v="9"/>
    <n v="65880"/>
    <n v="0"/>
    <n v="592920"/>
    <n v="592920"/>
    <n v="0"/>
    <x v="2"/>
    <s v="Amaka Onwuka"/>
    <x v="0"/>
    <x v="3"/>
    <x v="0"/>
  </r>
  <r>
    <s v="TXN-01106"/>
    <d v="2025-01-11T00:00:00"/>
    <x v="1"/>
    <s v="South-West"/>
    <x v="1"/>
    <s v="Home Theatre System"/>
    <n v="5"/>
    <n v="2250"/>
    <n v="0"/>
    <n v="11250"/>
    <n v="11250"/>
    <n v="0"/>
    <x v="1"/>
    <s v="Tunde Balogun"/>
    <x v="0"/>
    <x v="7"/>
    <x v="1"/>
  </r>
  <r>
    <s v="TXN-01409"/>
    <d v="2025-09-13T00:00:00"/>
    <x v="1"/>
    <s v="South-West"/>
    <x v="3"/>
    <s v="Office Blazer"/>
    <n v="8"/>
    <n v="1260"/>
    <n v="0"/>
    <n v="10080"/>
    <n v="10080"/>
    <n v="0"/>
    <x v="0"/>
    <s v="Amaka Onwuka"/>
    <x v="0"/>
    <x v="0"/>
    <x v="1"/>
  </r>
  <r>
    <s v="TXN-01476"/>
    <d v="2025-06-08T00:00:00"/>
    <x v="4"/>
    <s v="North-West"/>
    <x v="3"/>
    <s v="Office Blazer"/>
    <n v="10"/>
    <n v="69090"/>
    <n v="0"/>
    <n v="690900"/>
    <n v="690900"/>
    <n v="0"/>
    <x v="1"/>
    <s v="Mary Nnamdi"/>
    <x v="0"/>
    <x v="1"/>
    <x v="0"/>
  </r>
  <r>
    <s v="TXN-00079"/>
    <d v="2025-08-18T00:00:00"/>
    <x v="6"/>
    <s v="South-South"/>
    <x v="4"/>
    <s v="Spaghetti Pack"/>
    <n v="3"/>
    <n v="12890"/>
    <n v="0"/>
    <n v="38670"/>
    <n v="38670"/>
    <n v="0"/>
    <x v="3"/>
    <s v="Mary Nnamdi"/>
    <x v="0"/>
    <x v="2"/>
    <x v="1"/>
  </r>
  <r>
    <s v="TXN-01395"/>
    <d v="2025-06-08T00:00:00"/>
    <x v="0"/>
    <s v="North-Central"/>
    <x v="0"/>
    <s v="Perfume 100ml"/>
    <n v="10"/>
    <n v="8460"/>
    <n v="0"/>
    <n v="84600"/>
    <n v="84600"/>
    <n v="0"/>
    <x v="3"/>
    <s v="Chidera Bello"/>
    <x v="0"/>
    <x v="1"/>
    <x v="1"/>
  </r>
  <r>
    <s v="TXN-01260"/>
    <d v="2025-10-21T00:00:00"/>
    <x v="4"/>
    <s v="North-Central"/>
    <x v="3"/>
    <s v="Wristwatch"/>
    <n v="11"/>
    <n v="24510"/>
    <n v="5"/>
    <n v="256129.5"/>
    <n v="269610"/>
    <n v="13480.5"/>
    <x v="2"/>
    <s v="Grace Okafor"/>
    <x v="0"/>
    <x v="6"/>
    <x v="0"/>
  </r>
  <r>
    <s v="TXN-00265"/>
    <d v="2025-06-11T00:00:00"/>
    <x v="0"/>
    <s v="North-Central"/>
    <x v="0"/>
    <s v="Shea Butter Cream"/>
    <n v="4"/>
    <n v="4510"/>
    <n v="5"/>
    <n v="17138"/>
    <n v="18040"/>
    <n v="902"/>
    <x v="3"/>
    <s v="Chidera Bello"/>
    <x v="0"/>
    <x v="1"/>
    <x v="0"/>
  </r>
  <r>
    <s v="TXN-00276"/>
    <d v="2025-04-16T00:00:00"/>
    <x v="4"/>
    <s v="North-West"/>
    <x v="4"/>
    <s v="Spaghetti Pack"/>
    <n v="9"/>
    <n v="24560"/>
    <n v="0"/>
    <n v="221040"/>
    <n v="221040"/>
    <n v="0"/>
    <x v="3"/>
    <s v="Obinna Yusuf"/>
    <x v="0"/>
    <x v="4"/>
    <x v="1"/>
  </r>
  <r>
    <s v="TXN-00926"/>
    <d v="2025-10-16T00:00:00"/>
    <x v="3"/>
    <s v="South-South"/>
    <x v="1"/>
    <s v="Microwave Oven"/>
    <n v="9"/>
    <n v="19660"/>
    <n v="0"/>
    <n v="176940"/>
    <n v="176940"/>
    <n v="0"/>
    <x v="2"/>
    <s v="Peter Adekunle"/>
    <x v="0"/>
    <x v="6"/>
    <x v="0"/>
  </r>
  <r>
    <s v="TXN-00022"/>
    <d v="2025-08-27T00:00:00"/>
    <x v="4"/>
    <s v="North-West"/>
    <x v="4"/>
    <s v="Milo 500g"/>
    <n v="7"/>
    <n v="4860"/>
    <n v="15"/>
    <n v="28917"/>
    <n v="34020"/>
    <n v="5103"/>
    <x v="3"/>
    <s v="Obinna Yusuf"/>
    <x v="0"/>
    <x v="2"/>
    <x v="0"/>
  </r>
  <r>
    <s v="TXN-00857"/>
    <d v="2025-12-29T00:00:00"/>
    <x v="5"/>
    <s v="South-West"/>
    <x v="4"/>
    <s v="Sugar 1kg"/>
    <n v="5"/>
    <n v="3870"/>
    <n v="15"/>
    <n v="16447.5"/>
    <n v="19350"/>
    <n v="2902.5"/>
    <x v="2"/>
    <s v="Ngozi Ibrahim"/>
    <x v="0"/>
    <x v="11"/>
    <x v="1"/>
  </r>
  <r>
    <s v="TXN-00430"/>
    <d v="2025-04-16T00:00:00"/>
    <x v="3"/>
    <s v="South-South"/>
    <x v="4"/>
    <s v="Sugar 1kg"/>
    <n v="6"/>
    <n v="3570"/>
    <n v="0"/>
    <n v="21420"/>
    <n v="21420"/>
    <n v="0"/>
    <x v="2"/>
    <s v="Tunde Balogun"/>
    <x v="0"/>
    <x v="4"/>
    <x v="1"/>
  </r>
  <r>
    <s v="TXN-00027"/>
    <d v="2025-06-22T00:00:00"/>
    <x v="6"/>
    <s v="South-South"/>
    <x v="3"/>
    <s v="Denim Jeans"/>
    <n v="1"/>
    <n v="5040"/>
    <n v="0"/>
    <n v="5040"/>
    <n v="5040"/>
    <n v="0"/>
    <x v="0"/>
    <s v="Tunde Balogun"/>
    <x v="0"/>
    <x v="1"/>
    <x v="0"/>
  </r>
  <r>
    <s v="TXN-00098"/>
    <d v="2025-12-29T00:00:00"/>
    <x v="5"/>
    <s v="South-West"/>
    <x v="3"/>
    <s v="Kids Sneakers"/>
    <n v="9"/>
    <n v="19930"/>
    <n v="0"/>
    <n v="179370"/>
    <n v="179370"/>
    <n v="0"/>
    <x v="1"/>
    <s v="Peter Adekunle"/>
    <x v="0"/>
    <x v="11"/>
    <x v="1"/>
  </r>
  <r>
    <s v="TXN-01140"/>
    <d v="2025-09-17T00:00:00"/>
    <x v="2"/>
    <s v="South-East"/>
    <x v="1"/>
    <s v="Electric Kettle"/>
    <n v="10"/>
    <n v="8030"/>
    <n v="0"/>
    <n v="80300"/>
    <n v="80300"/>
    <n v="0"/>
    <x v="0"/>
    <s v="Uche Okoro"/>
    <x v="0"/>
    <x v="0"/>
    <x v="0"/>
  </r>
  <r>
    <s v="TXN-00355"/>
    <d v="2025-04-02T00:00:00"/>
    <x v="5"/>
    <s v="South-West"/>
    <x v="0"/>
    <s v="Body Lotion 400ml"/>
    <n v="8"/>
    <n v="3900"/>
    <n v="15"/>
    <n v="26520"/>
    <n v="31200"/>
    <n v="4680"/>
    <x v="0"/>
    <s v="Grace Okafor"/>
    <x v="0"/>
    <x v="4"/>
    <x v="1"/>
  </r>
  <r>
    <s v="TXN-01242"/>
    <d v="2025-05-31T00:00:00"/>
    <x v="3"/>
    <s v="South-South"/>
    <x v="1"/>
    <s v="Electric Kettle"/>
    <n v="3"/>
    <n v="3820"/>
    <n v="10"/>
    <n v="10314"/>
    <n v="11460"/>
    <n v="1146"/>
    <x v="2"/>
    <s v="Peter Adekunle"/>
    <x v="0"/>
    <x v="5"/>
    <x v="0"/>
  </r>
  <r>
    <s v="TXN-01072"/>
    <d v="2025-06-12T00:00:00"/>
    <x v="4"/>
    <s v="North-West"/>
    <x v="2"/>
    <s v="Plastic Chair Set"/>
    <n v="10"/>
    <n v="6770"/>
    <n v="0"/>
    <n v="67700"/>
    <n v="67700"/>
    <n v="0"/>
    <x v="1"/>
    <s v="Mary Nnamdi"/>
    <x v="0"/>
    <x v="1"/>
    <x v="1"/>
  </r>
  <r>
    <s v="TXN-00264"/>
    <d v="2025-08-11T00:00:00"/>
    <x v="0"/>
    <s v="North-Central"/>
    <x v="0"/>
    <s v="Deodorant Roll-on"/>
    <n v="7"/>
    <n v="9820"/>
    <n v="15"/>
    <n v="58429"/>
    <n v="68740"/>
    <n v="10311"/>
    <x v="1"/>
    <s v="Segun Chukwu"/>
    <x v="0"/>
    <x v="2"/>
    <x v="1"/>
  </r>
  <r>
    <s v="TXN-00525"/>
    <d v="2025-02-23T00:00:00"/>
    <x v="2"/>
    <s v="South-East"/>
    <x v="1"/>
    <s v="LED TV 43&quot;"/>
    <n v="1"/>
    <n v="71850"/>
    <n v="0"/>
    <n v="71850"/>
    <n v="71850"/>
    <n v="0"/>
    <x v="3"/>
    <s v="Kelechi Nwosu"/>
    <x v="0"/>
    <x v="8"/>
    <x v="0"/>
  </r>
  <r>
    <s v="TXN-01495"/>
    <d v="2025-08-02T00:00:00"/>
    <x v="0"/>
    <s v="North-Central"/>
    <x v="1"/>
    <s v="Power Bank 20000mAh"/>
    <n v="10"/>
    <n v="1310"/>
    <n v="0"/>
    <n v="13100"/>
    <n v="13100"/>
    <n v="0"/>
    <x v="3"/>
    <s v="Ngozi Ibrahim"/>
    <x v="0"/>
    <x v="2"/>
    <x v="1"/>
  </r>
  <r>
    <s v="TXN-00236"/>
    <d v="2025-06-27T00:00:00"/>
    <x v="1"/>
    <s v="South-West"/>
    <x v="4"/>
    <s v="Rice 50kg Bag"/>
    <n v="12"/>
    <n v="1240"/>
    <n v="15"/>
    <n v="12648"/>
    <n v="14880"/>
    <n v="2232"/>
    <x v="0"/>
    <s v="Kelechi Nwosu"/>
    <x v="0"/>
    <x v="1"/>
    <x v="0"/>
  </r>
  <r>
    <s v="TXN-01052"/>
    <d v="2025-06-01T00:00:00"/>
    <x v="3"/>
    <s v="South-South"/>
    <x v="2"/>
    <s v="Laundry Basket"/>
    <n v="1"/>
    <n v="480"/>
    <n v="0"/>
    <n v="480"/>
    <n v="480"/>
    <n v="0"/>
    <x v="2"/>
    <s v="Mary Nnamdi"/>
    <x v="0"/>
    <x v="1"/>
    <x v="1"/>
  </r>
  <r>
    <s v="TXN-00067"/>
    <d v="2025-09-30T00:00:00"/>
    <x v="0"/>
    <s v="North-Central"/>
    <x v="2"/>
    <s v="Non-stick Frying Pan"/>
    <n v="3"/>
    <n v="65500"/>
    <n v="0"/>
    <n v="196500"/>
    <n v="196500"/>
    <n v="0"/>
    <x v="2"/>
    <s v="Ifeoma Adeyemi"/>
    <x v="0"/>
    <x v="0"/>
    <x v="1"/>
  </r>
  <r>
    <s v="TXN-00166"/>
    <d v="2025-01-16T00:00:00"/>
    <x v="4"/>
    <s v="North-West"/>
    <x v="2"/>
    <s v="Curtain Set"/>
    <n v="10"/>
    <n v="2270"/>
    <n v="5"/>
    <n v="21565"/>
    <n v="22700"/>
    <n v="1135"/>
    <x v="1"/>
    <s v="Obinna Yusuf"/>
    <x v="0"/>
    <x v="7"/>
    <x v="1"/>
  </r>
  <r>
    <s v="TXN-00745"/>
    <d v="2025-07-03T00:00:00"/>
    <x v="5"/>
    <s v="South-West"/>
    <x v="2"/>
    <s v="Laundry Basket"/>
    <n v="6"/>
    <n v="17730"/>
    <n v="5"/>
    <n v="101061"/>
    <n v="106380"/>
    <n v="5319"/>
    <x v="3"/>
    <s v="Mary Nnamdi"/>
    <x v="0"/>
    <x v="10"/>
    <x v="1"/>
  </r>
  <r>
    <s v="TXN-00038"/>
    <d v="2025-06-06T00:00:00"/>
    <x v="1"/>
    <s v="South-West"/>
    <x v="3"/>
    <s v="Denim Jeans"/>
    <n v="5"/>
    <n v="13530"/>
    <n v="0"/>
    <n v="67650"/>
    <n v="67650"/>
    <n v="0"/>
    <x v="3"/>
    <s v="Mary Nnamdi"/>
    <x v="0"/>
    <x v="1"/>
    <x v="1"/>
  </r>
  <r>
    <s v="TXN-00040"/>
    <d v="2025-08-13T00:00:00"/>
    <x v="5"/>
    <s v="South-West"/>
    <x v="1"/>
    <s v="LED TV 43&quot;"/>
    <n v="10"/>
    <n v="27180"/>
    <n v="10"/>
    <n v="244620"/>
    <n v="271800"/>
    <n v="27180"/>
    <x v="2"/>
    <s v="Ade Abubakar"/>
    <x v="0"/>
    <x v="2"/>
    <x v="1"/>
  </r>
  <r>
    <s v="TXN-00188"/>
    <d v="2025-02-19T00:00:00"/>
    <x v="2"/>
    <s v="South-East"/>
    <x v="2"/>
    <s v="Storage Basket"/>
    <n v="3"/>
    <n v="50360"/>
    <n v="10"/>
    <n v="135972"/>
    <n v="151080"/>
    <n v="15108"/>
    <x v="3"/>
    <s v="Segun Chukwu"/>
    <x v="0"/>
    <x v="8"/>
    <x v="0"/>
  </r>
  <r>
    <s v="TXN-00680"/>
    <d v="2025-09-12T00:00:00"/>
    <x v="0"/>
    <s v="North-Central"/>
    <x v="0"/>
    <s v="Body Lotion 400ml"/>
    <n v="9"/>
    <n v="8490"/>
    <n v="0"/>
    <n v="76410"/>
    <n v="76410"/>
    <n v="0"/>
    <x v="2"/>
    <s v="Segun Chukwu"/>
    <x v="0"/>
    <x v="0"/>
    <x v="0"/>
  </r>
  <r>
    <s v="TXN-01414"/>
    <d v="2025-03-11T00:00:00"/>
    <x v="5"/>
    <s v="South-West"/>
    <x v="4"/>
    <s v="Vegetable Oil 5L"/>
    <n v="7"/>
    <n v="13610"/>
    <n v="15"/>
    <n v="80979.5"/>
    <n v="95270"/>
    <n v="14290.5"/>
    <x v="2"/>
    <s v="Funmi Eze"/>
    <x v="0"/>
    <x v="9"/>
    <x v="0"/>
  </r>
  <r>
    <s v="TXN-00671"/>
    <d v="2025-08-28T00:00:00"/>
    <x v="2"/>
    <s v="South-East"/>
    <x v="2"/>
    <s v="Curtain Set"/>
    <n v="3"/>
    <n v="72870"/>
    <n v="15"/>
    <n v="185818.5"/>
    <n v="218610"/>
    <n v="32791.5"/>
    <x v="1"/>
    <s v="Uche Okoro"/>
    <x v="0"/>
    <x v="2"/>
    <x v="1"/>
  </r>
  <r>
    <s v="TXN-00322"/>
    <d v="2025-12-09T00:00:00"/>
    <x v="0"/>
    <s v="North-Central"/>
    <x v="1"/>
    <s v="Standing Fan"/>
    <n v="2"/>
    <n v="22900"/>
    <n v="0"/>
    <n v="45800"/>
    <n v="45800"/>
    <n v="0"/>
    <x v="0"/>
    <s v="Peter Adekunle"/>
    <x v="0"/>
    <x v="11"/>
    <x v="0"/>
  </r>
  <r>
    <s v="TXN-01364"/>
    <d v="2025-05-17T00:00:00"/>
    <x v="4"/>
    <s v="North-West"/>
    <x v="3"/>
    <s v="Kids Sneakers"/>
    <n v="4"/>
    <n v="20050"/>
    <n v="10"/>
    <n v="72180"/>
    <n v="80200"/>
    <n v="8020"/>
    <x v="3"/>
    <s v="Ifeoma Adeyemi"/>
    <x v="0"/>
    <x v="5"/>
    <x v="1"/>
  </r>
  <r>
    <s v="TXN-00669"/>
    <d v="2025-01-29T00:00:00"/>
    <x v="3"/>
    <s v="South-West"/>
    <x v="3"/>
    <s v="Wristwatch"/>
    <n v="1"/>
    <n v="26160"/>
    <n v="0"/>
    <n v="26160"/>
    <n v="26160"/>
    <n v="0"/>
    <x v="2"/>
    <s v="Ngozi Ibrahim"/>
    <x v="0"/>
    <x v="7"/>
    <x v="1"/>
  </r>
  <r>
    <s v="TXN-00811"/>
    <d v="2025-08-19T00:00:00"/>
    <x v="0"/>
    <s v="North-Central"/>
    <x v="3"/>
    <s v="School Sandals"/>
    <n v="7"/>
    <n v="12770"/>
    <n v="15"/>
    <n v="75981.5"/>
    <n v="89390"/>
    <n v="13408.5"/>
    <x v="1"/>
    <s v="Segun Chukwu"/>
    <x v="0"/>
    <x v="2"/>
    <x v="1"/>
  </r>
  <r>
    <s v="TXN-00429"/>
    <d v="2025-10-24T00:00:00"/>
    <x v="3"/>
    <s v="South-South"/>
    <x v="2"/>
    <s v="Cleaning Mop"/>
    <n v="8"/>
    <n v="69740"/>
    <n v="15"/>
    <n v="474232"/>
    <n v="557920"/>
    <n v="83688"/>
    <x v="1"/>
    <s v="Funmi Eze"/>
    <x v="0"/>
    <x v="6"/>
    <x v="1"/>
  </r>
  <r>
    <s v="TXN-00881"/>
    <d v="2025-03-29T00:00:00"/>
    <x v="5"/>
    <s v="South-West"/>
    <x v="1"/>
    <s v="Standing Fan"/>
    <n v="5"/>
    <n v="1270"/>
    <n v="0"/>
    <n v="6350"/>
    <n v="6350"/>
    <n v="0"/>
    <x v="0"/>
    <s v="Uche Okoro"/>
    <x v="0"/>
    <x v="9"/>
    <x v="0"/>
  </r>
  <r>
    <s v="TXN-01004"/>
    <d v="2025-01-10T00:00:00"/>
    <x v="0"/>
    <s v="North-Central"/>
    <x v="0"/>
    <s v="Deodorant Roll-on"/>
    <n v="9"/>
    <n v="1280"/>
    <n v="0"/>
    <n v="11520"/>
    <n v="11520"/>
    <n v="0"/>
    <x v="2"/>
    <s v="Grace Okafor"/>
    <x v="0"/>
    <x v="7"/>
    <x v="0"/>
  </r>
  <r>
    <s v="TXN-01433"/>
    <d v="2025-05-28T00:00:00"/>
    <x v="1"/>
    <s v="South-West"/>
    <x v="3"/>
    <s v="Handbag"/>
    <n v="7"/>
    <n v="59110"/>
    <n v="15"/>
    <n v="351704.5"/>
    <n v="413770"/>
    <n v="62065.5"/>
    <x v="0"/>
    <s v="Uche Okoro"/>
    <x v="0"/>
    <x v="5"/>
    <x v="1"/>
  </r>
  <r>
    <s v="TXN-00895"/>
    <d v="2025-01-24T00:00:00"/>
    <x v="6"/>
    <s v="South-South"/>
    <x v="3"/>
    <s v="Wristwatch"/>
    <n v="8"/>
    <n v="3850"/>
    <n v="15"/>
    <n v="26180"/>
    <n v="30800"/>
    <n v="4620"/>
    <x v="2"/>
    <s v="Kelechi Nwosu"/>
    <x v="0"/>
    <x v="7"/>
    <x v="0"/>
  </r>
  <r>
    <s v="TXN-00143"/>
    <d v="2025-10-21T00:00:00"/>
    <x v="1"/>
    <s v="South-West"/>
    <x v="2"/>
    <s v="Storage Basket"/>
    <n v="5"/>
    <n v="8590"/>
    <n v="10"/>
    <n v="38655"/>
    <n v="42950"/>
    <n v="4295"/>
    <x v="3"/>
    <s v="Peter Adekunle"/>
    <x v="0"/>
    <x v="6"/>
    <x v="0"/>
  </r>
  <r>
    <s v="TXN-00519"/>
    <d v="2025-03-02T00:00:00"/>
    <x v="3"/>
    <s v="South-South"/>
    <x v="1"/>
    <s v="Home Theatre System"/>
    <n v="3"/>
    <n v="480"/>
    <n v="0"/>
    <n v="1440"/>
    <n v="1440"/>
    <n v="0"/>
    <x v="3"/>
    <s v="Peter Adekunle"/>
    <x v="0"/>
    <x v="9"/>
    <x v="1"/>
  </r>
  <r>
    <s v="TXN-00963"/>
    <d v="2025-06-08T00:00:00"/>
    <x v="1"/>
    <s v="South-West"/>
    <x v="1"/>
    <s v="Standing Fan"/>
    <n v="4"/>
    <n v="19090"/>
    <n v="15"/>
    <n v="64906"/>
    <n v="76360"/>
    <n v="11454"/>
    <x v="2"/>
    <s v="Grace Okafor"/>
    <x v="0"/>
    <x v="1"/>
    <x v="1"/>
  </r>
  <r>
    <s v="TXN-00283"/>
    <d v="2025-09-19T00:00:00"/>
    <x v="5"/>
    <s v="South-West"/>
    <x v="1"/>
    <s v="Bluetooth Speaker"/>
    <n v="9"/>
    <n v="44580"/>
    <n v="0"/>
    <n v="401220"/>
    <n v="401220"/>
    <n v="0"/>
    <x v="2"/>
    <s v="Chinwe Etim"/>
    <x v="0"/>
    <x v="0"/>
    <x v="1"/>
  </r>
  <r>
    <s v="TXN-00605"/>
    <d v="2025-12-30T00:00:00"/>
    <x v="5"/>
    <s v="South-West"/>
    <x v="1"/>
    <s v="Power Bank 20000mAh"/>
    <n v="10"/>
    <n v="1230"/>
    <n v="5"/>
    <n v="11685"/>
    <n v="12300"/>
    <n v="615"/>
    <x v="0"/>
    <s v="Ifeoma Adeyemi"/>
    <x v="0"/>
    <x v="11"/>
    <x v="1"/>
  </r>
  <r>
    <s v="TXN-01194"/>
    <d v="2025-12-01T00:00:00"/>
    <x v="6"/>
    <s v="South-South"/>
    <x v="4"/>
    <s v="Indomie Carton"/>
    <n v="8"/>
    <n v="72210"/>
    <n v="15"/>
    <n v="491028"/>
    <n v="577680"/>
    <n v="86652"/>
    <x v="2"/>
    <s v="Obinna Yusuf"/>
    <x v="0"/>
    <x v="11"/>
    <x v="0"/>
  </r>
  <r>
    <s v="TXN-00920"/>
    <d v="2025-02-24T00:00:00"/>
    <x v="1"/>
    <s v="South-West"/>
    <x v="2"/>
    <s v="Curtain Set"/>
    <n v="5"/>
    <n v="2840"/>
    <n v="0"/>
    <n v="14200"/>
    <n v="14200"/>
    <n v="0"/>
    <x v="2"/>
    <s v="Grace Okafor"/>
    <x v="0"/>
    <x v="8"/>
    <x v="1"/>
  </r>
  <r>
    <s v="TXN-01162"/>
    <d v="2025-04-10T00:00:00"/>
    <x v="6"/>
    <s v="South-South"/>
    <x v="3"/>
    <s v="School Sandals"/>
    <n v="4"/>
    <n v="12100"/>
    <n v="0"/>
    <n v="48400"/>
    <n v="48400"/>
    <n v="0"/>
    <x v="1"/>
    <s v="Peter Adekunle"/>
    <x v="0"/>
    <x v="4"/>
    <x v="1"/>
  </r>
  <r>
    <s v="TXN-01185"/>
    <d v="2025-02-14T00:00:00"/>
    <x v="4"/>
    <s v="North-West"/>
    <x v="1"/>
    <s v="Standing Fan"/>
    <n v="8"/>
    <n v="1230"/>
    <n v="0"/>
    <n v="9840"/>
    <n v="9840"/>
    <n v="0"/>
    <x v="1"/>
    <s v="Amaka Onwuka"/>
    <x v="0"/>
    <x v="8"/>
    <x v="1"/>
  </r>
  <r>
    <s v="TXN-00274"/>
    <d v="2025-01-21T00:00:00"/>
    <x v="1"/>
    <s v="South-West"/>
    <x v="0"/>
    <s v="Perfume 100ml"/>
    <n v="9"/>
    <n v="20550"/>
    <n v="0"/>
    <n v="184950"/>
    <n v="184950"/>
    <n v="0"/>
    <x v="0"/>
    <s v="Ade Abubakar"/>
    <x v="0"/>
    <x v="7"/>
    <x v="0"/>
  </r>
  <r>
    <s v="TXN-01120"/>
    <d v="2025-02-01T00:00:00"/>
    <x v="2"/>
    <s v="South-East"/>
    <x v="4"/>
    <s v="Rice 50kg Bag"/>
    <n v="4"/>
    <n v="560"/>
    <n v="0"/>
    <n v="2240"/>
    <n v="2240"/>
    <n v="0"/>
    <x v="1"/>
    <s v="Amaka Onwuka"/>
    <x v="0"/>
    <x v="8"/>
    <x v="1"/>
  </r>
  <r>
    <s v="TXN-00006"/>
    <d v="2025-09-14T00:00:00"/>
    <x v="1"/>
    <s v="South-West"/>
    <x v="4"/>
    <s v="Curtain Set"/>
    <n v="1"/>
    <n v="8460"/>
    <n v="10"/>
    <n v="7614"/>
    <n v="8460"/>
    <n v="846"/>
    <x v="3"/>
    <s v="Chinwe Etim"/>
    <x v="0"/>
    <x v="0"/>
    <x v="1"/>
  </r>
  <r>
    <s v="TXN-00377"/>
    <d v="2025-05-15T00:00:00"/>
    <x v="6"/>
    <s v="South-South"/>
    <x v="2"/>
    <s v="Cleaning Mop"/>
    <n v="1"/>
    <n v="9880"/>
    <n v="10"/>
    <n v="8892"/>
    <n v="9880"/>
    <n v="988"/>
    <x v="0"/>
    <s v="Obinna Yusuf"/>
    <x v="0"/>
    <x v="5"/>
    <x v="0"/>
  </r>
  <r>
    <s v="TXN-01267"/>
    <d v="2025-06-02T00:00:00"/>
    <x v="4"/>
    <s v="South-East"/>
    <x v="0"/>
    <s v="Baby Diaper Pack"/>
    <n v="12"/>
    <n v="12540"/>
    <n v="10"/>
    <n v="135432"/>
    <n v="150480"/>
    <n v="15048"/>
    <x v="1"/>
    <s v="Mary Nnamdi"/>
    <x v="0"/>
    <x v="1"/>
    <x v="1"/>
  </r>
  <r>
    <s v="TXN-01483"/>
    <d v="2025-07-23T00:00:00"/>
    <x v="3"/>
    <s v="South-South"/>
    <x v="4"/>
    <s v="Tomato Paste Carton"/>
    <n v="10"/>
    <n v="4770"/>
    <n v="15"/>
    <n v="40545"/>
    <n v="47700"/>
    <n v="7155"/>
    <x v="2"/>
    <s v="Ade Abubakar"/>
    <x v="0"/>
    <x v="10"/>
    <x v="1"/>
  </r>
  <r>
    <s v="TXN-00596"/>
    <d v="2025-07-11T00:00:00"/>
    <x v="4"/>
    <s v="North-West"/>
    <x v="3"/>
    <s v="Denim Jeans"/>
    <n v="7"/>
    <n v="17300"/>
    <n v="0"/>
    <n v="121100"/>
    <n v="121100"/>
    <n v="0"/>
    <x v="2"/>
    <s v="Peter Adekunle"/>
    <x v="0"/>
    <x v="10"/>
    <x v="0"/>
  </r>
  <r>
    <s v="TXN-00724"/>
    <d v="2025-06-22T00:00:00"/>
    <x v="4"/>
    <s v="North-West"/>
    <x v="3"/>
    <s v="Handbag"/>
    <n v="8"/>
    <n v="13660"/>
    <n v="15"/>
    <n v="92888"/>
    <n v="109280"/>
    <n v="16392"/>
    <x v="3"/>
    <s v="Tunde Balogun"/>
    <x v="0"/>
    <x v="1"/>
    <x v="1"/>
  </r>
  <r>
    <s v="TXN-00875"/>
    <d v="2025-10-26T00:00:00"/>
    <x v="3"/>
    <s v="South-South"/>
    <x v="2"/>
    <s v="Non-stick Frying Pan"/>
    <n v="3"/>
    <n v="510"/>
    <n v="5"/>
    <n v="1453.5"/>
    <n v="1530"/>
    <n v="76.5"/>
    <x v="1"/>
    <s v="Segun Chukwu"/>
    <x v="0"/>
    <x v="6"/>
    <x v="1"/>
  </r>
  <r>
    <s v="TXN-00471"/>
    <d v="2025-04-30T00:00:00"/>
    <x v="4"/>
    <s v="South-East"/>
    <x v="2"/>
    <s v="Dinner Set"/>
    <n v="9"/>
    <n v="47720"/>
    <n v="0"/>
    <n v="429480"/>
    <n v="429480"/>
    <n v="0"/>
    <x v="2"/>
    <s v="Uche Okoro"/>
    <x v="0"/>
    <x v="4"/>
    <x v="1"/>
  </r>
  <r>
    <s v="TXN-00904"/>
    <d v="2025-04-22T00:00:00"/>
    <x v="4"/>
    <s v="North-West"/>
    <x v="1"/>
    <s v="Standing Fan"/>
    <n v="4"/>
    <n v="12860"/>
    <n v="0"/>
    <n v="51440"/>
    <n v="51440"/>
    <n v="0"/>
    <x v="1"/>
    <s v="Ade Abubakar"/>
    <x v="0"/>
    <x v="4"/>
    <x v="0"/>
  </r>
  <r>
    <s v="TXN-01210"/>
    <d v="2025-08-19T00:00:00"/>
    <x v="5"/>
    <s v="South-West"/>
    <x v="4"/>
    <s v="Semovita 2kg"/>
    <n v="8"/>
    <n v="9350"/>
    <n v="0"/>
    <n v="74800"/>
    <n v="74800"/>
    <n v="0"/>
    <x v="2"/>
    <s v="Mary Nnamdi"/>
    <x v="0"/>
    <x v="2"/>
    <x v="1"/>
  </r>
  <r>
    <s v="TXN-01377"/>
    <d v="2025-10-31T00:00:00"/>
    <x v="0"/>
    <s v="North-Central"/>
    <x v="1"/>
    <s v="Bluetooth Speaker"/>
    <n v="7"/>
    <n v="42320"/>
    <n v="0"/>
    <n v="296240"/>
    <n v="296240"/>
    <n v="0"/>
    <x v="2"/>
    <s v="Kelechi Nwosu"/>
    <x v="0"/>
    <x v="6"/>
    <x v="1"/>
  </r>
  <r>
    <s v="TXN-00416"/>
    <d v="2025-06-29T00:00:00"/>
    <x v="2"/>
    <s v="South-East"/>
    <x v="4"/>
    <s v="Rice 50kg Bag"/>
    <n v="11"/>
    <n v="5250"/>
    <n v="0"/>
    <n v="57750"/>
    <n v="57750"/>
    <n v="0"/>
    <x v="2"/>
    <s v="Ifeoma Adeyemi"/>
    <x v="0"/>
    <x v="1"/>
    <x v="1"/>
  </r>
  <r>
    <s v="TXN-01075"/>
    <d v="2025-12-14T00:00:00"/>
    <x v="4"/>
    <s v="North-West"/>
    <x v="2"/>
    <s v="Plastic Chair Set"/>
    <n v="6"/>
    <n v="3190"/>
    <n v="0"/>
    <n v="19140"/>
    <n v="19140"/>
    <n v="0"/>
    <x v="1"/>
    <s v="Mary Nnamdi"/>
    <x v="0"/>
    <x v="11"/>
    <x v="0"/>
  </r>
  <r>
    <s v="TXN-01069"/>
    <d v="2025-12-10T00:00:00"/>
    <x v="4"/>
    <s v="North-West"/>
    <x v="4"/>
    <s v="Milo 500g"/>
    <n v="10"/>
    <n v="7360"/>
    <n v="10"/>
    <n v="66240"/>
    <n v="73600"/>
    <n v="7360"/>
    <x v="1"/>
    <s v="Peter Adekunle"/>
    <x v="0"/>
    <x v="11"/>
    <x v="0"/>
  </r>
  <r>
    <s v="TXN-00967"/>
    <d v="2025-07-05T00:00:00"/>
    <x v="1"/>
    <s v="South-West"/>
    <x v="3"/>
    <s v="Ladies Ankara Gown"/>
    <n v="7"/>
    <n v="8260"/>
    <n v="0"/>
    <n v="57820"/>
    <n v="57820"/>
    <n v="0"/>
    <x v="2"/>
    <s v="Amaka Onwuka"/>
    <x v="0"/>
    <x v="10"/>
    <x v="0"/>
  </r>
  <r>
    <s v="TXN-00081"/>
    <d v="2025-07-19T00:00:00"/>
    <x v="0"/>
    <s v="North-Central"/>
    <x v="4"/>
    <s v="Tomato Paste Carton"/>
    <n v="2"/>
    <n v="20590"/>
    <n v="0"/>
    <n v="41180"/>
    <n v="41180"/>
    <n v="0"/>
    <x v="1"/>
    <s v="Ade Abubakar"/>
    <x v="0"/>
    <x v="10"/>
    <x v="0"/>
  </r>
  <r>
    <s v="TXN-00351"/>
    <d v="2025-08-29T00:00:00"/>
    <x v="3"/>
    <s v="South-South"/>
    <x v="3"/>
    <s v="Handbag"/>
    <n v="11"/>
    <n v="1090"/>
    <n v="0"/>
    <n v="11990"/>
    <n v="11990"/>
    <n v="0"/>
    <x v="2"/>
    <s v="Ifeoma Adeyemi"/>
    <x v="0"/>
    <x v="2"/>
    <x v="0"/>
  </r>
  <r>
    <s v="TXN-01302"/>
    <d v="2025-01-06T00:00:00"/>
    <x v="1"/>
    <s v="South-West"/>
    <x v="3"/>
    <s v="Denim Jeans"/>
    <n v="5"/>
    <n v="9870"/>
    <n v="0"/>
    <n v="49350"/>
    <n v="49350"/>
    <n v="0"/>
    <x v="2"/>
    <s v="Funmi Eze"/>
    <x v="0"/>
    <x v="7"/>
    <x v="0"/>
  </r>
  <r>
    <s v="TXN-00956"/>
    <d v="2025-01-19T00:00:00"/>
    <x v="1"/>
    <s v="South-West"/>
    <x v="4"/>
    <s v="Milo 500g"/>
    <n v="5"/>
    <n v="8340"/>
    <n v="0"/>
    <n v="41700"/>
    <n v="41700"/>
    <n v="0"/>
    <x v="2"/>
    <s v="Peter Adekunle"/>
    <x v="0"/>
    <x v="7"/>
    <x v="0"/>
  </r>
  <r>
    <s v="TXN-01048"/>
    <d v="2025-04-06T00:00:00"/>
    <x v="2"/>
    <s v="South-East"/>
    <x v="4"/>
    <s v="Sugar 1kg"/>
    <n v="10"/>
    <n v="42610"/>
    <n v="0"/>
    <n v="426100"/>
    <n v="426100"/>
    <n v="0"/>
    <x v="2"/>
    <s v="Tunde Balogun"/>
    <x v="0"/>
    <x v="4"/>
    <x v="0"/>
  </r>
  <r>
    <s v="TXN-01361"/>
    <d v="2025-09-01T00:00:00"/>
    <x v="5"/>
    <s v="South-West"/>
    <x v="1"/>
    <s v="Standing Fan"/>
    <n v="3"/>
    <n v="20090"/>
    <n v="0"/>
    <n v="60270"/>
    <n v="60270"/>
    <n v="0"/>
    <x v="2"/>
    <s v="Mary Nnamdi"/>
    <x v="0"/>
    <x v="0"/>
    <x v="0"/>
  </r>
  <r>
    <s v="TXN-00518"/>
    <d v="2025-12-21T00:00:00"/>
    <x v="1"/>
    <s v="South-West"/>
    <x v="1"/>
    <s v="Power Bank 20000mAh"/>
    <n v="10"/>
    <n v="74360"/>
    <n v="0"/>
    <n v="743600"/>
    <n v="743600"/>
    <n v="0"/>
    <x v="0"/>
    <s v="Obinna Yusuf"/>
    <x v="0"/>
    <x v="11"/>
    <x v="0"/>
  </r>
  <r>
    <s v="TXN-00341"/>
    <d v="2025-12-14T00:00:00"/>
    <x v="1"/>
    <s v="South-West"/>
    <x v="4"/>
    <s v="Indomie Carton"/>
    <n v="1"/>
    <n v="66280"/>
    <n v="0"/>
    <n v="66280"/>
    <n v="66280"/>
    <n v="0"/>
    <x v="3"/>
    <s v="Amaka Onwuka"/>
    <x v="0"/>
    <x v="11"/>
    <x v="0"/>
  </r>
  <r>
    <s v="TXN-01168"/>
    <d v="2025-03-25T00:00:00"/>
    <x v="4"/>
    <s v="North-West"/>
    <x v="0"/>
    <s v="Baby Diaper Pack"/>
    <n v="4"/>
    <n v="23710"/>
    <n v="5"/>
    <n v="90098"/>
    <n v="94840"/>
    <n v="4742"/>
    <x v="2"/>
    <s v="Kelechi Nwosu"/>
    <x v="0"/>
    <x v="9"/>
    <x v="0"/>
  </r>
  <r>
    <s v="TXN-01041"/>
    <d v="2025-04-17T00:00:00"/>
    <x v="4"/>
    <s v="North-West"/>
    <x v="4"/>
    <s v="Kids Sneakers"/>
    <n v="1"/>
    <n v="4740"/>
    <n v="10"/>
    <n v="4266"/>
    <n v="4740"/>
    <n v="474"/>
    <x v="2"/>
    <s v="Chinwe Etim"/>
    <x v="0"/>
    <x v="4"/>
    <x v="1"/>
  </r>
  <r>
    <s v="TXN-00066"/>
    <d v="2025-09-27T00:00:00"/>
    <x v="0"/>
    <s v="North-Central"/>
    <x v="4"/>
    <s v="Vegetable Oil 5L"/>
    <n v="11"/>
    <n v="1160"/>
    <n v="0"/>
    <n v="12760"/>
    <n v="12760"/>
    <n v="0"/>
    <x v="2"/>
    <s v="Amaka Onwuka"/>
    <x v="0"/>
    <x v="0"/>
    <x v="1"/>
  </r>
  <r>
    <s v="TXN-00511"/>
    <d v="2025-05-12T00:00:00"/>
    <x v="4"/>
    <s v="North-West"/>
    <x v="4"/>
    <s v="Milo 500g"/>
    <n v="5"/>
    <n v="8390"/>
    <n v="0"/>
    <n v="41950"/>
    <n v="41950"/>
    <n v="0"/>
    <x v="2"/>
    <s v="Peter Adekunle"/>
    <x v="0"/>
    <x v="5"/>
    <x v="1"/>
  </r>
  <r>
    <s v="TXN-01310"/>
    <d v="2025-03-15T00:00:00"/>
    <x v="3"/>
    <s v="South-South"/>
    <x v="3"/>
    <s v="Men's Polo Shirt"/>
    <n v="4"/>
    <n v="26260"/>
    <n v="10"/>
    <n v="94536"/>
    <n v="105040"/>
    <n v="10504"/>
    <x v="1"/>
    <s v="Kelechi Nwosu"/>
    <x v="0"/>
    <x v="9"/>
    <x v="0"/>
  </r>
  <r>
    <s v="TXN-00741"/>
    <d v="2025-03-13T00:00:00"/>
    <x v="6"/>
    <s v="South-South"/>
    <x v="3"/>
    <s v="Wristwatch"/>
    <n v="7"/>
    <n v="70700"/>
    <n v="0"/>
    <n v="494900"/>
    <n v="494900"/>
    <n v="0"/>
    <x v="0"/>
    <s v="Ade Abubakar"/>
    <x v="0"/>
    <x v="9"/>
    <x v="0"/>
  </r>
  <r>
    <s v="TXN-00088"/>
    <d v="2025-12-30T00:00:00"/>
    <x v="3"/>
    <s v="South-South"/>
    <x v="3"/>
    <s v="School Sandals"/>
    <n v="6"/>
    <n v="1320"/>
    <n v="15"/>
    <n v="6732"/>
    <n v="7920"/>
    <n v="1188"/>
    <x v="3"/>
    <s v="Uche Okoro"/>
    <x v="0"/>
    <x v="11"/>
    <x v="1"/>
  </r>
  <r>
    <s v="TXN-01113"/>
    <d v="2025-08-01T00:00:00"/>
    <x v="5"/>
    <s v="South-West"/>
    <x v="4"/>
    <s v="Milo 500g"/>
    <n v="2"/>
    <n v="2480"/>
    <n v="0"/>
    <n v="4960"/>
    <n v="4960"/>
    <n v="0"/>
    <x v="1"/>
    <s v="Grace Okafor"/>
    <x v="0"/>
    <x v="2"/>
    <x v="0"/>
  </r>
  <r>
    <s v="TXN-00030"/>
    <d v="2025-09-06T00:00:00"/>
    <x v="0"/>
    <s v="North-Central"/>
    <x v="2"/>
    <s v="Bedsheet Set"/>
    <n v="2"/>
    <n v="2850"/>
    <n v="0"/>
    <n v="5700"/>
    <n v="5700"/>
    <n v="0"/>
    <x v="3"/>
    <s v="Peter Adekunle"/>
    <x v="0"/>
    <x v="0"/>
    <x v="0"/>
  </r>
  <r>
    <s v="TXN-00063"/>
    <d v="2025-06-30T00:00:00"/>
    <x v="3"/>
    <s v="South-South"/>
    <x v="3"/>
    <s v="Office Blazer"/>
    <n v="5"/>
    <n v="59340"/>
    <n v="10"/>
    <n v="267030"/>
    <n v="296700"/>
    <n v="29670"/>
    <x v="3"/>
    <s v="Segun Chukwu"/>
    <x v="0"/>
    <x v="1"/>
    <x v="1"/>
  </r>
  <r>
    <s v="TXN-00426"/>
    <d v="2025-06-23T00:00:00"/>
    <x v="6"/>
    <s v="South-South"/>
    <x v="0"/>
    <s v="Shea Butter Cream"/>
    <n v="10"/>
    <n v="13190"/>
    <n v="0"/>
    <n v="131900"/>
    <n v="131900"/>
    <n v="0"/>
    <x v="1"/>
    <s v="Tunde Balogun"/>
    <x v="0"/>
    <x v="1"/>
    <x v="1"/>
  </r>
  <r>
    <s v="TXN-00421"/>
    <d v="2025-03-02T00:00:00"/>
    <x v="1"/>
    <s v="South-West"/>
    <x v="3"/>
    <s v="School Sandals"/>
    <n v="11"/>
    <n v="48810"/>
    <n v="0"/>
    <n v="536910"/>
    <n v="536910"/>
    <n v="0"/>
    <x v="3"/>
    <s v="Chidera Bello"/>
    <x v="0"/>
    <x v="9"/>
    <x v="0"/>
  </r>
  <r>
    <s v="TXN-01451"/>
    <d v="2025-08-10T00:00:00"/>
    <x v="4"/>
    <s v="South-West"/>
    <x v="3"/>
    <s v="Men's Polo Shirt"/>
    <n v="7"/>
    <n v="67980"/>
    <n v="0"/>
    <n v="475860"/>
    <n v="475860"/>
    <n v="0"/>
    <x v="3"/>
    <s v="Grace Okafor"/>
    <x v="0"/>
    <x v="2"/>
    <x v="1"/>
  </r>
  <r>
    <s v="TXN-00598"/>
    <d v="2025-02-03T00:00:00"/>
    <x v="1"/>
    <s v="South-West"/>
    <x v="3"/>
    <s v="Handbag"/>
    <n v="4"/>
    <n v="9670"/>
    <n v="10"/>
    <n v="34812"/>
    <n v="38680"/>
    <n v="3868"/>
    <x v="2"/>
    <s v="Amaka Onwuka"/>
    <x v="0"/>
    <x v="8"/>
    <x v="0"/>
  </r>
  <r>
    <s v="TXN-01138"/>
    <d v="2025-01-28T00:00:00"/>
    <x v="2"/>
    <s v="South-West"/>
    <x v="0"/>
    <s v="Body Lotion 400ml"/>
    <n v="12"/>
    <n v="11230"/>
    <n v="0"/>
    <n v="134760"/>
    <n v="134760"/>
    <n v="0"/>
    <x v="2"/>
    <s v="Ifeoma Adeyemi"/>
    <x v="0"/>
    <x v="7"/>
    <x v="0"/>
  </r>
  <r>
    <s v="TXN-00748"/>
    <d v="2025-01-13T00:00:00"/>
    <x v="0"/>
    <s v="North-Central"/>
    <x v="4"/>
    <s v="Tomato Paste Carton"/>
    <n v="3"/>
    <n v="4830"/>
    <n v="10"/>
    <n v="13041"/>
    <n v="14490"/>
    <n v="1449"/>
    <x v="1"/>
    <s v="Obinna Yusuf"/>
    <x v="0"/>
    <x v="7"/>
    <x v="0"/>
  </r>
  <r>
    <s v="TXN-00329"/>
    <d v="2025-05-24T00:00:00"/>
    <x v="2"/>
    <s v="South-East"/>
    <x v="4"/>
    <s v="Semovita 2kg"/>
    <n v="12"/>
    <n v="6990"/>
    <n v="0"/>
    <n v="83880"/>
    <n v="83880"/>
    <n v="0"/>
    <x v="3"/>
    <s v="Grace Okafor"/>
    <x v="0"/>
    <x v="5"/>
    <x v="0"/>
  </r>
  <r>
    <s v="TXN-00214"/>
    <d v="2025-06-14T00:00:00"/>
    <x v="0"/>
    <s v="North-Central"/>
    <x v="1"/>
    <s v="Home Theatre System"/>
    <n v="11"/>
    <n v="10930"/>
    <n v="5"/>
    <n v="114218.5"/>
    <n v="120230"/>
    <n v="6011.5"/>
    <x v="2"/>
    <s v="Chidera Bello"/>
    <x v="0"/>
    <x v="1"/>
    <x v="1"/>
  </r>
  <r>
    <s v="TXN-00883"/>
    <d v="2025-07-06T00:00:00"/>
    <x v="4"/>
    <s v="North-West"/>
    <x v="3"/>
    <s v="Denim Jeans"/>
    <n v="3"/>
    <n v="19710"/>
    <n v="0"/>
    <n v="59130"/>
    <n v="59130"/>
    <n v="0"/>
    <x v="3"/>
    <s v="Uche Okoro"/>
    <x v="0"/>
    <x v="10"/>
    <x v="1"/>
  </r>
  <r>
    <s v="TXN-00949"/>
    <d v="2025-07-19T00:00:00"/>
    <x v="4"/>
    <s v="North-West"/>
    <x v="3"/>
    <s v="Wristwatch"/>
    <n v="6"/>
    <n v="5000"/>
    <n v="0"/>
    <n v="30000"/>
    <n v="30000"/>
    <n v="0"/>
    <x v="2"/>
    <s v="Kelechi Nwosu"/>
    <x v="0"/>
    <x v="10"/>
    <x v="1"/>
  </r>
  <r>
    <s v="TXN-00805"/>
    <d v="2025-06-22T00:00:00"/>
    <x v="4"/>
    <s v="South-West"/>
    <x v="0"/>
    <s v="Toothpaste Pack"/>
    <n v="10"/>
    <n v="3400"/>
    <n v="0"/>
    <n v="34000"/>
    <n v="34000"/>
    <n v="0"/>
    <x v="2"/>
    <s v="Obinna Yusuf"/>
    <x v="0"/>
    <x v="1"/>
    <x v="1"/>
  </r>
  <r>
    <s v="TXN-00728"/>
    <d v="2025-03-02T00:00:00"/>
    <x v="3"/>
    <s v="South-South"/>
    <x v="2"/>
    <s v="Non-stick Frying Pan"/>
    <n v="4"/>
    <n v="3800"/>
    <n v="10"/>
    <n v="13680"/>
    <n v="15200"/>
    <n v="1520"/>
    <x v="0"/>
    <s v="Amaka Onwuka"/>
    <x v="0"/>
    <x v="9"/>
    <x v="1"/>
  </r>
  <r>
    <s v="TXN-00304"/>
    <d v="2025-07-10T00:00:00"/>
    <x v="5"/>
    <s v="South-West"/>
    <x v="3"/>
    <s v="Handbag"/>
    <n v="7"/>
    <n v="64720"/>
    <n v="0"/>
    <n v="453040"/>
    <n v="453040"/>
    <n v="0"/>
    <x v="0"/>
    <s v="Funmi Eze"/>
    <x v="0"/>
    <x v="10"/>
    <x v="1"/>
  </r>
  <r>
    <s v="TXN-00872"/>
    <d v="2025-08-01T00:00:00"/>
    <x v="0"/>
    <s v="North-Central"/>
    <x v="1"/>
    <s v="Electric Kettle"/>
    <n v="2"/>
    <n v="7510"/>
    <n v="5"/>
    <n v="14269"/>
    <n v="15020"/>
    <n v="751"/>
    <x v="3"/>
    <s v="Peter Adekunle"/>
    <x v="0"/>
    <x v="2"/>
    <x v="1"/>
  </r>
  <r>
    <s v="TXN-01081"/>
    <d v="2025-02-05T00:00:00"/>
    <x v="5"/>
    <s v="South-West"/>
    <x v="3"/>
    <s v="School Sandals"/>
    <n v="2"/>
    <n v="1360"/>
    <n v="0"/>
    <n v="2720"/>
    <n v="2720"/>
    <n v="0"/>
    <x v="3"/>
    <s v="Funmi Eze"/>
    <x v="0"/>
    <x v="8"/>
    <x v="0"/>
  </r>
  <r>
    <s v="TXN-00448"/>
    <d v="2025-01-10T00:00:00"/>
    <x v="0"/>
    <s v="North-Central"/>
    <x v="4"/>
    <s v="Spaghetti Pack"/>
    <n v="5"/>
    <n v="23130"/>
    <n v="0"/>
    <n v="115650"/>
    <n v="115650"/>
    <n v="0"/>
    <x v="1"/>
    <s v="Segun Chukwu"/>
    <x v="0"/>
    <x v="7"/>
    <x v="0"/>
  </r>
  <r>
    <s v="TXN-00025"/>
    <d v="2025-09-24T00:00:00"/>
    <x v="1"/>
    <s v="South-West"/>
    <x v="3"/>
    <s v="School Sandals"/>
    <n v="4"/>
    <n v="11580"/>
    <n v="10"/>
    <n v="41688"/>
    <n v="46320"/>
    <n v="4632"/>
    <x v="1"/>
    <s v="Kelechi Nwosu"/>
    <x v="0"/>
    <x v="0"/>
    <x v="1"/>
  </r>
  <r>
    <s v="TXN-00934"/>
    <d v="2025-02-03T00:00:00"/>
    <x v="2"/>
    <s v="South-East"/>
    <x v="3"/>
    <s v="Wristwatch"/>
    <n v="6"/>
    <n v="4550.0000000000009"/>
    <n v="5"/>
    <n v="25935"/>
    <n v="27300.000000000007"/>
    <n v="1365.0000000000002"/>
    <x v="0"/>
    <s v="Funmi Eze"/>
    <x v="0"/>
    <x v="8"/>
    <x v="0"/>
  </r>
  <r>
    <s v="TXN-00802"/>
    <d v="2025-01-11T00:00:00"/>
    <x v="0"/>
    <s v="North-Central"/>
    <x v="0"/>
    <s v="Deodorant Roll-on"/>
    <n v="11"/>
    <n v="16900"/>
    <n v="10"/>
    <n v="167310"/>
    <n v="185900"/>
    <n v="18590"/>
    <x v="1"/>
    <s v="Funmi Eze"/>
    <x v="0"/>
    <x v="7"/>
    <x v="1"/>
  </r>
  <r>
    <s v="TXN-01193"/>
    <d v="2025-06-18T00:00:00"/>
    <x v="1"/>
    <s v="South-West"/>
    <x v="2"/>
    <s v="Non-stick Frying Pan"/>
    <n v="11"/>
    <n v="18230"/>
    <n v="0"/>
    <n v="200530"/>
    <n v="200530"/>
    <n v="0"/>
    <x v="2"/>
    <s v="Peter Adekunle"/>
    <x v="0"/>
    <x v="1"/>
    <x v="0"/>
  </r>
  <r>
    <s v="TXN-01475"/>
    <d v="2025-05-21T00:00:00"/>
    <x v="4"/>
    <s v="North-West"/>
    <x v="2"/>
    <s v="Curtain Set"/>
    <n v="9"/>
    <n v="26430"/>
    <n v="0"/>
    <n v="237870"/>
    <n v="237870"/>
    <n v="0"/>
    <x v="2"/>
    <s v="Funmi Eze"/>
    <x v="0"/>
    <x v="5"/>
    <x v="1"/>
  </r>
  <r>
    <s v="TXN-00132"/>
    <d v="2025-04-12T00:00:00"/>
    <x v="0"/>
    <s v="North-Central"/>
    <x v="1"/>
    <s v="Electric Kettle"/>
    <n v="4"/>
    <n v="2650"/>
    <n v="10"/>
    <n v="9540"/>
    <n v="10600"/>
    <n v="1060"/>
    <x v="0"/>
    <s v="Funmi Eze"/>
    <x v="0"/>
    <x v="4"/>
    <x v="1"/>
  </r>
  <r>
    <s v="TXN-01339"/>
    <d v="2025-04-15T00:00:00"/>
    <x v="4"/>
    <s v="North-West"/>
    <x v="0"/>
    <s v="Bathing Soap Pack"/>
    <n v="11"/>
    <n v="49790"/>
    <n v="0"/>
    <n v="547690"/>
    <n v="547690"/>
    <n v="0"/>
    <x v="2"/>
    <s v="Ifeoma Adeyemi"/>
    <x v="0"/>
    <x v="4"/>
    <x v="1"/>
  </r>
  <r>
    <s v="TXN-01222"/>
    <d v="2025-07-21T00:00:00"/>
    <x v="6"/>
    <s v="South-South"/>
    <x v="4"/>
    <s v="Spaghetti Pack"/>
    <n v="4"/>
    <n v="16310"/>
    <n v="0"/>
    <n v="65240"/>
    <n v="65240"/>
    <n v="0"/>
    <x v="3"/>
    <s v="Ade Abubakar"/>
    <x v="0"/>
    <x v="10"/>
    <x v="0"/>
  </r>
  <r>
    <s v="TXN-00552"/>
    <d v="2025-07-06T00:00:00"/>
    <x v="0"/>
    <s v="North-Central"/>
    <x v="2"/>
    <s v="Laundry Basket"/>
    <n v="3"/>
    <n v="16680"/>
    <n v="5"/>
    <n v="47538"/>
    <n v="50040"/>
    <n v="2502"/>
    <x v="3"/>
    <s v="Funmi Eze"/>
    <x v="0"/>
    <x v="10"/>
    <x v="0"/>
  </r>
  <r>
    <s v="TXN-00925"/>
    <d v="2025-09-06T00:00:00"/>
    <x v="2"/>
    <s v="South-East"/>
    <x v="3"/>
    <s v="Men's Polo Shirt"/>
    <n v="7"/>
    <n v="5000"/>
    <n v="0"/>
    <n v="35000"/>
    <n v="35000"/>
    <n v="0"/>
    <x v="2"/>
    <s v="Ifeoma Adeyemi"/>
    <x v="0"/>
    <x v="0"/>
    <x v="0"/>
  </r>
  <r>
    <s v="TXN-00522"/>
    <d v="2025-01-21T00:00:00"/>
    <x v="5"/>
    <s v="South-West"/>
    <x v="4"/>
    <s v="Semovita 2kg"/>
    <n v="10"/>
    <n v="7300"/>
    <n v="0"/>
    <n v="73000"/>
    <n v="73000"/>
    <n v="0"/>
    <x v="2"/>
    <s v="Tunde Balogun"/>
    <x v="0"/>
    <x v="7"/>
    <x v="0"/>
  </r>
  <r>
    <s v="TXN-00300"/>
    <d v="2025-03-05T00:00:00"/>
    <x v="6"/>
    <s v="South-South"/>
    <x v="1"/>
    <s v="Home Theatre System"/>
    <n v="7"/>
    <n v="5170"/>
    <n v="0"/>
    <n v="36190"/>
    <n v="36190"/>
    <n v="0"/>
    <x v="0"/>
    <s v="Chidera Bello"/>
    <x v="0"/>
    <x v="9"/>
    <x v="0"/>
  </r>
  <r>
    <s v="TXN-01156"/>
    <d v="2025-11-02T00:00:00"/>
    <x v="6"/>
    <s v="South-South"/>
    <x v="0"/>
    <s v="Hair Relaxer Kit"/>
    <n v="2"/>
    <n v="25110"/>
    <n v="15"/>
    <n v="42687"/>
    <n v="50220"/>
    <n v="7533"/>
    <x v="1"/>
    <s v="Tunde Balogun"/>
    <x v="0"/>
    <x v="3"/>
    <x v="1"/>
  </r>
  <r>
    <s v="TXN-01477"/>
    <d v="2025-10-17T00:00:00"/>
    <x v="3"/>
    <s v="South-South"/>
    <x v="0"/>
    <s v="Body Lotion 400ml"/>
    <n v="1"/>
    <n v="3970"/>
    <n v="0"/>
    <n v="3970"/>
    <n v="3970"/>
    <n v="0"/>
    <x v="2"/>
    <s v="Tunde Balogun"/>
    <x v="0"/>
    <x v="6"/>
    <x v="1"/>
  </r>
  <r>
    <s v="TXN-00710"/>
    <d v="2025-02-21T00:00:00"/>
    <x v="6"/>
    <s v="South-South"/>
    <x v="1"/>
    <s v="Microwave Oven"/>
    <n v="3"/>
    <n v="1180"/>
    <n v="0"/>
    <n v="3540"/>
    <n v="3540"/>
    <n v="0"/>
    <x v="1"/>
    <s v="Uche Okoro"/>
    <x v="0"/>
    <x v="8"/>
    <x v="1"/>
  </r>
  <r>
    <s v="TXN-00647"/>
    <d v="2025-05-12T00:00:00"/>
    <x v="6"/>
    <s v="South-South"/>
    <x v="3"/>
    <s v="Denim Jeans"/>
    <n v="7"/>
    <n v="44890"/>
    <n v="0"/>
    <n v="314230"/>
    <n v="314230"/>
    <n v="0"/>
    <x v="1"/>
    <s v="Chidera Bello"/>
    <x v="0"/>
    <x v="5"/>
    <x v="0"/>
  </r>
  <r>
    <s v="TXN-01002"/>
    <d v="2025-12-02T00:00:00"/>
    <x v="1"/>
    <s v="South-West"/>
    <x v="3"/>
    <s v="Office Blazer"/>
    <n v="5"/>
    <n v="5230"/>
    <n v="10"/>
    <n v="23535"/>
    <n v="26150"/>
    <n v="2615"/>
    <x v="1"/>
    <s v="Amaka Onwuka"/>
    <x v="0"/>
    <x v="11"/>
    <x v="0"/>
  </r>
  <r>
    <s v="TXN-00736"/>
    <d v="2025-04-18T00:00:00"/>
    <x v="3"/>
    <s v="South-South"/>
    <x v="4"/>
    <s v="Vegetable Oil 5L"/>
    <n v="11"/>
    <n v="500"/>
    <n v="5"/>
    <n v="5225"/>
    <n v="5500"/>
    <n v="275"/>
    <x v="3"/>
    <s v="Kelechi Nwosu"/>
    <x v="0"/>
    <x v="4"/>
    <x v="0"/>
  </r>
  <r>
    <s v="TXN-00401"/>
    <d v="2025-08-03T00:00:00"/>
    <x v="4"/>
    <s v="North-West"/>
    <x v="4"/>
    <s v="Rice Cooker"/>
    <n v="11"/>
    <n v="51530"/>
    <n v="10"/>
    <n v="510147"/>
    <n v="566830"/>
    <n v="56683"/>
    <x v="1"/>
    <s v="Uche Okoro"/>
    <x v="0"/>
    <x v="2"/>
    <x v="0"/>
  </r>
  <r>
    <s v="TXN-01170"/>
    <d v="2025-04-04T00:00:00"/>
    <x v="4"/>
    <s v="North-West"/>
    <x v="3"/>
    <s v="Kids Sneakers"/>
    <n v="1"/>
    <n v="4700"/>
    <n v="0"/>
    <n v="4700"/>
    <n v="4700"/>
    <n v="0"/>
    <x v="3"/>
    <s v="Peter Adekunle"/>
    <x v="0"/>
    <x v="4"/>
    <x v="1"/>
  </r>
  <r>
    <s v="TXN-00933"/>
    <d v="2025-03-22T00:00:00"/>
    <x v="3"/>
    <s v="South-South"/>
    <x v="4"/>
    <s v="Sugar 1kg"/>
    <n v="2"/>
    <n v="5240"/>
    <n v="0"/>
    <n v="10480"/>
    <n v="10480"/>
    <n v="0"/>
    <x v="1"/>
    <s v="Obinna Yusuf"/>
    <x v="0"/>
    <x v="9"/>
    <x v="0"/>
  </r>
  <r>
    <s v="TXN-00960"/>
    <d v="2025-02-27T00:00:00"/>
    <x v="5"/>
    <s v="South-West"/>
    <x v="4"/>
    <s v="Bathing Soap Pack"/>
    <n v="2"/>
    <n v="3650"/>
    <n v="0"/>
    <n v="7300"/>
    <n v="7300"/>
    <n v="0"/>
    <x v="3"/>
    <s v="Ade Abubakar"/>
    <x v="0"/>
    <x v="8"/>
    <x v="0"/>
  </r>
  <r>
    <s v="TXN-01003"/>
    <d v="2025-03-10T00:00:00"/>
    <x v="0"/>
    <s v="North-Central"/>
    <x v="0"/>
    <s v="Body Lotion 400ml"/>
    <n v="3"/>
    <n v="3260"/>
    <n v="0"/>
    <n v="9780"/>
    <n v="9780"/>
    <n v="0"/>
    <x v="3"/>
    <s v="Ade Abubakar"/>
    <x v="0"/>
    <x v="9"/>
    <x v="1"/>
  </r>
  <r>
    <s v="TXN-01432"/>
    <d v="2025-05-19T00:00:00"/>
    <x v="0"/>
    <s v="North-Central"/>
    <x v="4"/>
    <s v="Milo 500g"/>
    <n v="9"/>
    <n v="9620"/>
    <n v="5"/>
    <n v="82251"/>
    <n v="86580"/>
    <n v="4329"/>
    <x v="3"/>
    <s v="Ifeoma Adeyemi"/>
    <x v="0"/>
    <x v="5"/>
    <x v="1"/>
  </r>
  <r>
    <s v="TXN-00706"/>
    <d v="2025-08-05T00:00:00"/>
    <x v="1"/>
    <s v="South-West"/>
    <x v="1"/>
    <s v="Bluetooth Speaker"/>
    <n v="3"/>
    <n v="18060"/>
    <n v="5"/>
    <n v="51471"/>
    <n v="54180"/>
    <n v="2709"/>
    <x v="2"/>
    <s v="Peter Adekunle"/>
    <x v="0"/>
    <x v="2"/>
    <x v="0"/>
  </r>
  <r>
    <s v="TXN-01446"/>
    <d v="2025-01-13T00:00:00"/>
    <x v="0"/>
    <s v="North-Central"/>
    <x v="1"/>
    <s v="Power Bank 20000mAh"/>
    <n v="8"/>
    <n v="12060"/>
    <n v="10"/>
    <n v="86832"/>
    <n v="96480"/>
    <n v="9648"/>
    <x v="0"/>
    <s v="Tunde Balogun"/>
    <x v="0"/>
    <x v="7"/>
    <x v="1"/>
  </r>
  <r>
    <s v="TXN-01263"/>
    <d v="2025-11-28T00:00:00"/>
    <x v="0"/>
    <s v="North-Central"/>
    <x v="0"/>
    <s v="Body Lotion 400ml"/>
    <n v="3"/>
    <n v="1250"/>
    <n v="5"/>
    <n v="3562.5"/>
    <n v="3750"/>
    <n v="187.5"/>
    <x v="1"/>
    <s v="Kelechi Nwosu"/>
    <x v="0"/>
    <x v="3"/>
    <x v="1"/>
  </r>
  <r>
    <s v="TXN-00014"/>
    <d v="2025-07-02T00:00:00"/>
    <x v="4"/>
    <s v="South-West"/>
    <x v="4"/>
    <s v="Milo 500g"/>
    <n v="10"/>
    <n v="1080"/>
    <n v="0"/>
    <n v="10800"/>
    <n v="10800"/>
    <n v="0"/>
    <x v="2"/>
    <s v="Tunde Balogun"/>
    <x v="0"/>
    <x v="10"/>
    <x v="1"/>
  </r>
  <r>
    <s v="TXN-01097"/>
    <d v="2025-12-27T00:00:00"/>
    <x v="2"/>
    <s v="South-East"/>
    <x v="0"/>
    <s v="Body Lotion 400ml"/>
    <n v="10"/>
    <n v="3460"/>
    <n v="0"/>
    <n v="34600"/>
    <n v="34600"/>
    <n v="0"/>
    <x v="2"/>
    <s v="Peter Adekunle"/>
    <x v="0"/>
    <x v="11"/>
    <x v="0"/>
  </r>
  <r>
    <s v="TXN-00149"/>
    <d v="2025-04-20T00:00:00"/>
    <x v="6"/>
    <s v="South-South"/>
    <x v="4"/>
    <s v="Spaghetti Pack"/>
    <n v="8"/>
    <n v="26560"/>
    <n v="15"/>
    <n v="180608"/>
    <n v="212480"/>
    <n v="31872"/>
    <x v="2"/>
    <s v="Chinwe Etim"/>
    <x v="0"/>
    <x v="4"/>
    <x v="0"/>
  </r>
  <r>
    <s v="TXN-00609"/>
    <d v="2025-12-27T00:00:00"/>
    <x v="1"/>
    <s v="South-West"/>
    <x v="2"/>
    <s v="Bedsheet Set"/>
    <n v="7"/>
    <n v="58840"/>
    <n v="0"/>
    <n v="411880"/>
    <n v="411880"/>
    <n v="0"/>
    <x v="2"/>
    <s v="Peter Adekunle"/>
    <x v="0"/>
    <x v="11"/>
    <x v="0"/>
  </r>
  <r>
    <s v="TXN-01042"/>
    <d v="2025-04-13T00:00:00"/>
    <x v="0"/>
    <s v="North-Central"/>
    <x v="4"/>
    <s v="Indomie Carton"/>
    <n v="3"/>
    <n v="72670"/>
    <n v="5"/>
    <n v="207109.5"/>
    <n v="218010"/>
    <n v="10900.5"/>
    <x v="2"/>
    <s v="Mary Nnamdi"/>
    <x v="0"/>
    <x v="4"/>
    <x v="1"/>
  </r>
  <r>
    <s v="TXN-00664"/>
    <d v="2025-11-09T00:00:00"/>
    <x v="4"/>
    <s v="North-West"/>
    <x v="1"/>
    <s v="Rice Cooker"/>
    <n v="9"/>
    <n v="8430"/>
    <n v="0"/>
    <n v="75870"/>
    <n v="75870"/>
    <n v="0"/>
    <x v="2"/>
    <s v="Tunde Balogun"/>
    <x v="0"/>
    <x v="3"/>
    <x v="0"/>
  </r>
  <r>
    <s v="TXN-00390"/>
    <d v="2025-03-01T00:00:00"/>
    <x v="2"/>
    <s v="South-East"/>
    <x v="0"/>
    <s v="Baby Diaper Pack"/>
    <n v="1"/>
    <n v="9300"/>
    <n v="0"/>
    <n v="9300"/>
    <n v="9300"/>
    <n v="0"/>
    <x v="0"/>
    <s v="Segun Chukwu"/>
    <x v="0"/>
    <x v="9"/>
    <x v="0"/>
  </r>
  <r>
    <s v="TXN-00299"/>
    <d v="2025-09-01T00:00:00"/>
    <x v="0"/>
    <s v="North-Central"/>
    <x v="3"/>
    <s v="School Sandals"/>
    <n v="1"/>
    <n v="7600"/>
    <n v="0"/>
    <n v="7600"/>
    <n v="7600"/>
    <n v="0"/>
    <x v="1"/>
    <s v="Kelechi Nwosu"/>
    <x v="0"/>
    <x v="0"/>
    <x v="1"/>
  </r>
  <r>
    <s v="TXN-01497"/>
    <d v="2025-12-09T00:00:00"/>
    <x v="6"/>
    <s v="South-South"/>
    <x v="2"/>
    <s v="Bedsheet Set"/>
    <n v="6"/>
    <n v="16980"/>
    <n v="0"/>
    <n v="101880"/>
    <n v="101880"/>
    <n v="0"/>
    <x v="1"/>
    <s v="Obinna Yusuf"/>
    <x v="0"/>
    <x v="11"/>
    <x v="0"/>
  </r>
  <r>
    <s v="TXN-00047"/>
    <d v="2025-02-21T00:00:00"/>
    <x v="6"/>
    <s v="South-South"/>
    <x v="3"/>
    <s v="Handbag"/>
    <n v="3"/>
    <n v="13690"/>
    <n v="15"/>
    <n v="34909.5"/>
    <n v="41070"/>
    <n v="6160.5"/>
    <x v="3"/>
    <s v="Funmi Eze"/>
    <x v="0"/>
    <x v="8"/>
    <x v="0"/>
  </r>
  <r>
    <s v="TXN-01400"/>
    <d v="2025-08-20T00:00:00"/>
    <x v="2"/>
    <s v="South-East"/>
    <x v="0"/>
    <s v="Perfume 100ml"/>
    <n v="6"/>
    <n v="23290"/>
    <n v="0"/>
    <n v="139740"/>
    <n v="139740"/>
    <n v="0"/>
    <x v="3"/>
    <s v="Funmi Eze"/>
    <x v="0"/>
    <x v="2"/>
    <x v="1"/>
  </r>
  <r>
    <s v="TXN-00813"/>
    <d v="2025-04-19T00:00:00"/>
    <x v="1"/>
    <s v="South-West"/>
    <x v="2"/>
    <s v="Curtain Set"/>
    <n v="9"/>
    <n v="13110"/>
    <n v="5"/>
    <n v="112090.5"/>
    <n v="117990"/>
    <n v="5899.5"/>
    <x v="1"/>
    <s v="Ifeoma Adeyemi"/>
    <x v="0"/>
    <x v="4"/>
    <x v="0"/>
  </r>
  <r>
    <s v="TXN-00366"/>
    <d v="2025-08-11T00:00:00"/>
    <x v="2"/>
    <s v="South-East"/>
    <x v="1"/>
    <s v="Power Bank 20000mAh"/>
    <n v="12"/>
    <n v="2400"/>
    <n v="10"/>
    <n v="25920"/>
    <n v="28800"/>
    <n v="2880"/>
    <x v="3"/>
    <s v="Amaka Onwuka"/>
    <x v="0"/>
    <x v="2"/>
    <x v="1"/>
  </r>
  <r>
    <s v="TXN-00845"/>
    <d v="2025-04-05T00:00:00"/>
    <x v="5"/>
    <s v="South-West"/>
    <x v="1"/>
    <s v="Rice Cooker"/>
    <n v="1"/>
    <n v="2400"/>
    <n v="0"/>
    <n v="2400"/>
    <n v="2400"/>
    <n v="0"/>
    <x v="2"/>
    <s v="Chidera Bello"/>
    <x v="0"/>
    <x v="4"/>
    <x v="0"/>
  </r>
  <r>
    <s v="TXN-01296"/>
    <d v="2025-06-21T00:00:00"/>
    <x v="1"/>
    <s v="South-West"/>
    <x v="3"/>
    <s v="Ladies Ankara Gown"/>
    <n v="10"/>
    <n v="2400"/>
    <n v="10"/>
    <n v="21600"/>
    <n v="24000"/>
    <n v="2400"/>
    <x v="1"/>
    <s v="Mary Nnamdi"/>
    <x v="0"/>
    <x v="1"/>
    <x v="0"/>
  </r>
  <r>
    <s v="TXN-00345"/>
    <d v="2025-04-25T00:00:00"/>
    <x v="4"/>
    <s v="North-West"/>
    <x v="2"/>
    <s v="Laundry Basket"/>
    <n v="9"/>
    <n v="24400"/>
    <n v="0"/>
    <n v="219600"/>
    <n v="219600"/>
    <n v="0"/>
    <x v="0"/>
    <s v="Ifeoma Adeyemi"/>
    <x v="0"/>
    <x v="4"/>
    <x v="1"/>
  </r>
  <r>
    <s v="TXN-00959"/>
    <d v="2025-05-10T00:00:00"/>
    <x v="0"/>
    <s v="North-Central"/>
    <x v="3"/>
    <s v="School Sandals"/>
    <n v="8"/>
    <n v="1160"/>
    <n v="0"/>
    <n v="9280"/>
    <n v="9280"/>
    <n v="0"/>
    <x v="0"/>
    <s v="Segun Chukwu"/>
    <x v="0"/>
    <x v="5"/>
    <x v="1"/>
  </r>
  <r>
    <s v="TXN-01500"/>
    <d v="2025-09-19T00:00:00"/>
    <x v="3"/>
    <s v="South-South"/>
    <x v="4"/>
    <s v="Perfume 100ml"/>
    <n v="8"/>
    <n v="1140"/>
    <n v="5"/>
    <n v="8664"/>
    <n v="9120"/>
    <n v="456"/>
    <x v="2"/>
    <s v="Mary Nnamdi"/>
    <x v="0"/>
    <x v="0"/>
    <x v="1"/>
  </r>
  <r>
    <s v="TXN-01458"/>
    <d v="2025-07-03T00:00:00"/>
    <x v="1"/>
    <s v="South-West"/>
    <x v="1"/>
    <s v="LED TV 43&quot;"/>
    <n v="4"/>
    <n v="5580"/>
    <n v="10"/>
    <n v="20088"/>
    <n v="22320"/>
    <n v="2232"/>
    <x v="3"/>
    <s v="Ngozi Ibrahim"/>
    <x v="0"/>
    <x v="10"/>
    <x v="0"/>
  </r>
  <r>
    <s v="TXN-00546"/>
    <d v="2025-03-03T00:00:00"/>
    <x v="0"/>
    <s v="North-Central"/>
    <x v="4"/>
    <s v="Sugar 1kg"/>
    <n v="5"/>
    <n v="10940"/>
    <n v="0"/>
    <n v="54700"/>
    <n v="54700"/>
    <n v="0"/>
    <x v="0"/>
    <s v="Ifeoma Adeyemi"/>
    <x v="0"/>
    <x v="9"/>
    <x v="1"/>
  </r>
  <r>
    <s v="TXN-00033"/>
    <d v="2025-05-13T00:00:00"/>
    <x v="2"/>
    <s v="South-East"/>
    <x v="3"/>
    <s v="Office Blazer"/>
    <n v="4"/>
    <n v="7090"/>
    <n v="15"/>
    <n v="24106"/>
    <n v="28360"/>
    <n v="4254"/>
    <x v="2"/>
    <s v="Ifeoma Adeyemi"/>
    <x v="0"/>
    <x v="5"/>
    <x v="1"/>
  </r>
  <r>
    <s v="TXN-01486"/>
    <d v="2025-06-22T00:00:00"/>
    <x v="6"/>
    <s v="South-South"/>
    <x v="4"/>
    <s v="Milo 500g"/>
    <n v="8"/>
    <n v="18320"/>
    <n v="0"/>
    <n v="146560"/>
    <n v="146560"/>
    <n v="0"/>
    <x v="2"/>
    <s v="Ngozi Ibrahim"/>
    <x v="0"/>
    <x v="1"/>
    <x v="1"/>
  </r>
  <r>
    <s v="TXN-00201"/>
    <d v="2025-09-17T00:00:00"/>
    <x v="4"/>
    <s v="North-West"/>
    <x v="4"/>
    <s v="Vegetable Oil 5L"/>
    <n v="5"/>
    <n v="7200"/>
    <n v="0"/>
    <n v="36000"/>
    <n v="36000"/>
    <n v="0"/>
    <x v="2"/>
    <s v="Mary Nnamdi"/>
    <x v="0"/>
    <x v="0"/>
    <x v="1"/>
  </r>
  <r>
    <s v="TXN-01182"/>
    <d v="2025-01-06T00:00:00"/>
    <x v="6"/>
    <s v="South-South"/>
    <x v="1"/>
    <s v="Standing Fan"/>
    <n v="12"/>
    <n v="8730"/>
    <n v="15"/>
    <n v="89046"/>
    <n v="104760"/>
    <n v="15714"/>
    <x v="3"/>
    <s v="Obinna Yusuf"/>
    <x v="0"/>
    <x v="7"/>
    <x v="0"/>
  </r>
  <r>
    <s v="TXN-00730"/>
    <d v="2025-01-11T00:00:00"/>
    <x v="4"/>
    <s v="North-West"/>
    <x v="4"/>
    <s v="Rice 50kg Bag"/>
    <n v="3"/>
    <n v="12550"/>
    <n v="0"/>
    <n v="37650"/>
    <n v="37650"/>
    <n v="0"/>
    <x v="2"/>
    <s v="Peter Adekunle"/>
    <x v="0"/>
    <x v="7"/>
    <x v="1"/>
  </r>
  <r>
    <s v="TXN-00352"/>
    <d v="2025-06-30T00:00:00"/>
    <x v="5"/>
    <s v="South-West"/>
    <x v="2"/>
    <s v="Plastic Chair Set"/>
    <n v="10"/>
    <n v="73800"/>
    <n v="15"/>
    <n v="627300"/>
    <n v="738000"/>
    <n v="110700"/>
    <x v="3"/>
    <s v="Chinwe Etim"/>
    <x v="0"/>
    <x v="1"/>
    <x v="0"/>
  </r>
  <r>
    <s v="TXN-00107"/>
    <d v="2025-10-26T00:00:00"/>
    <x v="5"/>
    <s v="South-West"/>
    <x v="1"/>
    <s v="Microwave Oven"/>
    <n v="6"/>
    <n v="13060"/>
    <n v="10"/>
    <n v="70524"/>
    <n v="78360"/>
    <n v="7836"/>
    <x v="3"/>
    <s v="Obinna Yusuf"/>
    <x v="0"/>
    <x v="6"/>
    <x v="0"/>
  </r>
  <r>
    <s v="TXN-01223"/>
    <d v="2025-02-16T00:00:00"/>
    <x v="2"/>
    <s v="South-East"/>
    <x v="1"/>
    <s v="Standing Fan"/>
    <n v="3"/>
    <n v="2490"/>
    <n v="15"/>
    <n v="6349.5"/>
    <n v="7470"/>
    <n v="1120.5"/>
    <x v="3"/>
    <s v="Chidera Bello"/>
    <x v="0"/>
    <x v="8"/>
    <x v="0"/>
  </r>
  <r>
    <s v="TXN-01319"/>
    <d v="2025-11-03T00:00:00"/>
    <x v="3"/>
    <s v="South-South"/>
    <x v="1"/>
    <s v="Electric Kettle"/>
    <n v="2"/>
    <n v="43560"/>
    <n v="0"/>
    <n v="87120"/>
    <n v="87120"/>
    <n v="0"/>
    <x v="3"/>
    <s v="Obinna Yusuf"/>
    <x v="0"/>
    <x v="3"/>
    <x v="0"/>
  </r>
  <r>
    <s v="TXN-01460"/>
    <d v="2025-01-06T00:00:00"/>
    <x v="6"/>
    <s v="South-South"/>
    <x v="1"/>
    <s v="Bluetooth Speaker"/>
    <n v="5"/>
    <n v="470"/>
    <n v="10"/>
    <n v="2115"/>
    <n v="2350"/>
    <n v="235"/>
    <x v="2"/>
    <s v="Amaka Onwuka"/>
    <x v="0"/>
    <x v="7"/>
    <x v="0"/>
  </r>
  <r>
    <s v="TXN-00342"/>
    <d v="2025-09-20T00:00:00"/>
    <x v="1"/>
    <s v="South-West"/>
    <x v="4"/>
    <s v="Milo 500g"/>
    <n v="8"/>
    <n v="1240"/>
    <n v="0"/>
    <n v="9920"/>
    <n v="9920"/>
    <n v="0"/>
    <x v="2"/>
    <s v="Ngozi Ibrahim"/>
    <x v="0"/>
    <x v="0"/>
    <x v="0"/>
  </r>
  <r>
    <s v="TXN-01440"/>
    <d v="2025-12-07T00:00:00"/>
    <x v="0"/>
    <s v="North-Central"/>
    <x v="1"/>
    <s v="Power Bank 20000mAh"/>
    <n v="7"/>
    <n v="74730"/>
    <n v="0"/>
    <n v="523110"/>
    <n v="523110"/>
    <n v="0"/>
    <x v="0"/>
    <s v="Chidera Bello"/>
    <x v="0"/>
    <x v="11"/>
    <x v="1"/>
  </r>
  <r>
    <s v="TXN-00115"/>
    <d v="2025-11-17T00:00:00"/>
    <x v="5"/>
    <s v="South-West"/>
    <x v="0"/>
    <s v="Toothpaste Pack"/>
    <n v="10"/>
    <n v="4580"/>
    <n v="0"/>
    <n v="45800"/>
    <n v="45800"/>
    <n v="0"/>
    <x v="0"/>
    <s v="Obinna Yusuf"/>
    <x v="0"/>
    <x v="3"/>
    <x v="1"/>
  </r>
  <r>
    <s v="TXN-01217"/>
    <d v="2025-01-24T00:00:00"/>
    <x v="5"/>
    <s v="South-West"/>
    <x v="1"/>
    <s v="Standing Fan"/>
    <n v="10"/>
    <n v="3520"/>
    <n v="0"/>
    <n v="35200"/>
    <n v="35200"/>
    <n v="0"/>
    <x v="2"/>
    <s v="Mary Nnamdi"/>
    <x v="0"/>
    <x v="7"/>
    <x v="0"/>
  </r>
  <r>
    <s v="TXN-01441"/>
    <d v="2025-10-01T00:00:00"/>
    <x v="6"/>
    <s v="South-South"/>
    <x v="0"/>
    <s v="Shea Butter Cream"/>
    <n v="6"/>
    <n v="3430"/>
    <n v="5"/>
    <n v="19551"/>
    <n v="20580"/>
    <n v="1029"/>
    <x v="3"/>
    <s v="Funmi Eze"/>
    <x v="0"/>
    <x v="6"/>
    <x v="1"/>
  </r>
  <r>
    <s v="TXN-01326"/>
    <d v="2025-12-20T00:00:00"/>
    <x v="5"/>
    <s v="South-West"/>
    <x v="0"/>
    <s v="Shea Butter Cream"/>
    <n v="10"/>
    <n v="28530"/>
    <n v="0"/>
    <n v="285300"/>
    <n v="285300"/>
    <n v="0"/>
    <x v="0"/>
    <s v="Segun Chukwu"/>
    <x v="0"/>
    <x v="11"/>
    <x v="1"/>
  </r>
  <r>
    <s v="TXN-00684"/>
    <d v="2025-10-24T00:00:00"/>
    <x v="4"/>
    <s v="North-West"/>
    <x v="0"/>
    <s v="Baby Diaper Pack"/>
    <n v="11"/>
    <n v="7540"/>
    <n v="0"/>
    <n v="82940"/>
    <n v="82940"/>
    <n v="0"/>
    <x v="2"/>
    <s v="Mary Nnamdi"/>
    <x v="0"/>
    <x v="6"/>
    <x v="0"/>
  </r>
  <r>
    <s v="TXN-00175"/>
    <d v="2025-02-11T00:00:00"/>
    <x v="2"/>
    <s v="South-West"/>
    <x v="0"/>
    <s v="Bathing Soap Pack"/>
    <n v="11"/>
    <n v="480"/>
    <n v="10"/>
    <n v="4752"/>
    <n v="5280"/>
    <n v="528"/>
    <x v="0"/>
    <s v="Ngozi Ibrahim"/>
    <x v="0"/>
    <x v="8"/>
    <x v="0"/>
  </r>
  <r>
    <s v="TXN-00981"/>
    <d v="2025-03-14T00:00:00"/>
    <x v="3"/>
    <s v="South-South"/>
    <x v="1"/>
    <s v="Bluetooth Speaker"/>
    <n v="11"/>
    <n v="1260"/>
    <n v="0"/>
    <n v="13860"/>
    <n v="13860"/>
    <n v="0"/>
    <x v="0"/>
    <s v="Tunde Balogun"/>
    <x v="0"/>
    <x v="9"/>
    <x v="1"/>
  </r>
  <r>
    <s v="TXN-01024"/>
    <d v="2025-10-23T00:00:00"/>
    <x v="1"/>
    <s v="South-West"/>
    <x v="2"/>
    <s v="Curtain Set"/>
    <n v="11"/>
    <n v="520"/>
    <n v="0"/>
    <n v="5720"/>
    <n v="5720"/>
    <n v="0"/>
    <x v="1"/>
    <s v="Obinna Yusuf"/>
    <x v="0"/>
    <x v="6"/>
    <x v="1"/>
  </r>
  <r>
    <s v="TXN-01368"/>
    <d v="2025-11-21T00:00:00"/>
    <x v="4"/>
    <s v="North-West"/>
    <x v="0"/>
    <s v="Perfume 100ml"/>
    <n v="12"/>
    <n v="8650"/>
    <n v="0"/>
    <n v="103800"/>
    <n v="103800"/>
    <n v="0"/>
    <x v="3"/>
    <s v="Segun Chukwu"/>
    <x v="0"/>
    <x v="3"/>
    <x v="1"/>
  </r>
  <r>
    <s v="TXN-00657"/>
    <d v="2025-11-12T00:00:00"/>
    <x v="2"/>
    <s v="South-East"/>
    <x v="2"/>
    <s v="Storage Basket"/>
    <n v="8"/>
    <n v="26460"/>
    <n v="0"/>
    <n v="211680"/>
    <n v="211680"/>
    <n v="0"/>
    <x v="3"/>
    <s v="Kelechi Nwosu"/>
    <x v="0"/>
    <x v="3"/>
    <x v="0"/>
  </r>
  <r>
    <s v="TXN-01467"/>
    <d v="2025-08-19T00:00:00"/>
    <x v="6"/>
    <s v="South-South"/>
    <x v="4"/>
    <s v="Milo 500g"/>
    <n v="8"/>
    <n v="8340"/>
    <n v="10"/>
    <n v="60048"/>
    <n v="66720"/>
    <n v="6672"/>
    <x v="2"/>
    <s v="Ifeoma Adeyemi"/>
    <x v="0"/>
    <x v="2"/>
    <x v="1"/>
  </r>
  <r>
    <s v="TXN-01065"/>
    <d v="2025-03-21T00:00:00"/>
    <x v="4"/>
    <s v="North-West"/>
    <x v="1"/>
    <s v="Power Bank 20000mAh"/>
    <n v="2"/>
    <n v="1080"/>
    <n v="5"/>
    <n v="2052"/>
    <n v="2160"/>
    <n v="108"/>
    <x v="3"/>
    <s v="Obinna Yusuf"/>
    <x v="0"/>
    <x v="9"/>
    <x v="1"/>
  </r>
  <r>
    <s v="TXN-00050"/>
    <d v="2025-08-25T00:00:00"/>
    <x v="5"/>
    <s v="South-West"/>
    <x v="1"/>
    <s v="Electric Kettle"/>
    <n v="3"/>
    <n v="13540"/>
    <n v="5"/>
    <n v="38589"/>
    <n v="40620"/>
    <n v="2031"/>
    <x v="0"/>
    <s v="Mary Nnamdi"/>
    <x v="0"/>
    <x v="2"/>
    <x v="0"/>
  </r>
  <r>
    <s v="TXN-00528"/>
    <d v="2025-03-08T00:00:00"/>
    <x v="2"/>
    <s v="South-East"/>
    <x v="4"/>
    <s v="Vegetable Oil 5L"/>
    <n v="5"/>
    <n v="5010"/>
    <n v="0"/>
    <n v="25050"/>
    <n v="25050"/>
    <n v="0"/>
    <x v="2"/>
    <s v="Ade Abubakar"/>
    <x v="0"/>
    <x v="9"/>
    <x v="0"/>
  </r>
  <r>
    <s v="TXN-00873"/>
    <d v="2025-09-18T00:00:00"/>
    <x v="3"/>
    <s v="South-South"/>
    <x v="2"/>
    <s v="Cleaning Mop"/>
    <n v="4"/>
    <n v="9320"/>
    <n v="10"/>
    <n v="33552"/>
    <n v="37280"/>
    <n v="3728"/>
    <x v="3"/>
    <s v="Mary Nnamdi"/>
    <x v="0"/>
    <x v="0"/>
    <x v="1"/>
  </r>
  <r>
    <s v="TXN-00095"/>
    <d v="2025-01-26T00:00:00"/>
    <x v="3"/>
    <s v="South-South"/>
    <x v="4"/>
    <s v="Electric Kettle"/>
    <n v="6"/>
    <n v="3340"/>
    <n v="0"/>
    <n v="20040"/>
    <n v="20040"/>
    <n v="0"/>
    <x v="0"/>
    <s v="Chidera Bello"/>
    <x v="0"/>
    <x v="7"/>
    <x v="1"/>
  </r>
  <r>
    <s v="TXN-00453"/>
    <d v="2025-08-11T00:00:00"/>
    <x v="2"/>
    <s v="South-East"/>
    <x v="4"/>
    <s v="Semovita 2kg"/>
    <n v="6"/>
    <n v="45920"/>
    <n v="0"/>
    <n v="275520"/>
    <n v="275520"/>
    <n v="0"/>
    <x v="2"/>
    <s v="Ade Abubakar"/>
    <x v="0"/>
    <x v="2"/>
    <x v="1"/>
  </r>
  <r>
    <s v="TXN-00456"/>
    <d v="2025-01-05T00:00:00"/>
    <x v="4"/>
    <s v="North-West"/>
    <x v="4"/>
    <s v="Power Bank 20000mAh"/>
    <n v="3"/>
    <n v="3260"/>
    <n v="5"/>
    <n v="9291"/>
    <n v="9780"/>
    <n v="489"/>
    <x v="2"/>
    <s v="Ifeoma Adeyemi"/>
    <x v="0"/>
    <x v="7"/>
    <x v="0"/>
  </r>
  <r>
    <s v="TXN-00634"/>
    <d v="2025-10-18T00:00:00"/>
    <x v="6"/>
    <s v="South-South"/>
    <x v="2"/>
    <s v="Dinner Set"/>
    <n v="5"/>
    <n v="2570"/>
    <n v="5"/>
    <n v="12207.5"/>
    <n v="12850"/>
    <n v="642.5"/>
    <x v="2"/>
    <s v="Peter Adekunle"/>
    <x v="0"/>
    <x v="6"/>
    <x v="0"/>
  </r>
  <r>
    <s v="TXN-00153"/>
    <d v="2025-08-06T00:00:00"/>
    <x v="0"/>
    <s v="North-Central"/>
    <x v="4"/>
    <s v="Power Bank 20000mAh"/>
    <n v="10"/>
    <n v="17670"/>
    <n v="0"/>
    <n v="176700"/>
    <n v="176700"/>
    <n v="0"/>
    <x v="2"/>
    <s v="Mary Nnamdi"/>
    <x v="0"/>
    <x v="2"/>
    <x v="0"/>
  </r>
  <r>
    <s v="TXN-00238"/>
    <d v="2025-06-30T00:00:00"/>
    <x v="0"/>
    <s v="North-Central"/>
    <x v="1"/>
    <s v="Electric Kettle"/>
    <n v="6"/>
    <n v="48390"/>
    <n v="0"/>
    <n v="290340"/>
    <n v="290340"/>
    <n v="0"/>
    <x v="3"/>
    <s v="Funmi Eze"/>
    <x v="0"/>
    <x v="1"/>
    <x v="0"/>
  </r>
  <r>
    <s v="TXN-00232"/>
    <d v="2025-10-10T00:00:00"/>
    <x v="1"/>
    <s v="South-West"/>
    <x v="3"/>
    <s v="Office Blazer"/>
    <n v="4"/>
    <n v="44970"/>
    <n v="0"/>
    <n v="179880"/>
    <n v="179880"/>
    <n v="0"/>
    <x v="0"/>
    <s v="Peter Adekunle"/>
    <x v="0"/>
    <x v="6"/>
    <x v="1"/>
  </r>
  <r>
    <s v="TXN-01039"/>
    <d v="2025-01-18T00:00:00"/>
    <x v="3"/>
    <s v="South-South"/>
    <x v="4"/>
    <s v="Milo 500g"/>
    <n v="3"/>
    <n v="3880"/>
    <n v="0"/>
    <n v="11640"/>
    <n v="11640"/>
    <n v="0"/>
    <x v="1"/>
    <s v="Uche Okoro"/>
    <x v="0"/>
    <x v="7"/>
    <x v="0"/>
  </r>
  <r>
    <s v="TXN-00891"/>
    <d v="2025-06-24T00:00:00"/>
    <x v="5"/>
    <s v="South-West"/>
    <x v="4"/>
    <s v="Milo 500g"/>
    <n v="4"/>
    <n v="3910"/>
    <n v="0"/>
    <n v="15640"/>
    <n v="15640"/>
    <n v="0"/>
    <x v="3"/>
    <s v="Mary Nnamdi"/>
    <x v="0"/>
    <x v="1"/>
    <x v="1"/>
  </r>
  <r>
    <s v="TXN-01111"/>
    <d v="2025-03-29T00:00:00"/>
    <x v="3"/>
    <s v="South-South"/>
    <x v="1"/>
    <s v="Standing Fan"/>
    <n v="1"/>
    <n v="1140"/>
    <n v="0"/>
    <n v="1140"/>
    <n v="1140"/>
    <n v="0"/>
    <x v="2"/>
    <s v="Ngozi Ibrahim"/>
    <x v="0"/>
    <x v="9"/>
    <x v="1"/>
  </r>
  <r>
    <s v="TXN-00880"/>
    <d v="2025-02-22T00:00:00"/>
    <x v="3"/>
    <s v="South-South"/>
    <x v="3"/>
    <s v="Kids Sneakers"/>
    <n v="11"/>
    <n v="3550"/>
    <n v="10"/>
    <n v="35145"/>
    <n v="39050"/>
    <n v="3905"/>
    <x v="0"/>
    <s v="Grace Okafor"/>
    <x v="0"/>
    <x v="8"/>
    <x v="0"/>
  </r>
  <r>
    <s v="TXN-00509"/>
    <d v="2025-01-01T00:00:00"/>
    <x v="6"/>
    <s v="South-South"/>
    <x v="1"/>
    <s v="Bluetooth Speaker"/>
    <n v="7"/>
    <n v="1230"/>
    <n v="0"/>
    <n v="8610"/>
    <n v="8610"/>
    <n v="0"/>
    <x v="2"/>
    <s v="Chidera Bello"/>
    <x v="0"/>
    <x v="7"/>
    <x v="1"/>
  </r>
  <r>
    <s v="TXN-00571"/>
    <d v="2025-06-08T00:00:00"/>
    <x v="4"/>
    <s v="North-West"/>
    <x v="2"/>
    <s v="Storage Basket"/>
    <n v="8"/>
    <n v="71500"/>
    <n v="0"/>
    <n v="572000"/>
    <n v="572000"/>
    <n v="0"/>
    <x v="0"/>
    <s v="Obinna Yusuf"/>
    <x v="0"/>
    <x v="1"/>
    <x v="1"/>
  </r>
  <r>
    <s v="TXN-01066"/>
    <d v="2025-07-27T00:00:00"/>
    <x v="5"/>
    <s v="South-West"/>
    <x v="3"/>
    <s v="Ladies Ankara Gown"/>
    <n v="12"/>
    <n v="8080"/>
    <n v="0"/>
    <n v="96960"/>
    <n v="96960"/>
    <n v="0"/>
    <x v="0"/>
    <s v="Chidera Bello"/>
    <x v="0"/>
    <x v="10"/>
    <x v="1"/>
  </r>
  <r>
    <s v="TXN-00618"/>
    <d v="2025-03-26T00:00:00"/>
    <x v="1"/>
    <s v="South-West"/>
    <x v="0"/>
    <s v="Baby Diaper Pack"/>
    <n v="12"/>
    <n v="3970"/>
    <n v="0"/>
    <n v="47640"/>
    <n v="47640"/>
    <n v="0"/>
    <x v="0"/>
    <s v="Tunde Balogun"/>
    <x v="0"/>
    <x v="9"/>
    <x v="1"/>
  </r>
  <r>
    <s v="TXN-01379"/>
    <d v="2025-06-12T00:00:00"/>
    <x v="4"/>
    <s v="North-West"/>
    <x v="2"/>
    <s v="Plastic Chair Set"/>
    <n v="12"/>
    <n v="17860"/>
    <n v="0"/>
    <n v="214320"/>
    <n v="214320"/>
    <n v="0"/>
    <x v="2"/>
    <s v="Chidera Bello"/>
    <x v="0"/>
    <x v="1"/>
    <x v="1"/>
  </r>
  <r>
    <s v="TXN-00527"/>
    <d v="2025-01-02T00:00:00"/>
    <x v="5"/>
    <s v="South-West"/>
    <x v="3"/>
    <s v="School Sandals"/>
    <n v="10"/>
    <n v="7820"/>
    <n v="0"/>
    <n v="78200"/>
    <n v="78200"/>
    <n v="0"/>
    <x v="2"/>
    <s v="Funmi Eze"/>
    <x v="0"/>
    <x v="7"/>
    <x v="0"/>
  </r>
  <r>
    <s v="TXN-00849"/>
    <d v="2025-07-14T00:00:00"/>
    <x v="4"/>
    <s v="North-West"/>
    <x v="0"/>
    <s v="Perfume 100ml"/>
    <n v="1"/>
    <n v="5130"/>
    <n v="15"/>
    <n v="4360.5"/>
    <n v="5130"/>
    <n v="769.5"/>
    <x v="2"/>
    <s v="Ade Abubakar"/>
    <x v="0"/>
    <x v="10"/>
    <x v="0"/>
  </r>
  <r>
    <s v="TXN-00379"/>
    <d v="2025-09-03T00:00:00"/>
    <x v="3"/>
    <s v="South-South"/>
    <x v="4"/>
    <s v="Microwave Oven"/>
    <n v="11"/>
    <n v="5720"/>
    <n v="15"/>
    <n v="53482"/>
    <n v="62920"/>
    <n v="9438"/>
    <x v="0"/>
    <s v="Chidera Bello"/>
    <x v="0"/>
    <x v="0"/>
    <x v="1"/>
  </r>
  <r>
    <s v="TXN-00642"/>
    <d v="2025-11-02T00:00:00"/>
    <x v="5"/>
    <s v="South-West"/>
    <x v="2"/>
    <s v="Curtain Set"/>
    <n v="11"/>
    <n v="11770"/>
    <n v="0"/>
    <n v="129470"/>
    <n v="129470"/>
    <n v="0"/>
    <x v="3"/>
    <s v="Obinna Yusuf"/>
    <x v="0"/>
    <x v="3"/>
    <x v="0"/>
  </r>
  <r>
    <s v="TXN-00382"/>
    <d v="2025-09-18T00:00:00"/>
    <x v="3"/>
    <s v="South-South"/>
    <x v="4"/>
    <s v="Vegetable Oil 5L"/>
    <n v="3"/>
    <n v="3910"/>
    <n v="0"/>
    <n v="11730"/>
    <n v="11730"/>
    <n v="0"/>
    <x v="2"/>
    <s v="Amaka Onwuka"/>
    <x v="0"/>
    <x v="0"/>
    <x v="0"/>
  </r>
  <r>
    <s v="TXN-00339"/>
    <d v="2025-10-22T00:00:00"/>
    <x v="1"/>
    <s v="South-West"/>
    <x v="2"/>
    <s v="Bedsheet Set"/>
    <n v="1"/>
    <n v="2400"/>
    <n v="15"/>
    <n v="2040"/>
    <n v="2400"/>
    <n v="360"/>
    <x v="2"/>
    <s v="Ade Abubakar"/>
    <x v="0"/>
    <x v="6"/>
    <x v="0"/>
  </r>
  <r>
    <s v="TXN-00658"/>
    <d v="2025-02-09T00:00:00"/>
    <x v="1"/>
    <s v="South-West"/>
    <x v="2"/>
    <s v="Bedsheet Set"/>
    <n v="9"/>
    <n v="4960"/>
    <n v="0"/>
    <n v="44640"/>
    <n v="44640"/>
    <n v="0"/>
    <x v="1"/>
    <s v="Peter Adekunle"/>
    <x v="0"/>
    <x v="8"/>
    <x v="0"/>
  </r>
  <r>
    <s v="TXN-01240"/>
    <d v="2025-05-13T00:00:00"/>
    <x v="2"/>
    <s v="South-East"/>
    <x v="3"/>
    <s v="Denim Jeans"/>
    <n v="7"/>
    <n v="3640"/>
    <n v="10"/>
    <n v="22932"/>
    <n v="25480"/>
    <n v="2548"/>
    <x v="1"/>
    <s v="Mary Nnamdi"/>
    <x v="0"/>
    <x v="5"/>
    <x v="0"/>
  </r>
  <r>
    <s v="TXN-00533"/>
    <d v="2025-11-16T00:00:00"/>
    <x v="6"/>
    <s v="South-South"/>
    <x v="4"/>
    <s v="Bluetooth Speaker"/>
    <n v="2"/>
    <n v="28330"/>
    <n v="0"/>
    <n v="56660"/>
    <n v="56660"/>
    <n v="0"/>
    <x v="2"/>
    <s v="Funmi Eze"/>
    <x v="0"/>
    <x v="3"/>
    <x v="1"/>
  </r>
  <r>
    <s v="TXN-01398"/>
    <d v="2025-07-13T00:00:00"/>
    <x v="5"/>
    <s v="South-West"/>
    <x v="1"/>
    <s v="Power Bank 20000mAh"/>
    <n v="6"/>
    <n v="11890"/>
    <n v="0"/>
    <n v="71340"/>
    <n v="71340"/>
    <n v="0"/>
    <x v="1"/>
    <s v="Grace Okafor"/>
    <x v="0"/>
    <x v="10"/>
    <x v="0"/>
  </r>
  <r>
    <s v="TXN-00945"/>
    <d v="2025-01-26T00:00:00"/>
    <x v="1"/>
    <s v="South-West"/>
    <x v="0"/>
    <s v="Baby Diaper Pack"/>
    <n v="8"/>
    <n v="22850"/>
    <n v="0"/>
    <n v="182800"/>
    <n v="182800"/>
    <n v="0"/>
    <x v="3"/>
    <s v="Amaka Onwuka"/>
    <x v="0"/>
    <x v="7"/>
    <x v="1"/>
  </r>
  <r>
    <s v="TXN-00493"/>
    <d v="2025-01-17T00:00:00"/>
    <x v="5"/>
    <s v="South-West"/>
    <x v="1"/>
    <s v="Power Bank 20000mAh"/>
    <n v="12"/>
    <n v="2500"/>
    <n v="15"/>
    <n v="25500"/>
    <n v="30000"/>
    <n v="4500"/>
    <x v="1"/>
    <s v="Grace Okafor"/>
    <x v="0"/>
    <x v="7"/>
    <x v="0"/>
  </r>
  <r>
    <s v="TXN-01234"/>
    <d v="2025-04-08T00:00:00"/>
    <x v="4"/>
    <s v="North-West"/>
    <x v="1"/>
    <s v="Home Theatre System"/>
    <n v="7"/>
    <n v="8130"/>
    <n v="0"/>
    <n v="56910"/>
    <n v="56910"/>
    <n v="0"/>
    <x v="2"/>
    <s v="Kelechi Nwosu"/>
    <x v="0"/>
    <x v="4"/>
    <x v="1"/>
  </r>
  <r>
    <s v="TXN-00780"/>
    <d v="2025-10-11T00:00:00"/>
    <x v="0"/>
    <s v="South-West"/>
    <x v="4"/>
    <s v="Semovita 2kg"/>
    <n v="7"/>
    <n v="4830"/>
    <n v="5"/>
    <n v="32119.5"/>
    <n v="33810"/>
    <n v="1690.5"/>
    <x v="1"/>
    <s v="Chidera Bello"/>
    <x v="0"/>
    <x v="6"/>
    <x v="1"/>
  </r>
  <r>
    <s v="TXN-00359"/>
    <d v="2025-01-19T00:00:00"/>
    <x v="3"/>
    <s v="South-South"/>
    <x v="3"/>
    <s v="Ladies Ankara Gown"/>
    <n v="8"/>
    <n v="8350"/>
    <n v="0"/>
    <n v="66800"/>
    <n v="66800"/>
    <n v="0"/>
    <x v="3"/>
    <s v="Obinna Yusuf"/>
    <x v="0"/>
    <x v="7"/>
    <x v="1"/>
  </r>
  <r>
    <s v="TXN-01418"/>
    <d v="2025-03-08T00:00:00"/>
    <x v="4"/>
    <s v="North-West"/>
    <x v="2"/>
    <s v="Curtain Set"/>
    <n v="7"/>
    <n v="72580"/>
    <n v="0"/>
    <n v="508060"/>
    <n v="508060"/>
    <n v="0"/>
    <x v="2"/>
    <s v="Tunde Balogun"/>
    <x v="0"/>
    <x v="9"/>
    <x v="0"/>
  </r>
  <r>
    <s v="TXN-01498"/>
    <d v="2025-08-02T00:00:00"/>
    <x v="1"/>
    <s v="South-West"/>
    <x v="1"/>
    <s v="Bluetooth Speaker"/>
    <n v="4"/>
    <n v="41940"/>
    <n v="0"/>
    <n v="167760"/>
    <n v="167760"/>
    <n v="0"/>
    <x v="0"/>
    <s v="Mary Nnamdi"/>
    <x v="0"/>
    <x v="2"/>
    <x v="0"/>
  </r>
  <r>
    <s v="TXN-00824"/>
    <d v="2025-05-26T00:00:00"/>
    <x v="1"/>
    <s v="South-West"/>
    <x v="2"/>
    <s v="Non-stick Frying Pan"/>
    <n v="1"/>
    <n v="63370"/>
    <n v="0"/>
    <n v="63370"/>
    <n v="63370"/>
    <n v="0"/>
    <x v="2"/>
    <s v="Tunde Balogun"/>
    <x v="0"/>
    <x v="5"/>
    <x v="1"/>
  </r>
  <r>
    <s v="TXN-00306"/>
    <d v="2025-12-31T00:00:00"/>
    <x v="5"/>
    <s v="South-West"/>
    <x v="4"/>
    <s v="Tomato Paste Carton"/>
    <n v="12"/>
    <n v="25610"/>
    <n v="5"/>
    <n v="291954"/>
    <n v="307320"/>
    <n v="15366"/>
    <x v="1"/>
    <s v="Peter Adekunle"/>
    <x v="0"/>
    <x v="11"/>
    <x v="0"/>
  </r>
  <r>
    <s v="TXN-01093"/>
    <d v="2025-02-23T00:00:00"/>
    <x v="4"/>
    <s v="North-West"/>
    <x v="0"/>
    <s v="Perfume 100ml"/>
    <n v="1"/>
    <n v="22570"/>
    <n v="0"/>
    <n v="22570"/>
    <n v="22570"/>
    <n v="0"/>
    <x v="3"/>
    <s v="Grace Okafor"/>
    <x v="0"/>
    <x v="8"/>
    <x v="1"/>
  </r>
  <r>
    <s v="TXN-01316"/>
    <d v="2025-01-30T00:00:00"/>
    <x v="3"/>
    <s v="South-South"/>
    <x v="3"/>
    <s v="Kids Sneakers"/>
    <n v="5"/>
    <n v="8980"/>
    <n v="5"/>
    <n v="42655"/>
    <n v="44900"/>
    <n v="2245"/>
    <x v="0"/>
    <s v="Chidera Bello"/>
    <x v="0"/>
    <x v="7"/>
    <x v="1"/>
  </r>
  <r>
    <s v="TXN-00704"/>
    <d v="2025-12-28T00:00:00"/>
    <x v="4"/>
    <s v="North-West"/>
    <x v="1"/>
    <s v="Rice Cooker"/>
    <n v="6"/>
    <n v="19130"/>
    <n v="0"/>
    <n v="114780"/>
    <n v="114780"/>
    <n v="0"/>
    <x v="1"/>
    <s v="Ifeoma Adeyemi"/>
    <x v="0"/>
    <x v="11"/>
    <x v="1"/>
  </r>
  <r>
    <s v="TXN-00368"/>
    <d v="2025-05-11T00:00:00"/>
    <x v="1"/>
    <s v="South-West"/>
    <x v="4"/>
    <s v="Rice 50kg Bag"/>
    <n v="2"/>
    <n v="460"/>
    <n v="15"/>
    <n v="782"/>
    <n v="920"/>
    <n v="138"/>
    <x v="1"/>
    <s v="Kelechi Nwosu"/>
    <x v="0"/>
    <x v="5"/>
    <x v="1"/>
  </r>
  <r>
    <s v="TXN-00468"/>
    <d v="2025-12-31T00:00:00"/>
    <x v="0"/>
    <s v="North-Central"/>
    <x v="3"/>
    <s v="Wristwatch"/>
    <n v="10"/>
    <n v="64750"/>
    <n v="5"/>
    <n v="615125"/>
    <n v="647500"/>
    <n v="32375"/>
    <x v="2"/>
    <s v="Funmi Eze"/>
    <x v="0"/>
    <x v="11"/>
    <x v="0"/>
  </r>
  <r>
    <s v="TXN-01171"/>
    <d v="2025-03-07T00:00:00"/>
    <x v="4"/>
    <s v="North-West"/>
    <x v="3"/>
    <s v="Ladies Ankara Gown"/>
    <n v="4"/>
    <n v="1220"/>
    <n v="0"/>
    <n v="4880"/>
    <n v="4880"/>
    <n v="0"/>
    <x v="3"/>
    <s v="Kelechi Nwosu"/>
    <x v="0"/>
    <x v="9"/>
    <x v="0"/>
  </r>
  <r>
    <s v="TXN-00139"/>
    <d v="2025-11-22T00:00:00"/>
    <x v="5"/>
    <s v="South-West"/>
    <x v="0"/>
    <s v="Body Lotion 400ml"/>
    <n v="3"/>
    <n v="24900"/>
    <n v="0"/>
    <n v="74700"/>
    <n v="74700"/>
    <n v="0"/>
    <x v="3"/>
    <s v="Obinna Yusuf"/>
    <x v="0"/>
    <x v="3"/>
    <x v="0"/>
  </r>
  <r>
    <s v="TXN-01183"/>
    <d v="2025-05-25T00:00:00"/>
    <x v="5"/>
    <s v="South-West"/>
    <x v="1"/>
    <s v="Power Bank 20000mAh"/>
    <n v="11"/>
    <n v="8360"/>
    <n v="10"/>
    <n v="82764"/>
    <n v="91960"/>
    <n v="9196"/>
    <x v="3"/>
    <s v="Segun Chukwu"/>
    <x v="0"/>
    <x v="5"/>
    <x v="0"/>
  </r>
  <r>
    <s v="TXN-00462"/>
    <d v="2025-02-25T00:00:00"/>
    <x v="0"/>
    <s v="North-Central"/>
    <x v="2"/>
    <s v="Dinner Set"/>
    <n v="12"/>
    <n v="65190"/>
    <n v="0"/>
    <n v="782280"/>
    <n v="782280"/>
    <n v="0"/>
    <x v="1"/>
    <s v="Peter Adekunle"/>
    <x v="0"/>
    <x v="8"/>
    <x v="1"/>
  </r>
  <r>
    <s v="TXN-00302"/>
    <d v="2025-03-17T00:00:00"/>
    <x v="1"/>
    <s v="South-West"/>
    <x v="4"/>
    <s v="Office Blazer"/>
    <n v="3"/>
    <n v="1150"/>
    <n v="0"/>
    <n v="3450"/>
    <n v="3450"/>
    <n v="0"/>
    <x v="0"/>
    <s v="Tunde Balogun"/>
    <x v="0"/>
    <x v="9"/>
    <x v="0"/>
  </r>
  <r>
    <s v="TXN-00031"/>
    <d v="2025-05-02T00:00:00"/>
    <x v="0"/>
    <s v="South-West"/>
    <x v="0"/>
    <s v="Perfume 100ml"/>
    <n v="11"/>
    <n v="7750"/>
    <n v="15"/>
    <n v="72462.5"/>
    <n v="85250"/>
    <n v="12787.5"/>
    <x v="0"/>
    <s v="Mary Nnamdi"/>
    <x v="0"/>
    <x v="5"/>
    <x v="0"/>
  </r>
  <r>
    <s v="TXN-01464"/>
    <d v="2025-10-21T00:00:00"/>
    <x v="2"/>
    <s v="South-East"/>
    <x v="3"/>
    <s v="Handbag"/>
    <n v="5"/>
    <n v="17070"/>
    <n v="0"/>
    <n v="85350"/>
    <n v="85350"/>
    <n v="0"/>
    <x v="2"/>
    <s v="Ade Abubakar"/>
    <x v="0"/>
    <x v="6"/>
    <x v="0"/>
  </r>
  <r>
    <s v="TXN-00890"/>
    <d v="2025-09-05T00:00:00"/>
    <x v="2"/>
    <s v="South-East"/>
    <x v="1"/>
    <s v="Rice Cooker"/>
    <n v="6"/>
    <n v="64070"/>
    <n v="10"/>
    <n v="345978"/>
    <n v="384420"/>
    <n v="38442"/>
    <x v="0"/>
    <s v="Grace Okafor"/>
    <x v="0"/>
    <x v="0"/>
    <x v="0"/>
  </r>
  <r>
    <s v="TXN-01445"/>
    <d v="2025-12-17T00:00:00"/>
    <x v="0"/>
    <s v="North-Central"/>
    <x v="1"/>
    <s v="Standing Fan"/>
    <n v="6"/>
    <n v="5480"/>
    <n v="10"/>
    <n v="29592"/>
    <n v="32880"/>
    <n v="3288"/>
    <x v="1"/>
    <s v="Segun Chukwu"/>
    <x v="0"/>
    <x v="11"/>
    <x v="1"/>
  </r>
  <r>
    <s v="TXN-00848"/>
    <d v="2025-09-16T00:00:00"/>
    <x v="2"/>
    <s v="South-East"/>
    <x v="0"/>
    <s v="Shea Butter Cream"/>
    <n v="11"/>
    <n v="7340"/>
    <n v="0"/>
    <n v="80740"/>
    <n v="80740"/>
    <n v="0"/>
    <x v="2"/>
    <s v="Kelechi Nwosu"/>
    <x v="0"/>
    <x v="0"/>
    <x v="0"/>
  </r>
  <r>
    <s v="TXN-00136"/>
    <d v="2025-10-14T00:00:00"/>
    <x v="2"/>
    <s v="South-East"/>
    <x v="1"/>
    <s v="Rice Cooker"/>
    <n v="3"/>
    <n v="16990"/>
    <n v="15"/>
    <n v="43324.5"/>
    <n v="50970"/>
    <n v="7645.5"/>
    <x v="3"/>
    <s v="Uche Okoro"/>
    <x v="0"/>
    <x v="6"/>
    <x v="0"/>
  </r>
  <r>
    <s v="TXN-01211"/>
    <d v="2025-11-03T00:00:00"/>
    <x v="6"/>
    <s v="South-South"/>
    <x v="2"/>
    <s v="Cleaning Mop"/>
    <n v="12"/>
    <n v="3680"/>
    <n v="5"/>
    <n v="41952"/>
    <n v="44160"/>
    <n v="2208"/>
    <x v="2"/>
    <s v="Chinwe Etim"/>
    <x v="0"/>
    <x v="3"/>
    <x v="1"/>
  </r>
  <r>
    <s v="TXN-01249"/>
    <d v="2025-04-24T00:00:00"/>
    <x v="6"/>
    <s v="South-South"/>
    <x v="2"/>
    <s v="Cleaning Mop"/>
    <n v="3"/>
    <n v="8770"/>
    <n v="0"/>
    <n v="26310"/>
    <n v="26310"/>
    <n v="0"/>
    <x v="2"/>
    <s v="Ade Abubakar"/>
    <x v="0"/>
    <x v="4"/>
    <x v="1"/>
  </r>
  <r>
    <s v="TXN-01282"/>
    <d v="2025-06-08T00:00:00"/>
    <x v="5"/>
    <s v="South-West"/>
    <x v="0"/>
    <s v="Body Lotion 400ml"/>
    <n v="1"/>
    <n v="3820"/>
    <n v="0"/>
    <n v="3820"/>
    <n v="3820"/>
    <n v="0"/>
    <x v="0"/>
    <s v="Grace Okafor"/>
    <x v="0"/>
    <x v="1"/>
    <x v="1"/>
  </r>
  <r>
    <s v="TXN-00649"/>
    <d v="2025-07-25T00:00:00"/>
    <x v="3"/>
    <s v="South-South"/>
    <x v="1"/>
    <s v="Electric Kettle"/>
    <n v="3"/>
    <n v="1250"/>
    <n v="0"/>
    <n v="3750"/>
    <n v="3750"/>
    <n v="0"/>
    <x v="1"/>
    <s v="Ngozi Ibrahim"/>
    <x v="0"/>
    <x v="10"/>
    <x v="0"/>
  </r>
  <r>
    <s v="TXN-00388"/>
    <d v="2025-07-31T00:00:00"/>
    <x v="4"/>
    <s v="North-West"/>
    <x v="2"/>
    <s v="Plastic Chair Set"/>
    <n v="9"/>
    <n v="510"/>
    <n v="0"/>
    <n v="4590"/>
    <n v="4590"/>
    <n v="0"/>
    <x v="1"/>
    <s v="Chidera Bello"/>
    <x v="0"/>
    <x v="10"/>
    <x v="0"/>
  </r>
  <r>
    <s v="TXN-01490"/>
    <d v="2025-12-01T00:00:00"/>
    <x v="2"/>
    <s v="South-East"/>
    <x v="0"/>
    <s v="Deodorant Roll-on"/>
    <n v="9"/>
    <n v="11890"/>
    <n v="0"/>
    <n v="107010"/>
    <n v="107010"/>
    <n v="0"/>
    <x v="1"/>
    <s v="Tunde Balogun"/>
    <x v="0"/>
    <x v="11"/>
    <x v="1"/>
  </r>
  <r>
    <s v="TXN-00868"/>
    <d v="2025-02-15T00:00:00"/>
    <x v="4"/>
    <s v="North-West"/>
    <x v="0"/>
    <s v="Body Lotion 400ml"/>
    <n v="9"/>
    <n v="43830"/>
    <n v="0"/>
    <n v="394470"/>
    <n v="394470"/>
    <n v="0"/>
    <x v="0"/>
    <s v="Mary Nnamdi"/>
    <x v="0"/>
    <x v="8"/>
    <x v="1"/>
  </r>
  <r>
    <s v="TXN-00489"/>
    <d v="2025-03-31T00:00:00"/>
    <x v="4"/>
    <s v="North-West"/>
    <x v="0"/>
    <s v="Deodorant Roll-on"/>
    <n v="3"/>
    <n v="25300"/>
    <n v="5"/>
    <n v="72105"/>
    <n v="75900"/>
    <n v="3795"/>
    <x v="2"/>
    <s v="Ngozi Ibrahim"/>
    <x v="0"/>
    <x v="9"/>
    <x v="0"/>
  </r>
  <r>
    <s v="TXN-01444"/>
    <d v="2025-04-06T00:00:00"/>
    <x v="4"/>
    <s v="North-West"/>
    <x v="3"/>
    <s v="Ladies Ankara Gown"/>
    <n v="2"/>
    <n v="13450"/>
    <n v="0"/>
    <n v="26900"/>
    <n v="26900"/>
    <n v="0"/>
    <x v="3"/>
    <s v="Tunde Balogun"/>
    <x v="0"/>
    <x v="4"/>
    <x v="0"/>
  </r>
  <r>
    <s v="TXN-00894"/>
    <d v="2025-06-07T00:00:00"/>
    <x v="6"/>
    <s v="South-South"/>
    <x v="2"/>
    <s v="Cleaning Mop"/>
    <n v="4"/>
    <n v="1330"/>
    <n v="0"/>
    <n v="5320"/>
    <n v="5320"/>
    <n v="0"/>
    <x v="1"/>
    <s v="Grace Okafor"/>
    <x v="0"/>
    <x v="1"/>
    <x v="0"/>
  </r>
  <r>
    <s v="TXN-01286"/>
    <d v="2025-11-26T00:00:00"/>
    <x v="4"/>
    <s v="North-West"/>
    <x v="4"/>
    <s v="Indomie Carton"/>
    <n v="10"/>
    <n v="8590"/>
    <n v="15"/>
    <n v="73015"/>
    <n v="85900"/>
    <n v="12885"/>
    <x v="3"/>
    <s v="Mary Nnamdi"/>
    <x v="0"/>
    <x v="3"/>
    <x v="0"/>
  </r>
  <r>
    <s v="TXN-00239"/>
    <d v="2025-09-13T00:00:00"/>
    <x v="5"/>
    <s v="South-West"/>
    <x v="3"/>
    <s v="Office Blazer"/>
    <n v="12"/>
    <n v="24180"/>
    <n v="5"/>
    <n v="275652"/>
    <n v="290160"/>
    <n v="14508"/>
    <x v="3"/>
    <s v="Amaka Onwuka"/>
    <x v="0"/>
    <x v="0"/>
    <x v="0"/>
  </r>
  <r>
    <s v="TXN-00537"/>
    <d v="2025-01-15T00:00:00"/>
    <x v="1"/>
    <s v="South-West"/>
    <x v="4"/>
    <s v="Semovita 2kg"/>
    <n v="1"/>
    <n v="1090"/>
    <n v="0"/>
    <n v="1090"/>
    <n v="1090"/>
    <n v="0"/>
    <x v="0"/>
    <s v="Ngozi Ibrahim"/>
    <x v="0"/>
    <x v="7"/>
    <x v="0"/>
  </r>
  <r>
    <s v="TXN-00847"/>
    <d v="2025-11-23T00:00:00"/>
    <x v="3"/>
    <s v="South-South"/>
    <x v="1"/>
    <s v="LED TV 43&quot;"/>
    <n v="6"/>
    <n v="58990"/>
    <n v="0"/>
    <n v="353940"/>
    <n v="353940"/>
    <n v="0"/>
    <x v="2"/>
    <s v="Mary Nnamdi"/>
    <x v="0"/>
    <x v="3"/>
    <x v="0"/>
  </r>
  <r>
    <s v="TXN-00389"/>
    <d v="2025-10-06T00:00:00"/>
    <x v="4"/>
    <s v="North-West"/>
    <x v="4"/>
    <s v="Spaghetti Pack"/>
    <n v="12"/>
    <n v="460"/>
    <n v="10"/>
    <n v="4968"/>
    <n v="5520"/>
    <n v="552"/>
    <x v="1"/>
    <s v="Mary Nnamdi"/>
    <x v="0"/>
    <x v="6"/>
    <x v="1"/>
  </r>
  <r>
    <s v="TXN-00319"/>
    <d v="2025-07-16T00:00:00"/>
    <x v="6"/>
    <s v="South-West"/>
    <x v="2"/>
    <s v="Non-stick Frying Pan"/>
    <n v="3"/>
    <n v="5310"/>
    <n v="0"/>
    <n v="15930"/>
    <n v="15930"/>
    <n v="0"/>
    <x v="1"/>
    <s v="Segun Chukwu"/>
    <x v="0"/>
    <x v="10"/>
    <x v="1"/>
  </r>
  <r>
    <s v="TXN-00060"/>
    <d v="2025-12-18T00:00:00"/>
    <x v="6"/>
    <s v="South-South"/>
    <x v="0"/>
    <s v="Baby Diaper Pack"/>
    <n v="7"/>
    <n v="570"/>
    <n v="0"/>
    <n v="3990"/>
    <n v="3990"/>
    <n v="0"/>
    <x v="2"/>
    <s v="Tunde Balogun"/>
    <x v="0"/>
    <x v="11"/>
    <x v="0"/>
  </r>
  <r>
    <s v="TXN-00458"/>
    <d v="2025-08-26T00:00:00"/>
    <x v="6"/>
    <s v="South-South"/>
    <x v="1"/>
    <s v="Microwave Oven"/>
    <n v="5"/>
    <n v="19470"/>
    <n v="0"/>
    <n v="97350"/>
    <n v="97350"/>
    <n v="0"/>
    <x v="0"/>
    <s v="Peter Adekunle"/>
    <x v="0"/>
    <x v="2"/>
    <x v="0"/>
  </r>
  <r>
    <s v="TXN-01285"/>
    <d v="2025-02-02T00:00:00"/>
    <x v="4"/>
    <s v="North-West"/>
    <x v="1"/>
    <s v="Microwave Oven"/>
    <n v="4"/>
    <n v="23530"/>
    <n v="15"/>
    <n v="80002"/>
    <n v="94120"/>
    <n v="14118"/>
    <x v="0"/>
    <s v="Grace Okafor"/>
    <x v="0"/>
    <x v="8"/>
    <x v="0"/>
  </r>
  <r>
    <s v="TXN-01290"/>
    <d v="2025-05-05T00:00:00"/>
    <x v="3"/>
    <s v="South-South"/>
    <x v="0"/>
    <s v="Deodorant Roll-on"/>
    <n v="12"/>
    <n v="460"/>
    <n v="0"/>
    <n v="5520"/>
    <n v="5520"/>
    <n v="0"/>
    <x v="2"/>
    <s v="Chidera Bello"/>
    <x v="0"/>
    <x v="5"/>
    <x v="0"/>
  </r>
  <r>
    <s v="TXN-00130"/>
    <d v="2025-11-14T00:00:00"/>
    <x v="4"/>
    <s v="North-West"/>
    <x v="0"/>
    <s v="Toothpaste Pack"/>
    <n v="7"/>
    <n v="2440"/>
    <n v="15"/>
    <n v="14518"/>
    <n v="17080"/>
    <n v="2562"/>
    <x v="0"/>
    <s v="Tunde Balogun"/>
    <x v="0"/>
    <x v="3"/>
    <x v="0"/>
  </r>
  <r>
    <s v="TXN-00985"/>
    <d v="2025-04-20T00:00:00"/>
    <x v="0"/>
    <s v="North-Central"/>
    <x v="1"/>
    <s v="Power Bank 20000mAh"/>
    <n v="3"/>
    <n v="480"/>
    <n v="0"/>
    <n v="1440"/>
    <n v="1440"/>
    <n v="0"/>
    <x v="2"/>
    <s v="Kelechi Nwosu"/>
    <x v="0"/>
    <x v="4"/>
    <x v="1"/>
  </r>
  <r>
    <s v="TXN-00589"/>
    <d v="2025-08-16T00:00:00"/>
    <x v="2"/>
    <s v="South-East"/>
    <x v="2"/>
    <s v="Plastic Chair Set"/>
    <n v="5"/>
    <n v="26630"/>
    <n v="0"/>
    <n v="133150"/>
    <n v="133150"/>
    <n v="0"/>
    <x v="1"/>
    <s v="Chinwe Etim"/>
    <x v="0"/>
    <x v="2"/>
    <x v="1"/>
  </r>
  <r>
    <s v="TXN-01399"/>
    <d v="2025-04-26T00:00:00"/>
    <x v="3"/>
    <s v="South-South"/>
    <x v="0"/>
    <s v="Toothpaste Pack"/>
    <n v="10"/>
    <n v="3530"/>
    <n v="15"/>
    <n v="30005"/>
    <n v="35300"/>
    <n v="5295"/>
    <x v="0"/>
    <s v="Funmi Eze"/>
    <x v="0"/>
    <x v="4"/>
    <x v="1"/>
  </r>
  <r>
    <s v="TXN-01482"/>
    <d v="2025-06-14T00:00:00"/>
    <x v="4"/>
    <s v="North-West"/>
    <x v="3"/>
    <s v="School Sandals"/>
    <n v="2"/>
    <n v="59190"/>
    <n v="15"/>
    <n v="100623"/>
    <n v="118380"/>
    <n v="17757"/>
    <x v="3"/>
    <s v="Mary Nnamdi"/>
    <x v="0"/>
    <x v="1"/>
    <x v="1"/>
  </r>
  <r>
    <s v="TXN-01362"/>
    <d v="2025-02-07T00:00:00"/>
    <x v="1"/>
    <s v="South-West"/>
    <x v="4"/>
    <s v="Denim Jeans"/>
    <n v="2"/>
    <n v="510"/>
    <n v="0"/>
    <n v="1020"/>
    <n v="1020"/>
    <n v="0"/>
    <x v="3"/>
    <s v="Ifeoma Adeyemi"/>
    <x v="0"/>
    <x v="8"/>
    <x v="1"/>
  </r>
  <r>
    <s v="TXN-00437"/>
    <d v="2025-01-20T00:00:00"/>
    <x v="1"/>
    <s v="South-West"/>
    <x v="0"/>
    <s v="Perfume 100ml"/>
    <n v="2"/>
    <n v="3240"/>
    <n v="15"/>
    <n v="5508"/>
    <n v="6480"/>
    <n v="972"/>
    <x v="1"/>
    <s v="Mary Nnamdi"/>
    <x v="0"/>
    <x v="7"/>
    <x v="1"/>
  </r>
  <r>
    <s v="TXN-00842"/>
    <d v="2025-07-02T00:00:00"/>
    <x v="3"/>
    <s v="South-South"/>
    <x v="0"/>
    <s v="Hair Relaxer Kit"/>
    <n v="3"/>
    <n v="1110"/>
    <n v="5"/>
    <n v="3163.5"/>
    <n v="3330"/>
    <n v="166.5"/>
    <x v="1"/>
    <s v="Funmi Eze"/>
    <x v="0"/>
    <x v="10"/>
    <x v="1"/>
  </r>
  <r>
    <s v="TXN-00043"/>
    <d v="2025-11-15T00:00:00"/>
    <x v="6"/>
    <s v="South-South"/>
    <x v="0"/>
    <s v="Shea Butter Cream"/>
    <n v="9"/>
    <n v="8220"/>
    <n v="15"/>
    <n v="62883"/>
    <n v="73980"/>
    <n v="11097"/>
    <x v="1"/>
    <s v="Funmi Eze"/>
    <x v="0"/>
    <x v="3"/>
    <x v="1"/>
  </r>
  <r>
    <s v="TXN-01354"/>
    <d v="2025-09-16T00:00:00"/>
    <x v="2"/>
    <s v="South-East"/>
    <x v="1"/>
    <s v="Microwave Oven"/>
    <n v="6"/>
    <n v="11730"/>
    <n v="15"/>
    <n v="59823"/>
    <n v="70380"/>
    <n v="10557"/>
    <x v="2"/>
    <s v="Chidera Bello"/>
    <x v="0"/>
    <x v="0"/>
    <x v="0"/>
  </r>
  <r>
    <s v="TXN-00279"/>
    <d v="2025-04-26T00:00:00"/>
    <x v="4"/>
    <s v="North-West"/>
    <x v="2"/>
    <s v="Bedsheet Set"/>
    <n v="3"/>
    <n v="12220"/>
    <n v="5"/>
    <n v="34827"/>
    <n v="36660"/>
    <n v="1833"/>
    <x v="0"/>
    <s v="Segun Chukwu"/>
    <x v="0"/>
    <x v="4"/>
    <x v="1"/>
  </r>
  <r>
    <s v="TXN-01121"/>
    <d v="2025-10-24T00:00:00"/>
    <x v="1"/>
    <s v="South-West"/>
    <x v="0"/>
    <s v="Perfume 100ml"/>
    <n v="1"/>
    <n v="1200"/>
    <n v="0"/>
    <n v="1200"/>
    <n v="1200"/>
    <n v="0"/>
    <x v="3"/>
    <s v="Chinwe Etim"/>
    <x v="0"/>
    <x v="6"/>
    <x v="1"/>
  </r>
  <r>
    <s v="TXN-01087"/>
    <d v="2025-02-14T00:00:00"/>
    <x v="1"/>
    <s v="South-West"/>
    <x v="1"/>
    <s v="Home Theatre System"/>
    <n v="7"/>
    <n v="3410"/>
    <n v="0"/>
    <n v="23870"/>
    <n v="23870"/>
    <n v="0"/>
    <x v="0"/>
    <s v="Obinna Yusuf"/>
    <x v="0"/>
    <x v="8"/>
    <x v="1"/>
  </r>
  <r>
    <s v="TXN-00148"/>
    <d v="2025-05-08T00:00:00"/>
    <x v="3"/>
    <s v="South-South"/>
    <x v="4"/>
    <s v="Sugar 1kg"/>
    <n v="6"/>
    <n v="450"/>
    <n v="0"/>
    <n v="2700"/>
    <n v="2700"/>
    <n v="0"/>
    <x v="2"/>
    <s v="Chidera Bello"/>
    <x v="0"/>
    <x v="5"/>
    <x v="1"/>
  </r>
  <r>
    <s v="TXN-01394"/>
    <d v="2025-02-14T00:00:00"/>
    <x v="3"/>
    <s v="South-South"/>
    <x v="3"/>
    <s v="Wristwatch"/>
    <n v="2"/>
    <n v="11550"/>
    <n v="0"/>
    <n v="23100"/>
    <n v="23100"/>
    <n v="0"/>
    <x v="3"/>
    <s v="Ngozi Ibrahim"/>
    <x v="0"/>
    <x v="8"/>
    <x v="0"/>
  </r>
  <r>
    <s v="TXN-00284"/>
    <d v="2025-05-28T00:00:00"/>
    <x v="6"/>
    <s v="South-South"/>
    <x v="4"/>
    <s v="Spaghetti Pack"/>
    <n v="12"/>
    <n v="8790"/>
    <n v="0"/>
    <n v="105480"/>
    <n v="105480"/>
    <n v="0"/>
    <x v="2"/>
    <s v="Mary Nnamdi"/>
    <x v="0"/>
    <x v="5"/>
    <x v="1"/>
  </r>
  <r>
    <s v="TXN-01241"/>
    <d v="2025-04-25T00:00:00"/>
    <x v="4"/>
    <s v="North-West"/>
    <x v="3"/>
    <s v="School Sandals"/>
    <n v="4"/>
    <n v="12220"/>
    <n v="0"/>
    <n v="48880"/>
    <n v="48880"/>
    <n v="0"/>
    <x v="2"/>
    <s v="Grace Okafor"/>
    <x v="0"/>
    <x v="4"/>
    <x v="0"/>
  </r>
  <r>
    <s v="TXN-00144"/>
    <d v="2025-08-09T00:00:00"/>
    <x v="6"/>
    <s v="South-South"/>
    <x v="4"/>
    <s v="Sugar 1kg"/>
    <n v="11"/>
    <n v="3820"/>
    <n v="0"/>
    <n v="42020"/>
    <n v="42020"/>
    <n v="0"/>
    <x v="0"/>
    <s v="Ade Abubakar"/>
    <x v="0"/>
    <x v="2"/>
    <x v="1"/>
  </r>
  <r>
    <s v="TXN-00859"/>
    <d v="2025-10-10T00:00:00"/>
    <x v="1"/>
    <s v="South-West"/>
    <x v="0"/>
    <s v="Bathing Soap Pack"/>
    <n v="9"/>
    <n v="8310"/>
    <n v="0"/>
    <n v="74790"/>
    <n v="74790"/>
    <n v="0"/>
    <x v="3"/>
    <s v="Mary Nnamdi"/>
    <x v="0"/>
    <x v="6"/>
    <x v="1"/>
  </r>
  <r>
    <s v="TXN-00650"/>
    <d v="2025-03-22T00:00:00"/>
    <x v="2"/>
    <s v="South-East"/>
    <x v="2"/>
    <s v="Dinner Set"/>
    <n v="5"/>
    <n v="13070"/>
    <n v="0"/>
    <n v="65350"/>
    <n v="65350"/>
    <n v="0"/>
    <x v="0"/>
    <s v="Ngozi Ibrahim"/>
    <x v="0"/>
    <x v="9"/>
    <x v="1"/>
  </r>
  <r>
    <s v="TXN-00744"/>
    <d v="2025-11-07T00:00:00"/>
    <x v="2"/>
    <s v="South-East"/>
    <x v="2"/>
    <s v="Dinner Set"/>
    <n v="5"/>
    <n v="23310"/>
    <n v="15"/>
    <n v="99067.5"/>
    <n v="116550"/>
    <n v="17482.5"/>
    <x v="2"/>
    <s v="Peter Adekunle"/>
    <x v="0"/>
    <x v="3"/>
    <x v="0"/>
  </r>
  <r>
    <s v="TXN-00846"/>
    <d v="2025-11-16T00:00:00"/>
    <x v="4"/>
    <s v="North-West"/>
    <x v="4"/>
    <s v="Spaghetti Pack"/>
    <n v="9"/>
    <n v="68840"/>
    <n v="0"/>
    <n v="619560"/>
    <n v="619560"/>
    <n v="0"/>
    <x v="2"/>
    <s v="Mary Nnamdi"/>
    <x v="0"/>
    <x v="3"/>
    <x v="0"/>
  </r>
  <r>
    <s v="TXN-01331"/>
    <d v="2025-06-14T00:00:00"/>
    <x v="5"/>
    <s v="South-West"/>
    <x v="0"/>
    <s v="Deodorant Roll-on"/>
    <n v="4"/>
    <n v="7090"/>
    <n v="0"/>
    <n v="28360"/>
    <n v="28360"/>
    <n v="0"/>
    <x v="0"/>
    <s v="Funmi Eze"/>
    <x v="0"/>
    <x v="1"/>
    <x v="1"/>
  </r>
  <r>
    <s v="TXN-00502"/>
    <d v="2025-09-20T00:00:00"/>
    <x v="4"/>
    <s v="North-West"/>
    <x v="0"/>
    <s v="Baby Diaper Pack"/>
    <n v="4"/>
    <n v="470"/>
    <n v="0"/>
    <n v="1880"/>
    <n v="1880"/>
    <n v="0"/>
    <x v="1"/>
    <s v="Ngozi Ibrahim"/>
    <x v="0"/>
    <x v="0"/>
    <x v="0"/>
  </r>
  <r>
    <s v="TXN-01415"/>
    <d v="2025-01-11T00:00:00"/>
    <x v="4"/>
    <s v="North-West"/>
    <x v="4"/>
    <s v="Spaghetti Pack"/>
    <n v="9"/>
    <n v="5100"/>
    <n v="5"/>
    <n v="43605"/>
    <n v="45900"/>
    <n v="2295"/>
    <x v="0"/>
    <s v="Chidera Bello"/>
    <x v="0"/>
    <x v="7"/>
    <x v="0"/>
  </r>
  <r>
    <s v="TXN-00955"/>
    <d v="2025-05-07T00:00:00"/>
    <x v="5"/>
    <s v="South-West"/>
    <x v="1"/>
    <s v="Standing Fan"/>
    <n v="2"/>
    <n v="46610"/>
    <n v="0"/>
    <n v="93220"/>
    <n v="93220"/>
    <n v="0"/>
    <x v="2"/>
    <s v="Amaka Onwuka"/>
    <x v="0"/>
    <x v="5"/>
    <x v="0"/>
  </r>
  <r>
    <s v="TXN-01012"/>
    <d v="2025-01-25T00:00:00"/>
    <x v="5"/>
    <s v="South-West"/>
    <x v="3"/>
    <s v="Wristwatch"/>
    <n v="11"/>
    <n v="47820"/>
    <n v="0"/>
    <n v="526020"/>
    <n v="526020"/>
    <n v="0"/>
    <x v="2"/>
    <s v="Grace Okafor"/>
    <x v="0"/>
    <x v="7"/>
    <x v="1"/>
  </r>
  <r>
    <s v="TXN-00256"/>
    <d v="2025-07-22T00:00:00"/>
    <x v="2"/>
    <s v="South-East"/>
    <x v="4"/>
    <s v="Vegetable Oil 5L"/>
    <n v="5"/>
    <n v="6780"/>
    <n v="0"/>
    <n v="33900"/>
    <n v="33900"/>
    <n v="0"/>
    <x v="3"/>
    <s v="Ngozi Ibrahim"/>
    <x v="0"/>
    <x v="10"/>
    <x v="1"/>
  </r>
  <r>
    <s v="TXN-01084"/>
    <d v="2025-04-13T00:00:00"/>
    <x v="0"/>
    <s v="North-Central"/>
    <x v="3"/>
    <s v="Kids Sneakers"/>
    <n v="5"/>
    <n v="1190"/>
    <n v="0"/>
    <n v="5950"/>
    <n v="5950"/>
    <n v="0"/>
    <x v="2"/>
    <s v="Chinwe Etim"/>
    <x v="0"/>
    <x v="4"/>
    <x v="1"/>
  </r>
  <r>
    <s v="TXN-00538"/>
    <d v="2025-05-14T00:00:00"/>
    <x v="0"/>
    <s v="North-Central"/>
    <x v="4"/>
    <s v="Sugar 1kg"/>
    <n v="4"/>
    <n v="4740"/>
    <n v="0"/>
    <n v="18960"/>
    <n v="18960"/>
    <n v="0"/>
    <x v="2"/>
    <s v="Funmi Eze"/>
    <x v="0"/>
    <x v="5"/>
    <x v="1"/>
  </r>
  <r>
    <s v="TXN-00541"/>
    <d v="2025-12-03T00:00:00"/>
    <x v="1"/>
    <s v="South-West"/>
    <x v="1"/>
    <s v="Rice Cooker"/>
    <n v="1"/>
    <n v="1350"/>
    <n v="15"/>
    <n v="1147.5"/>
    <n v="1350"/>
    <n v="202.5"/>
    <x v="1"/>
    <s v="Ngozi Ibrahim"/>
    <x v="0"/>
    <x v="11"/>
    <x v="1"/>
  </r>
  <r>
    <s v="TXN-00126"/>
    <d v="2025-06-11T00:00:00"/>
    <x v="6"/>
    <s v="South-South"/>
    <x v="1"/>
    <s v="Home Theatre System"/>
    <n v="2"/>
    <n v="8620"/>
    <n v="15"/>
    <n v="14654"/>
    <n v="17240"/>
    <n v="2586"/>
    <x v="2"/>
    <s v="Ifeoma Adeyemi"/>
    <x v="0"/>
    <x v="1"/>
    <x v="0"/>
  </r>
  <r>
    <s v="TXN-00151"/>
    <d v="2025-09-28T00:00:00"/>
    <x v="3"/>
    <s v="South-West"/>
    <x v="4"/>
    <s v="Indomie Carton"/>
    <n v="10"/>
    <n v="3590"/>
    <n v="0"/>
    <n v="35900"/>
    <n v="35900"/>
    <n v="0"/>
    <x v="0"/>
    <s v="Obinna Yusuf"/>
    <x v="0"/>
    <x v="0"/>
    <x v="0"/>
  </r>
  <r>
    <s v="TXN-00447"/>
    <d v="2025-06-17T00:00:00"/>
    <x v="2"/>
    <s v="South-East"/>
    <x v="3"/>
    <s v="Denim Jeans"/>
    <n v="12"/>
    <n v="480"/>
    <n v="0"/>
    <n v="5760"/>
    <n v="5760"/>
    <n v="0"/>
    <x v="2"/>
    <s v="Obinna Yusuf"/>
    <x v="0"/>
    <x v="1"/>
    <x v="0"/>
  </r>
  <r>
    <s v="TXN-00403"/>
    <d v="2025-11-22T00:00:00"/>
    <x v="5"/>
    <s v="South-West"/>
    <x v="0"/>
    <s v="Baby Diaper Pack"/>
    <n v="9"/>
    <n v="18680"/>
    <n v="15"/>
    <n v="142902"/>
    <n v="168120"/>
    <n v="25218"/>
    <x v="2"/>
    <s v="Ngozi Ibrahim"/>
    <x v="0"/>
    <x v="3"/>
    <x v="0"/>
  </r>
  <r>
    <s v="TXN-00262"/>
    <d v="2025-04-21T00:00:00"/>
    <x v="6"/>
    <s v="South-South"/>
    <x v="1"/>
    <s v="Microwave Oven"/>
    <n v="5"/>
    <n v="59640"/>
    <n v="0"/>
    <n v="298200"/>
    <n v="298200"/>
    <n v="0"/>
    <x v="0"/>
    <s v="Chidera Bello"/>
    <x v="0"/>
    <x v="4"/>
    <x v="0"/>
  </r>
  <r>
    <s v="TXN-00980"/>
    <d v="2025-04-10T00:00:00"/>
    <x v="4"/>
    <s v="North-West"/>
    <x v="4"/>
    <s v="Sugar 1kg"/>
    <n v="10"/>
    <n v="71900"/>
    <n v="0"/>
    <n v="719000"/>
    <n v="719000"/>
    <n v="0"/>
    <x v="0"/>
    <s v="Peter Adekunle"/>
    <x v="0"/>
    <x v="4"/>
    <x v="0"/>
  </r>
  <r>
    <s v="TXN-00830"/>
    <d v="2025-11-30T00:00:00"/>
    <x v="2"/>
    <s v="South-East"/>
    <x v="1"/>
    <s v="Electric Kettle"/>
    <n v="10"/>
    <n v="5700"/>
    <n v="0"/>
    <n v="57000"/>
    <n v="57000"/>
    <n v="0"/>
    <x v="0"/>
    <s v="Ade Abubakar"/>
    <x v="0"/>
    <x v="3"/>
    <x v="0"/>
  </r>
  <r>
    <s v="TXN-01149"/>
    <d v="2025-04-03T00:00:00"/>
    <x v="4"/>
    <s v="North-West"/>
    <x v="4"/>
    <s v="Kids Sneakers"/>
    <n v="10"/>
    <n v="12320"/>
    <n v="0"/>
    <n v="123200"/>
    <n v="123200"/>
    <n v="0"/>
    <x v="2"/>
    <s v="Mary Nnamdi"/>
    <x v="0"/>
    <x v="4"/>
    <x v="0"/>
  </r>
  <r>
    <s v="TXN-00105"/>
    <d v="2025-06-21T00:00:00"/>
    <x v="4"/>
    <s v="North-West"/>
    <x v="3"/>
    <s v="School Sandals"/>
    <n v="10"/>
    <n v="450"/>
    <n v="0"/>
    <n v="4500"/>
    <n v="4500"/>
    <n v="0"/>
    <x v="0"/>
    <s v="Uche Okoro"/>
    <x v="0"/>
    <x v="1"/>
    <x v="1"/>
  </r>
  <r>
    <s v="TXN-01279"/>
    <d v="2025-03-06T00:00:00"/>
    <x v="2"/>
    <s v="South-East"/>
    <x v="2"/>
    <s v="Cleaning Mop"/>
    <n v="8"/>
    <n v="8150"/>
    <n v="5"/>
    <n v="61940"/>
    <n v="65200"/>
    <n v="3260"/>
    <x v="0"/>
    <s v="Peter Adekunle"/>
    <x v="0"/>
    <x v="9"/>
    <x v="1"/>
  </r>
  <r>
    <s v="TXN-01174"/>
    <d v="2025-12-29T00:00:00"/>
    <x v="5"/>
    <s v="South-West"/>
    <x v="4"/>
    <s v="Storage Basket"/>
    <n v="9"/>
    <n v="2860"/>
    <n v="5"/>
    <n v="24453"/>
    <n v="25740"/>
    <n v="1287"/>
    <x v="2"/>
    <s v="Segun Chukwu"/>
    <x v="0"/>
    <x v="11"/>
    <x v="0"/>
  </r>
  <r>
    <s v="TXN-00769"/>
    <d v="2025-04-21T00:00:00"/>
    <x v="4"/>
    <s v="North-West"/>
    <x v="2"/>
    <s v="Cleaning Mop"/>
    <n v="9"/>
    <n v="490"/>
    <n v="0"/>
    <n v="4410"/>
    <n v="4410"/>
    <n v="0"/>
    <x v="2"/>
    <s v="Peter Adekunle"/>
    <x v="0"/>
    <x v="4"/>
    <x v="1"/>
  </r>
  <r>
    <s v="TXN-01088"/>
    <d v="2025-01-27T00:00:00"/>
    <x v="1"/>
    <s v="South-West"/>
    <x v="0"/>
    <s v="Baby Diaper Pack"/>
    <n v="5"/>
    <n v="49430"/>
    <n v="15"/>
    <n v="210077.5"/>
    <n v="247150"/>
    <n v="37072.5"/>
    <x v="2"/>
    <s v="Uche Okoro"/>
    <x v="0"/>
    <x v="7"/>
    <x v="1"/>
  </r>
  <r>
    <s v="TXN-00396"/>
    <d v="2025-12-13T00:00:00"/>
    <x v="4"/>
    <s v="North-West"/>
    <x v="2"/>
    <s v="Cleaning Mop"/>
    <n v="5"/>
    <n v="490"/>
    <n v="15"/>
    <n v="2082.5"/>
    <n v="2450"/>
    <n v="367.5"/>
    <x v="2"/>
    <s v="Ngozi Ibrahim"/>
    <x v="0"/>
    <x v="11"/>
    <x v="0"/>
  </r>
  <r>
    <s v="TXN-01342"/>
    <d v="2025-06-24T00:00:00"/>
    <x v="2"/>
    <s v="South-East"/>
    <x v="2"/>
    <s v="Non-stick Frying Pan"/>
    <n v="6"/>
    <n v="46090"/>
    <n v="0"/>
    <n v="276540"/>
    <n v="276540"/>
    <n v="0"/>
    <x v="2"/>
    <s v="Tunde Balogun"/>
    <x v="0"/>
    <x v="1"/>
    <x v="0"/>
  </r>
  <r>
    <s v="TXN-00287"/>
    <d v="2025-07-14T00:00:00"/>
    <x v="5"/>
    <s v="South-West"/>
    <x v="3"/>
    <s v="Office Blazer"/>
    <n v="6"/>
    <n v="1310"/>
    <n v="15"/>
    <n v="6681"/>
    <n v="7860"/>
    <n v="1179"/>
    <x v="1"/>
    <s v="Uche Okoro"/>
    <x v="0"/>
    <x v="10"/>
    <x v="0"/>
  </r>
  <r>
    <s v="TXN-01049"/>
    <d v="2025-01-26T00:00:00"/>
    <x v="2"/>
    <s v="South-East"/>
    <x v="0"/>
    <s v="Body Lotion 400ml"/>
    <n v="2"/>
    <n v="50810"/>
    <n v="0"/>
    <n v="101620"/>
    <n v="101620"/>
    <n v="0"/>
    <x v="3"/>
    <s v="Mary Nnamdi"/>
    <x v="0"/>
    <x v="7"/>
    <x v="0"/>
  </r>
  <r>
    <s v="TXN-01139"/>
    <d v="2025-09-01T00:00:00"/>
    <x v="3"/>
    <s v="South-South"/>
    <x v="1"/>
    <s v="Bluetooth Speaker"/>
    <n v="4"/>
    <n v="570"/>
    <n v="10"/>
    <n v="2052"/>
    <n v="2280"/>
    <n v="228"/>
    <x v="2"/>
    <s v="Mary Nnamdi"/>
    <x v="0"/>
    <x v="0"/>
    <x v="1"/>
  </r>
  <r>
    <s v="TXN-00097"/>
    <d v="2025-01-24T00:00:00"/>
    <x v="6"/>
    <s v="South-South"/>
    <x v="2"/>
    <s v="Curtain Set"/>
    <n v="7"/>
    <n v="3680"/>
    <n v="0"/>
    <n v="25760"/>
    <n v="25760"/>
    <n v="0"/>
    <x v="0"/>
    <s v="Mary Nnamdi"/>
    <x v="0"/>
    <x v="7"/>
    <x v="0"/>
  </r>
  <r>
    <s v="TXN-00474"/>
    <d v="2025-04-02T00:00:00"/>
    <x v="4"/>
    <s v="North-West"/>
    <x v="1"/>
    <s v="Home Theatre System"/>
    <n v="4"/>
    <n v="73680"/>
    <n v="0"/>
    <n v="294720"/>
    <n v="294720"/>
    <n v="0"/>
    <x v="2"/>
    <s v="Ade Abubakar"/>
    <x v="0"/>
    <x v="4"/>
    <x v="0"/>
  </r>
  <r>
    <s v="TXN-00180"/>
    <d v="2025-01-26T00:00:00"/>
    <x v="5"/>
    <s v="South-West"/>
    <x v="2"/>
    <s v="Dinner Set"/>
    <n v="6"/>
    <n v="500"/>
    <n v="5"/>
    <n v="2850"/>
    <n v="3000"/>
    <n v="150"/>
    <x v="2"/>
    <s v="Ade Abubakar"/>
    <x v="0"/>
    <x v="7"/>
    <x v="1"/>
  </r>
  <r>
    <s v="TXN-00286"/>
    <d v="2025-06-19T00:00:00"/>
    <x v="3"/>
    <s v="South-South"/>
    <x v="2"/>
    <s v="Plastic Chair Set"/>
    <n v="10"/>
    <n v="47000"/>
    <n v="10"/>
    <n v="423000"/>
    <n v="470000"/>
    <n v="47000"/>
    <x v="3"/>
    <s v="Ade Abubakar"/>
    <x v="0"/>
    <x v="1"/>
    <x v="0"/>
  </r>
  <r>
    <s v="TXN-00168"/>
    <d v="2025-11-01T00:00:00"/>
    <x v="6"/>
    <s v="South-South"/>
    <x v="3"/>
    <s v="Kids Sneakers"/>
    <n v="4"/>
    <n v="460"/>
    <n v="5"/>
    <n v="1748"/>
    <n v="1840"/>
    <n v="92"/>
    <x v="3"/>
    <s v="Ade Abubakar"/>
    <x v="0"/>
    <x v="3"/>
    <x v="1"/>
  </r>
  <r>
    <s v="TXN-01054"/>
    <d v="2025-01-12T00:00:00"/>
    <x v="4"/>
    <s v="North-West"/>
    <x v="1"/>
    <s v="Electric Kettle"/>
    <n v="3"/>
    <n v="2760"/>
    <n v="0"/>
    <n v="8280"/>
    <n v="8280"/>
    <n v="0"/>
    <x v="1"/>
    <s v="Amaka Onwuka"/>
    <x v="0"/>
    <x v="7"/>
    <x v="0"/>
  </r>
  <r>
    <s v="TXN-01277"/>
    <d v="2025-08-20T00:00:00"/>
    <x v="5"/>
    <s v="South-West"/>
    <x v="3"/>
    <s v="Denim Jeans"/>
    <n v="8"/>
    <n v="7840"/>
    <n v="15"/>
    <n v="53312"/>
    <n v="62720"/>
    <n v="9408"/>
    <x v="0"/>
    <s v="Segun Chukwu"/>
    <x v="0"/>
    <x v="2"/>
    <x v="0"/>
  </r>
  <r>
    <s v="TXN-00517"/>
    <d v="2025-10-20T00:00:00"/>
    <x v="1"/>
    <s v="South-West"/>
    <x v="4"/>
    <s v="Rice 50kg Bag"/>
    <n v="8"/>
    <n v="51170"/>
    <n v="10"/>
    <n v="368424"/>
    <n v="409360"/>
    <n v="40936"/>
    <x v="1"/>
    <s v="Obinna Yusuf"/>
    <x v="0"/>
    <x v="6"/>
    <x v="1"/>
  </r>
  <r>
    <s v="TXN-00529"/>
    <d v="2025-01-07T00:00:00"/>
    <x v="4"/>
    <s v="South-West"/>
    <x v="2"/>
    <s v="Dinner Set"/>
    <n v="3"/>
    <n v="5480"/>
    <n v="0"/>
    <n v="16440"/>
    <n v="16440"/>
    <n v="0"/>
    <x v="3"/>
    <s v="Tunde Balogun"/>
    <x v="0"/>
    <x v="7"/>
    <x v="1"/>
  </r>
  <r>
    <s v="TXN-01151"/>
    <d v="2025-03-14T00:00:00"/>
    <x v="6"/>
    <s v="South-South"/>
    <x v="2"/>
    <s v="Dinner Set"/>
    <n v="8"/>
    <n v="5030"/>
    <n v="0"/>
    <n v="40240"/>
    <n v="40240"/>
    <n v="0"/>
    <x v="0"/>
    <s v="Mary Nnamdi"/>
    <x v="0"/>
    <x v="9"/>
    <x v="1"/>
  </r>
  <r>
    <s v="TXN-00395"/>
    <d v="2025-08-30T00:00:00"/>
    <x v="1"/>
    <s v="South-West"/>
    <x v="3"/>
    <s v="School Sandals"/>
    <n v="7"/>
    <n v="70060"/>
    <n v="15"/>
    <n v="416857"/>
    <n v="490420"/>
    <n v="73563"/>
    <x v="0"/>
    <s v="Uche Okoro"/>
    <x v="0"/>
    <x v="2"/>
    <x v="1"/>
  </r>
  <r>
    <s v="TXN-00942"/>
    <d v="2025-12-11T00:00:00"/>
    <x v="3"/>
    <s v="South-South"/>
    <x v="4"/>
    <s v="Semovita 2kg"/>
    <n v="5"/>
    <n v="9510"/>
    <n v="0"/>
    <n v="47550"/>
    <n v="47550"/>
    <n v="0"/>
    <x v="0"/>
    <s v="Peter Adekunle"/>
    <x v="0"/>
    <x v="11"/>
    <x v="0"/>
  </r>
  <r>
    <s v="TXN-01199"/>
    <d v="2025-08-27T00:00:00"/>
    <x v="5"/>
    <s v="South-West"/>
    <x v="0"/>
    <s v="Baby Diaper Pack"/>
    <n v="12"/>
    <n v="540"/>
    <n v="0"/>
    <n v="6480"/>
    <n v="6480"/>
    <n v="0"/>
    <x v="2"/>
    <s v="Funmi Eze"/>
    <x v="0"/>
    <x v="2"/>
    <x v="0"/>
  </r>
  <r>
    <s v="TXN-00145"/>
    <d v="2025-08-23T00:00:00"/>
    <x v="2"/>
    <s v="South-West"/>
    <x v="2"/>
    <s v="Curtain Set"/>
    <n v="12"/>
    <n v="7840"/>
    <n v="0"/>
    <n v="94080"/>
    <n v="94080"/>
    <n v="0"/>
    <x v="0"/>
    <s v="Tunde Balogun"/>
    <x v="0"/>
    <x v="2"/>
    <x v="1"/>
  </r>
  <r>
    <s v="TXN-00851"/>
    <d v="2025-05-11T00:00:00"/>
    <x v="4"/>
    <s v="North-West"/>
    <x v="1"/>
    <s v="LED TV 43&quot;"/>
    <n v="4"/>
    <n v="500"/>
    <n v="0"/>
    <n v="2000"/>
    <n v="2000"/>
    <n v="0"/>
    <x v="3"/>
    <s v="Funmi Eze"/>
    <x v="0"/>
    <x v="5"/>
    <x v="1"/>
  </r>
  <r>
    <s v="TXN-00152"/>
    <d v="2025-07-23T00:00:00"/>
    <x v="6"/>
    <s v="South-South"/>
    <x v="1"/>
    <s v="LED TV 43&quot;"/>
    <n v="1"/>
    <n v="480"/>
    <n v="0"/>
    <n v="480"/>
    <n v="480"/>
    <n v="0"/>
    <x v="0"/>
    <s v="Peter Adekunle"/>
    <x v="0"/>
    <x v="10"/>
    <x v="0"/>
  </r>
  <r>
    <s v="TXN-00869"/>
    <d v="2025-03-14T00:00:00"/>
    <x v="0"/>
    <s v="North-Central"/>
    <x v="0"/>
    <s v="Toothpaste Pack"/>
    <n v="4"/>
    <n v="1140"/>
    <n v="10"/>
    <n v="4104"/>
    <n v="4560"/>
    <n v="456"/>
    <x v="0"/>
    <s v="Ade Abubakar"/>
    <x v="0"/>
    <x v="9"/>
    <x v="0"/>
  </r>
  <r>
    <s v="TXN-00670"/>
    <d v="2025-08-13T00:00:00"/>
    <x v="2"/>
    <s v="South-East"/>
    <x v="3"/>
    <s v="School Sandals"/>
    <n v="4"/>
    <n v="24370"/>
    <n v="0"/>
    <n v="97480"/>
    <n v="97480"/>
    <n v="0"/>
    <x v="1"/>
    <s v="Segun Chukwu"/>
    <x v="0"/>
    <x v="2"/>
    <x v="0"/>
  </r>
  <r>
    <s v="TXN-00171"/>
    <d v="2025-06-27T00:00:00"/>
    <x v="2"/>
    <s v="South-East"/>
    <x v="0"/>
    <s v="Perfume 100ml"/>
    <n v="2"/>
    <n v="2460"/>
    <n v="5"/>
    <n v="4674"/>
    <n v="4920"/>
    <n v="246"/>
    <x v="1"/>
    <s v="Uche Okoro"/>
    <x v="0"/>
    <x v="1"/>
    <x v="1"/>
  </r>
  <r>
    <s v="TXN-01367"/>
    <d v="2025-04-23T00:00:00"/>
    <x v="2"/>
    <s v="South-East"/>
    <x v="4"/>
    <s v="Milo 500g"/>
    <n v="9"/>
    <n v="7870"/>
    <n v="5"/>
    <n v="67288.5"/>
    <n v="70830"/>
    <n v="3541.5"/>
    <x v="1"/>
    <s v="Segun Chukwu"/>
    <x v="0"/>
    <x v="4"/>
    <x v="1"/>
  </r>
  <r>
    <s v="TXN-00228"/>
    <d v="2025-04-09T00:00:00"/>
    <x v="1"/>
    <s v="South-West"/>
    <x v="4"/>
    <s v="Men's Polo Shirt"/>
    <n v="10"/>
    <n v="1140"/>
    <n v="0"/>
    <n v="11400"/>
    <n v="11400"/>
    <n v="0"/>
    <x v="3"/>
    <s v="Uche Okoro"/>
    <x v="0"/>
    <x v="4"/>
    <x v="1"/>
  </r>
  <r>
    <s v="TXN-00165"/>
    <d v="2025-02-01T00:00:00"/>
    <x v="1"/>
    <s v="South-West"/>
    <x v="4"/>
    <s v="Toothpaste Pack"/>
    <n v="9"/>
    <n v="12040"/>
    <n v="0"/>
    <n v="108360"/>
    <n v="108360"/>
    <n v="0"/>
    <x v="3"/>
    <s v="Funmi Eze"/>
    <x v="0"/>
    <x v="8"/>
    <x v="1"/>
  </r>
  <r>
    <s v="TXN-01366"/>
    <d v="2025-12-26T00:00:00"/>
    <x v="3"/>
    <s v="South-South"/>
    <x v="2"/>
    <s v="Laundry Basket"/>
    <n v="6"/>
    <n v="1350"/>
    <n v="0"/>
    <n v="8100"/>
    <n v="8100"/>
    <n v="0"/>
    <x v="0"/>
    <s v="Mary Nnamdi"/>
    <x v="0"/>
    <x v="11"/>
    <x v="0"/>
  </r>
  <r>
    <s v="TXN-00099"/>
    <d v="2025-09-26T00:00:00"/>
    <x v="2"/>
    <s v="South-East"/>
    <x v="1"/>
    <s v="Standing Fan"/>
    <n v="8"/>
    <n v="59330"/>
    <n v="0"/>
    <n v="474640"/>
    <n v="474640"/>
    <n v="0"/>
    <x v="2"/>
    <s v="Grace Okafor"/>
    <x v="0"/>
    <x v="0"/>
    <x v="0"/>
  </r>
  <r>
    <s v="TXN-00015"/>
    <d v="2025-03-01T00:00:00"/>
    <x v="1"/>
    <s v="South-West"/>
    <x v="0"/>
    <s v="Shea Butter Cream"/>
    <n v="3"/>
    <n v="41670"/>
    <n v="10"/>
    <n v="112509"/>
    <n v="125010"/>
    <n v="12501"/>
    <x v="3"/>
    <s v="Funmi Eze"/>
    <x v="0"/>
    <x v="9"/>
    <x v="1"/>
  </r>
  <r>
    <s v="TXN-00110"/>
    <d v="2025-08-22T00:00:00"/>
    <x v="1"/>
    <s v="South-West"/>
    <x v="3"/>
    <s v="Ladies Ankara Gown"/>
    <n v="9"/>
    <n v="510"/>
    <n v="0"/>
    <n v="4590"/>
    <n v="4590"/>
    <n v="0"/>
    <x v="2"/>
    <s v="Uche Okoro"/>
    <x v="0"/>
    <x v="2"/>
    <x v="1"/>
  </r>
  <r>
    <s v="TXN-00798"/>
    <d v="2025-12-31T00:00:00"/>
    <x v="3"/>
    <s v="South-South"/>
    <x v="4"/>
    <s v="Curtain Set"/>
    <n v="2"/>
    <n v="16950"/>
    <n v="0"/>
    <n v="33900"/>
    <n v="33900"/>
    <n v="0"/>
    <x v="1"/>
    <s v="Ngozi Ibrahim"/>
    <x v="0"/>
    <x v="11"/>
    <x v="1"/>
  </r>
  <r>
    <s v="TXN-00356"/>
    <d v="2025-04-13T00:00:00"/>
    <x v="2"/>
    <s v="South-East"/>
    <x v="0"/>
    <s v="Perfume 100ml"/>
    <n v="4"/>
    <n v="1190"/>
    <n v="15"/>
    <n v="4046"/>
    <n v="4760"/>
    <n v="714"/>
    <x v="0"/>
    <s v="Kelechi Nwosu"/>
    <x v="0"/>
    <x v="4"/>
    <x v="0"/>
  </r>
  <r>
    <s v="TXN-01273"/>
    <d v="2025-12-15T00:00:00"/>
    <x v="5"/>
    <s v="South-West"/>
    <x v="1"/>
    <s v="Rice Cooker"/>
    <n v="6"/>
    <n v="1180"/>
    <n v="0"/>
    <n v="7080"/>
    <n v="7080"/>
    <n v="0"/>
    <x v="3"/>
    <s v="Segun Chukwu"/>
    <x v="0"/>
    <x v="11"/>
    <x v="0"/>
  </r>
  <r>
    <s v="TXN-01480"/>
    <d v="2025-05-20T00:00:00"/>
    <x v="0"/>
    <s v="North-Central"/>
    <x v="0"/>
    <s v="Body Lotion 400ml"/>
    <n v="6"/>
    <n v="1360"/>
    <n v="10"/>
    <n v="7344"/>
    <n v="8160"/>
    <n v="816"/>
    <x v="3"/>
    <s v="Obinna Yusuf"/>
    <x v="0"/>
    <x v="5"/>
    <x v="1"/>
  </r>
  <r>
    <s v="TXN-00113"/>
    <d v="2025-01-17T00:00:00"/>
    <x v="5"/>
    <s v="South-West"/>
    <x v="4"/>
    <s v="Indomie Carton"/>
    <n v="12"/>
    <n v="4740"/>
    <n v="0"/>
    <n v="56880"/>
    <n v="56880"/>
    <n v="0"/>
    <x v="2"/>
    <s v="Amaka Onwuka"/>
    <x v="0"/>
    <x v="7"/>
    <x v="0"/>
  </r>
  <r>
    <s v="TXN-01329"/>
    <d v="2025-01-17T00:00:00"/>
    <x v="1"/>
    <s v="South-West"/>
    <x v="2"/>
    <s v="Bedsheet Set"/>
    <n v="5"/>
    <n v="4720"/>
    <n v="0"/>
    <n v="23600"/>
    <n v="23600"/>
    <n v="0"/>
    <x v="2"/>
    <s v="Ngozi Ibrahim"/>
    <x v="0"/>
    <x v="7"/>
    <x v="0"/>
  </r>
  <r>
    <s v="TXN-01238"/>
    <d v="2025-05-16T00:00:00"/>
    <x v="4"/>
    <s v="South-West"/>
    <x v="3"/>
    <s v="Office Blazer"/>
    <n v="6"/>
    <n v="17260"/>
    <n v="0"/>
    <n v="103560"/>
    <n v="103560"/>
    <n v="0"/>
    <x v="2"/>
    <s v="Obinna Yusuf"/>
    <x v="0"/>
    <x v="5"/>
    <x v="0"/>
  </r>
  <r>
    <s v="TXN-00259"/>
    <d v="2025-04-05T00:00:00"/>
    <x v="1"/>
    <s v="South-West"/>
    <x v="4"/>
    <s v="Indomie Carton"/>
    <n v="1"/>
    <n v="17850"/>
    <n v="0"/>
    <n v="17850"/>
    <n v="17850"/>
    <n v="0"/>
    <x v="3"/>
    <s v="Grace Okafor"/>
    <x v="0"/>
    <x v="4"/>
    <x v="1"/>
  </r>
  <r>
    <s v="TXN-00660"/>
    <d v="2025-06-18T00:00:00"/>
    <x v="6"/>
    <s v="South-South"/>
    <x v="0"/>
    <s v="Toothpaste Pack"/>
    <n v="7"/>
    <n v="8000"/>
    <n v="0"/>
    <n v="56000"/>
    <n v="56000"/>
    <n v="0"/>
    <x v="2"/>
    <s v="Kelechi Nwosu"/>
    <x v="0"/>
    <x v="1"/>
    <x v="0"/>
  </r>
  <r>
    <s v="TXN-00742"/>
    <d v="2025-04-12T00:00:00"/>
    <x v="1"/>
    <s v="South-West"/>
    <x v="4"/>
    <s v="Sugar 1kg"/>
    <n v="5"/>
    <n v="9160"/>
    <n v="0"/>
    <n v="45800"/>
    <n v="45800"/>
    <n v="0"/>
    <x v="1"/>
    <s v="Chinwe Etim"/>
    <x v="0"/>
    <x v="4"/>
    <x v="0"/>
  </r>
  <r>
    <s v="TXN-00310"/>
    <d v="2025-06-25T00:00:00"/>
    <x v="0"/>
    <s v="North-Central"/>
    <x v="4"/>
    <s v="Milo 500g"/>
    <n v="9"/>
    <n v="11340"/>
    <n v="0"/>
    <n v="102060"/>
    <n v="102060"/>
    <n v="0"/>
    <x v="0"/>
    <s v="Mary Nnamdi"/>
    <x v="0"/>
    <x v="1"/>
    <x v="0"/>
  </r>
  <r>
    <s v="TXN-01195"/>
    <d v="2025-02-01T00:00:00"/>
    <x v="6"/>
    <s v="South-South"/>
    <x v="1"/>
    <s v="Electric Kettle"/>
    <n v="4"/>
    <n v="500"/>
    <n v="0"/>
    <n v="2000"/>
    <n v="2000"/>
    <n v="0"/>
    <x v="2"/>
    <s v="Funmi Eze"/>
    <x v="0"/>
    <x v="8"/>
    <x v="1"/>
  </r>
  <r>
    <s v="TXN-00815"/>
    <d v="2025-09-12T00:00:00"/>
    <x v="0"/>
    <s v="North-Central"/>
    <x v="0"/>
    <s v="Toothpaste Pack"/>
    <n v="1"/>
    <n v="5610"/>
    <n v="5"/>
    <n v="5329.5"/>
    <n v="5610"/>
    <n v="280.5"/>
    <x v="3"/>
    <s v="Tunde Balogun"/>
    <x v="0"/>
    <x v="0"/>
    <x v="1"/>
  </r>
  <r>
    <s v="TXN-00810"/>
    <d v="2025-12-30T00:00:00"/>
    <x v="1"/>
    <s v="South-West"/>
    <x v="4"/>
    <s v="Indomie Carton"/>
    <n v="11"/>
    <n v="1360"/>
    <n v="10"/>
    <n v="13464"/>
    <n v="14960"/>
    <n v="1496"/>
    <x v="3"/>
    <s v="Obinna Yusuf"/>
    <x v="0"/>
    <x v="11"/>
    <x v="1"/>
  </r>
  <r>
    <s v="TXN-01108"/>
    <d v="2025-05-29T00:00:00"/>
    <x v="5"/>
    <s v="South-West"/>
    <x v="4"/>
    <s v="Spaghetti Pack"/>
    <n v="3"/>
    <n v="13330"/>
    <n v="0"/>
    <n v="39990"/>
    <n v="39990"/>
    <n v="0"/>
    <x v="3"/>
    <s v="Amaka Onwuka"/>
    <x v="0"/>
    <x v="5"/>
    <x v="0"/>
  </r>
  <r>
    <s v="TXN-00203"/>
    <d v="2025-02-01T00:00:00"/>
    <x v="4"/>
    <s v="North-West"/>
    <x v="2"/>
    <s v="Laundry Basket"/>
    <n v="2"/>
    <n v="65850"/>
    <n v="5"/>
    <n v="125115"/>
    <n v="131700"/>
    <n v="6585"/>
    <x v="1"/>
    <s v="Kelechi Nwosu"/>
    <x v="0"/>
    <x v="8"/>
    <x v="1"/>
  </r>
  <r>
    <s v="TXN-00974"/>
    <d v="2025-12-03T00:00:00"/>
    <x v="6"/>
    <s v="South-South"/>
    <x v="1"/>
    <s v="Bluetooth Speaker"/>
    <n v="8"/>
    <n v="530"/>
    <n v="0"/>
    <n v="4240"/>
    <n v="4240"/>
    <n v="0"/>
    <x v="2"/>
    <s v="Chinwe Etim"/>
    <x v="0"/>
    <x v="11"/>
    <x v="1"/>
  </r>
  <r>
    <s v="TXN-00271"/>
    <d v="2025-08-01T00:00:00"/>
    <x v="6"/>
    <s v="South-South"/>
    <x v="1"/>
    <s v="Bluetooth Speaker"/>
    <n v="3"/>
    <n v="4214.1176470588234"/>
    <n v="15"/>
    <n v="10746"/>
    <n v="12642.35294117647"/>
    <n v="1896.3529411764705"/>
    <x v="2"/>
    <s v="Kelechi Nwosu"/>
    <x v="0"/>
    <x v="2"/>
    <x v="0"/>
  </r>
  <r>
    <s v="TXN-01479"/>
    <d v="2025-05-21T00:00:00"/>
    <x v="1"/>
    <s v="South-West"/>
    <x v="2"/>
    <s v="Dinner Set"/>
    <n v="9"/>
    <n v="1320"/>
    <n v="0"/>
    <n v="11880"/>
    <n v="11880"/>
    <n v="0"/>
    <x v="2"/>
    <s v="Funmi Eze"/>
    <x v="0"/>
    <x v="5"/>
    <x v="0"/>
  </r>
  <r>
    <s v="TXN-00514"/>
    <d v="2025-05-31T00:00:00"/>
    <x v="1"/>
    <s v="South-West"/>
    <x v="3"/>
    <s v="School Sandals"/>
    <n v="6"/>
    <n v="560"/>
    <n v="0"/>
    <n v="3360"/>
    <n v="3360"/>
    <n v="0"/>
    <x v="3"/>
    <s v="Uche Okoro"/>
    <x v="0"/>
    <x v="5"/>
    <x v="0"/>
  </r>
  <r>
    <s v="TXN-00487"/>
    <d v="2025-06-06T00:00:00"/>
    <x v="5"/>
    <s v="South-West"/>
    <x v="3"/>
    <s v="Office Blazer"/>
    <n v="7"/>
    <n v="17490"/>
    <n v="5"/>
    <n v="116308.5"/>
    <n v="122430"/>
    <n v="6121.5"/>
    <x v="1"/>
    <s v="Mary Nnamdi"/>
    <x v="0"/>
    <x v="1"/>
    <x v="1"/>
  </r>
  <r>
    <s v="TXN-01228"/>
    <d v="2025-06-07T00:00:00"/>
    <x v="5"/>
    <s v="South-West"/>
    <x v="3"/>
    <s v="School Sandals"/>
    <n v="7"/>
    <n v="70830"/>
    <n v="0"/>
    <n v="495810"/>
    <n v="495810"/>
    <n v="0"/>
    <x v="2"/>
    <s v="Ngozi Ibrahim"/>
    <x v="0"/>
    <x v="1"/>
    <x v="1"/>
  </r>
  <r>
    <s v="TXN-00473"/>
    <d v="2025-03-11T00:00:00"/>
    <x v="0"/>
    <s v="North-Central"/>
    <x v="4"/>
    <s v="Indomie Carton"/>
    <n v="3"/>
    <n v="2630"/>
    <n v="0"/>
    <n v="7890"/>
    <n v="7890"/>
    <n v="0"/>
    <x v="1"/>
    <s v="Funmi Eze"/>
    <x v="0"/>
    <x v="9"/>
    <x v="1"/>
  </r>
  <r>
    <s v="TXN-00011"/>
    <d v="2025-02-17T00:00:00"/>
    <x v="5"/>
    <s v="South-West"/>
    <x v="1"/>
    <s v="Standing Fan"/>
    <n v="9"/>
    <n v="530"/>
    <n v="0"/>
    <n v="4770"/>
    <n v="4770"/>
    <n v="0"/>
    <x v="0"/>
    <s v="Mary Nnamdi"/>
    <x v="0"/>
    <x v="8"/>
    <x v="0"/>
  </r>
  <r>
    <s v="TXN-00996"/>
    <d v="2025-11-11T00:00:00"/>
    <x v="3"/>
    <s v="South-West"/>
    <x v="1"/>
    <s v="Rice Cooker"/>
    <n v="3"/>
    <n v="2250"/>
    <n v="5"/>
    <n v="6412.5"/>
    <n v="6750"/>
    <n v="337.5"/>
    <x v="3"/>
    <s v="Ade Abubakar"/>
    <x v="0"/>
    <x v="3"/>
    <x v="1"/>
  </r>
  <r>
    <s v="TXN-00739"/>
    <d v="2025-06-13T00:00:00"/>
    <x v="1"/>
    <s v="South-West"/>
    <x v="3"/>
    <s v="Ladies Ankara Gown"/>
    <n v="11"/>
    <n v="570"/>
    <n v="0"/>
    <n v="6270"/>
    <n v="6270"/>
    <n v="0"/>
    <x v="2"/>
    <s v="Funmi Eze"/>
    <x v="0"/>
    <x v="1"/>
    <x v="1"/>
  </r>
  <r>
    <s v="TXN-00672"/>
    <d v="2025-01-17T00:00:00"/>
    <x v="4"/>
    <s v="North-West"/>
    <x v="3"/>
    <s v="Men's Polo Shirt"/>
    <n v="10"/>
    <n v="17880"/>
    <n v="0"/>
    <n v="178800"/>
    <n v="178800"/>
    <n v="0"/>
    <x v="0"/>
    <s v="Segun Chukwu"/>
    <x v="0"/>
    <x v="7"/>
    <x v="0"/>
  </r>
  <r>
    <s v="TXN-01323"/>
    <d v="2025-06-03T00:00:00"/>
    <x v="0"/>
    <s v="North-Central"/>
    <x v="1"/>
    <s v="Microwave Oven"/>
    <n v="10"/>
    <n v="3410"/>
    <n v="15"/>
    <n v="28985"/>
    <n v="34100"/>
    <n v="5115"/>
    <x v="1"/>
    <s v="Uche Okoro"/>
    <x v="0"/>
    <x v="1"/>
    <x v="1"/>
  </r>
  <r>
    <s v="TXN-01287"/>
    <d v="2025-06-25T00:00:00"/>
    <x v="3"/>
    <s v="South-South"/>
    <x v="2"/>
    <s v="Plastic Chair Set"/>
    <n v="3"/>
    <n v="17660"/>
    <n v="15"/>
    <n v="45033"/>
    <n v="52980"/>
    <n v="7947"/>
    <x v="1"/>
    <s v="Ifeoma Adeyemi"/>
    <x v="0"/>
    <x v="1"/>
    <x v="0"/>
  </r>
  <r>
    <s v="TXN-01358"/>
    <d v="2025-08-28T00:00:00"/>
    <x v="6"/>
    <s v="South-South"/>
    <x v="0"/>
    <s v="Hair Relaxer Kit"/>
    <n v="3"/>
    <n v="9000"/>
    <n v="0"/>
    <n v="27000"/>
    <n v="27000"/>
    <n v="0"/>
    <x v="1"/>
    <s v="Grace Okafor"/>
    <x v="0"/>
    <x v="2"/>
    <x v="0"/>
  </r>
  <r>
    <s v="TXN-00607"/>
    <d v="2025-11-04T00:00:00"/>
    <x v="0"/>
    <s v="North-Central"/>
    <x v="1"/>
    <s v="Home Theatre System"/>
    <n v="8"/>
    <n v="60580"/>
    <n v="0"/>
    <n v="484640"/>
    <n v="484640"/>
    <n v="0"/>
    <x v="3"/>
    <s v="Kelechi Nwosu"/>
    <x v="0"/>
    <x v="3"/>
    <x v="1"/>
  </r>
  <r>
    <s v="TXN-00209"/>
    <d v="2025-11-28T00:00:00"/>
    <x v="1"/>
    <s v="South-West"/>
    <x v="1"/>
    <s v="Home Theatre System"/>
    <n v="11"/>
    <n v="1260"/>
    <n v="5"/>
    <n v="13167"/>
    <n v="13860"/>
    <n v="693"/>
    <x v="1"/>
    <s v="Segun Chukwu"/>
    <x v="0"/>
    <x v="3"/>
    <x v="1"/>
  </r>
  <r>
    <s v="TXN-00032"/>
    <d v="2025-08-27T00:00:00"/>
    <x v="5"/>
    <s v="South-West"/>
    <x v="3"/>
    <s v="School Sandals"/>
    <n v="9"/>
    <n v="27550"/>
    <n v="0"/>
    <n v="247950"/>
    <n v="247950"/>
    <n v="0"/>
    <x v="3"/>
    <s v="Kelechi Nwosu"/>
    <x v="0"/>
    <x v="2"/>
    <x v="1"/>
  </r>
  <r>
    <s v="TXN-00918"/>
    <d v="2025-07-31T00:00:00"/>
    <x v="5"/>
    <s v="South-West"/>
    <x v="0"/>
    <s v="Shea Butter Cream"/>
    <n v="10"/>
    <n v="9060"/>
    <n v="0"/>
    <n v="90600"/>
    <n v="90600"/>
    <n v="0"/>
    <x v="2"/>
    <s v="Tunde Balogun"/>
    <x v="0"/>
    <x v="10"/>
    <x v="0"/>
  </r>
  <r>
    <s v="TXN-01221"/>
    <d v="2025-01-02T00:00:00"/>
    <x v="4"/>
    <s v="North-West"/>
    <x v="2"/>
    <s v="Cleaning Mop"/>
    <n v="8"/>
    <n v="8210"/>
    <n v="0"/>
    <n v="65680"/>
    <n v="65680"/>
    <n v="0"/>
    <x v="1"/>
    <s v="Peter Adekunle"/>
    <x v="0"/>
    <x v="7"/>
    <x v="0"/>
  </r>
  <r>
    <s v="TXN-01422"/>
    <d v="2025-12-28T00:00:00"/>
    <x v="3"/>
    <s v="South-West"/>
    <x v="2"/>
    <s v="Laundry Basket"/>
    <n v="2"/>
    <n v="2820"/>
    <n v="0"/>
    <n v="5640"/>
    <n v="5640"/>
    <n v="0"/>
    <x v="2"/>
    <s v="Segun Chukwu"/>
    <x v="0"/>
    <x v="11"/>
    <x v="1"/>
  </r>
  <r>
    <s v="TXN-01096"/>
    <d v="2025-06-25T00:00:00"/>
    <x v="0"/>
    <s v="North-Central"/>
    <x v="1"/>
    <s v="Rice Cooker"/>
    <n v="7"/>
    <n v="65990"/>
    <n v="0"/>
    <n v="461930"/>
    <n v="461930"/>
    <n v="0"/>
    <x v="0"/>
    <s v="Grace Okafor"/>
    <x v="0"/>
    <x v="1"/>
    <x v="0"/>
  </r>
  <r>
    <s v="TXN-01214"/>
    <d v="2025-08-08T00:00:00"/>
    <x v="5"/>
    <s v="South-West"/>
    <x v="4"/>
    <s v="Semovita 2kg"/>
    <n v="8"/>
    <n v="520"/>
    <n v="0"/>
    <n v="4160"/>
    <n v="4160"/>
    <n v="0"/>
    <x v="0"/>
    <s v="Segun Chukwu"/>
    <x v="0"/>
    <x v="2"/>
    <x v="0"/>
  </r>
  <r>
    <s v="TXN-00428"/>
    <d v="2025-09-23T00:00:00"/>
    <x v="1"/>
    <s v="South-West"/>
    <x v="4"/>
    <s v="Spaghetti Pack"/>
    <n v="6"/>
    <n v="24640"/>
    <n v="0"/>
    <n v="147840"/>
    <n v="147840"/>
    <n v="0"/>
    <x v="2"/>
    <s v="Tunde Balogun"/>
    <x v="0"/>
    <x v="0"/>
    <x v="1"/>
  </r>
  <r>
    <s v="TXN-00821"/>
    <d v="2025-07-18T00:00:00"/>
    <x v="1"/>
    <s v="South-West"/>
    <x v="4"/>
    <s v="Ladies Ankara Gown"/>
    <n v="8"/>
    <n v="51010"/>
    <n v="0"/>
    <n v="408080"/>
    <n v="408080"/>
    <n v="0"/>
    <x v="2"/>
    <s v="Kelechi Nwosu"/>
    <x v="0"/>
    <x v="10"/>
    <x v="0"/>
  </r>
  <r>
    <s v="TXN-00620"/>
    <d v="2025-09-02T00:00:00"/>
    <x v="1"/>
    <s v="South-West"/>
    <x v="2"/>
    <s v="Curtain Set"/>
    <n v="11"/>
    <n v="5200"/>
    <n v="0"/>
    <n v="57200"/>
    <n v="57200"/>
    <n v="0"/>
    <x v="3"/>
    <s v="Peter Adekunle"/>
    <x v="0"/>
    <x v="0"/>
    <x v="1"/>
  </r>
  <r>
    <s v="TXN-01436"/>
    <d v="2025-08-22T00:00:00"/>
    <x v="4"/>
    <s v="North-West"/>
    <x v="3"/>
    <s v="Handbag"/>
    <n v="10"/>
    <n v="25870"/>
    <n v="10"/>
    <n v="232830"/>
    <n v="258700"/>
    <n v="25870"/>
    <x v="0"/>
    <s v="Obinna Yusuf"/>
    <x v="0"/>
    <x v="2"/>
    <x v="1"/>
  </r>
  <r>
    <s v="TXN-00539"/>
    <d v="2025-07-20T00:00:00"/>
    <x v="5"/>
    <s v="South-West"/>
    <x v="2"/>
    <s v="Storage Basket"/>
    <n v="6"/>
    <n v="1100"/>
    <n v="5"/>
    <n v="6270"/>
    <n v="6600"/>
    <n v="330"/>
    <x v="0"/>
    <s v="Uche Okoro"/>
    <x v="0"/>
    <x v="10"/>
    <x v="0"/>
  </r>
  <r>
    <s v="TXN-00760"/>
    <d v="2025-12-03T00:00:00"/>
    <x v="3"/>
    <s v="South-South"/>
    <x v="1"/>
    <s v="Standing Fan"/>
    <n v="1"/>
    <n v="8490"/>
    <n v="0"/>
    <n v="8490"/>
    <n v="8490"/>
    <n v="0"/>
    <x v="1"/>
    <s v="Obinna Yusuf"/>
    <x v="0"/>
    <x v="11"/>
    <x v="1"/>
  </r>
  <r>
    <s v="TXN-00385"/>
    <d v="2025-07-18T00:00:00"/>
    <x v="0"/>
    <s v="North-Central"/>
    <x v="4"/>
    <s v="Sugar 1kg"/>
    <n v="4"/>
    <n v="1090"/>
    <n v="0"/>
    <n v="4360"/>
    <n v="4360"/>
    <n v="0"/>
    <x v="2"/>
    <s v="Mary Nnamdi"/>
    <x v="0"/>
    <x v="10"/>
    <x v="1"/>
  </r>
  <r>
    <s v="TXN-01255"/>
    <d v="2025-08-29T00:00:00"/>
    <x v="4"/>
    <s v="North-West"/>
    <x v="2"/>
    <s v="Curtain Set"/>
    <n v="3"/>
    <n v="11860"/>
    <n v="10"/>
    <n v="32022"/>
    <n v="35580"/>
    <n v="3558"/>
    <x v="0"/>
    <s v="Mary Nnamdi"/>
    <x v="0"/>
    <x v="2"/>
    <x v="1"/>
  </r>
  <r>
    <s v="TXN-01142"/>
    <d v="2025-11-12T00:00:00"/>
    <x v="4"/>
    <s v="North-West"/>
    <x v="1"/>
    <s v="Electric Kettle"/>
    <n v="9"/>
    <n v="520"/>
    <n v="0"/>
    <n v="4680"/>
    <n v="4680"/>
    <n v="0"/>
    <x v="0"/>
    <s v="Mary Nnamdi"/>
    <x v="0"/>
    <x v="3"/>
    <x v="1"/>
  </r>
  <r>
    <s v="TXN-01204"/>
    <d v="2025-11-19T00:00:00"/>
    <x v="4"/>
    <s v="North-West"/>
    <x v="4"/>
    <s v="Milo 500g"/>
    <n v="10"/>
    <n v="3440"/>
    <n v="0"/>
    <n v="34400"/>
    <n v="34400"/>
    <n v="0"/>
    <x v="2"/>
    <s v="Grace Okafor"/>
    <x v="0"/>
    <x v="3"/>
    <x v="1"/>
  </r>
  <r>
    <s v="TXN-01429"/>
    <d v="2025-03-06T00:00:00"/>
    <x v="0"/>
    <s v="North-Central"/>
    <x v="4"/>
    <s v="Vegetable Oil 5L"/>
    <n v="5"/>
    <n v="10920"/>
    <n v="0"/>
    <n v="54600"/>
    <n v="54600"/>
    <n v="0"/>
    <x v="2"/>
    <s v="Uche Okoro"/>
    <x v="0"/>
    <x v="9"/>
    <x v="0"/>
  </r>
  <r>
    <s v="TXN-00806"/>
    <d v="2025-12-14T00:00:00"/>
    <x v="4"/>
    <s v="South-South"/>
    <x v="4"/>
    <s v="Rice 50kg Bag"/>
    <n v="5"/>
    <n v="2270"/>
    <n v="15"/>
    <n v="9647.5"/>
    <n v="11350"/>
    <n v="1702.5"/>
    <x v="2"/>
    <s v="Ifeoma Adeyemi"/>
    <x v="0"/>
    <x v="11"/>
    <x v="1"/>
  </r>
  <r>
    <s v="TXN-00051"/>
    <d v="2025-09-05T00:00:00"/>
    <x v="1"/>
    <s v="South-West"/>
    <x v="2"/>
    <s v="Dinner Set"/>
    <n v="4"/>
    <n v="13340"/>
    <n v="0"/>
    <n v="53360"/>
    <n v="53360"/>
    <n v="0"/>
    <x v="1"/>
    <s v="Kelechi Nwosu"/>
    <x v="0"/>
    <x v="0"/>
    <x v="1"/>
  </r>
  <r>
    <s v="TXN-00695"/>
    <d v="2025-07-21T00:00:00"/>
    <x v="3"/>
    <s v="South-South"/>
    <x v="0"/>
    <s v="Perfume 100ml"/>
    <n v="12"/>
    <n v="7840"/>
    <n v="0"/>
    <n v="94080"/>
    <n v="94080"/>
    <n v="0"/>
    <x v="0"/>
    <s v="Chinwe Etim"/>
    <x v="0"/>
    <x v="10"/>
    <x v="0"/>
  </r>
  <r>
    <s v="TXN-00280"/>
    <d v="2025-01-22T00:00:00"/>
    <x v="4"/>
    <s v="North-West"/>
    <x v="0"/>
    <s v="Bathing Soap Pack"/>
    <n v="7"/>
    <n v="13460"/>
    <n v="0"/>
    <n v="94220"/>
    <n v="94220"/>
    <n v="0"/>
    <x v="0"/>
    <s v="Kelechi Nwosu"/>
    <x v="0"/>
    <x v="7"/>
    <x v="1"/>
  </r>
  <r>
    <s v="TXN-00796"/>
    <d v="2025-03-14T00:00:00"/>
    <x v="5"/>
    <s v="South-West"/>
    <x v="3"/>
    <s v="School Sandals"/>
    <n v="7"/>
    <n v="49430"/>
    <n v="5"/>
    <n v="328709.5"/>
    <n v="346010"/>
    <n v="17300.5"/>
    <x v="0"/>
    <s v="Tunde Balogun"/>
    <x v="0"/>
    <x v="9"/>
    <x v="0"/>
  </r>
  <r>
    <s v="TXN-00249"/>
    <d v="2025-10-30T00:00:00"/>
    <x v="4"/>
    <s v="South-West"/>
    <x v="3"/>
    <s v="Kids Sneakers"/>
    <n v="12"/>
    <n v="2860"/>
    <n v="0"/>
    <n v="34320"/>
    <n v="34320"/>
    <n v="0"/>
    <x v="0"/>
    <s v="Chidera Bello"/>
    <x v="0"/>
    <x v="6"/>
    <x v="1"/>
  </r>
  <r>
    <s v="TXN-00243"/>
    <d v="2025-03-16T00:00:00"/>
    <x v="5"/>
    <s v="South-West"/>
    <x v="1"/>
    <s v="Microwave Oven"/>
    <n v="7"/>
    <n v="18140"/>
    <n v="5"/>
    <n v="120631"/>
    <n v="126980"/>
    <n v="6349"/>
    <x v="0"/>
    <s v="Mary Nnamdi"/>
    <x v="0"/>
    <x v="9"/>
    <x v="0"/>
  </r>
  <r>
    <s v="TXN-00257"/>
    <d v="2025-07-09T00:00:00"/>
    <x v="0"/>
    <s v="North-Central"/>
    <x v="1"/>
    <s v="LED TV 43&quot;"/>
    <n v="2"/>
    <n v="67220"/>
    <n v="0"/>
    <n v="134440"/>
    <n v="134440"/>
    <n v="0"/>
    <x v="1"/>
    <s v="Amaka Onwuka"/>
    <x v="0"/>
    <x v="10"/>
    <x v="0"/>
  </r>
  <r>
    <s v="TXN-01245"/>
    <d v="2025-05-02T00:00:00"/>
    <x v="4"/>
    <s v="North-West"/>
    <x v="2"/>
    <s v="Laundry Basket"/>
    <n v="6"/>
    <n v="480"/>
    <n v="0"/>
    <n v="2880"/>
    <n v="2880"/>
    <n v="0"/>
    <x v="3"/>
    <s v="Ifeoma Adeyemi"/>
    <x v="0"/>
    <x v="5"/>
    <x v="1"/>
  </r>
  <r>
    <s v="TXN-00948"/>
    <d v="2025-04-28T00:00:00"/>
    <x v="2"/>
    <s v="South-East"/>
    <x v="2"/>
    <s v="Plastic Chair Set"/>
    <n v="10"/>
    <n v="44260"/>
    <n v="15"/>
    <n v="376210"/>
    <n v="442600"/>
    <n v="66390"/>
    <x v="3"/>
    <s v="Chinwe Etim"/>
    <x v="0"/>
    <x v="4"/>
    <x v="1"/>
  </r>
  <r>
    <s v="TXN-00655"/>
    <d v="2025-07-07T00:00:00"/>
    <x v="3"/>
    <s v="South-South"/>
    <x v="1"/>
    <s v="Rice Cooker"/>
    <n v="2"/>
    <n v="27210"/>
    <n v="0"/>
    <n v="54420"/>
    <n v="54420"/>
    <n v="0"/>
    <x v="2"/>
    <s v="Segun Chukwu"/>
    <x v="0"/>
    <x v="10"/>
    <x v="1"/>
  </r>
  <r>
    <s v="TXN-00208"/>
    <d v="2025-03-16T00:00:00"/>
    <x v="2"/>
    <s v="South-East"/>
    <x v="0"/>
    <s v="Baby Diaper Pack"/>
    <n v="1"/>
    <n v="520"/>
    <n v="0"/>
    <n v="520"/>
    <n v="520"/>
    <n v="0"/>
    <x v="2"/>
    <s v="Uche Okoro"/>
    <x v="0"/>
    <x v="9"/>
    <x v="1"/>
  </r>
  <r>
    <s v="TXN-01313"/>
    <d v="2025-08-12T00:00:00"/>
    <x v="2"/>
    <s v="South-East"/>
    <x v="2"/>
    <s v="Curtain Set"/>
    <n v="10"/>
    <n v="59720"/>
    <n v="5"/>
    <n v="567340"/>
    <n v="597200"/>
    <n v="29860"/>
    <x v="1"/>
    <s v="Ade Abubakar"/>
    <x v="0"/>
    <x v="2"/>
    <x v="1"/>
  </r>
  <r>
    <s v="TXN-01146"/>
    <d v="2025-03-22T00:00:00"/>
    <x v="4"/>
    <s v="North-West"/>
    <x v="1"/>
    <s v="LED TV 43&quot;"/>
    <n v="1"/>
    <n v="3320"/>
    <n v="10"/>
    <n v="2988"/>
    <n v="3320"/>
    <n v="332"/>
    <x v="2"/>
    <s v="Tunde Balogun"/>
    <x v="0"/>
    <x v="9"/>
    <x v="0"/>
  </r>
  <r>
    <s v="TXN-00746"/>
    <d v="2025-02-04T00:00:00"/>
    <x v="3"/>
    <s v="South-South"/>
    <x v="3"/>
    <s v="School Sandals"/>
    <n v="8"/>
    <n v="1240"/>
    <n v="10"/>
    <n v="8928"/>
    <n v="9920"/>
    <n v="992"/>
    <x v="3"/>
    <s v="Peter Adekunle"/>
    <x v="0"/>
    <x v="8"/>
    <x v="1"/>
  </r>
  <r>
    <s v="TXN-00749"/>
    <d v="2025-12-04T00:00:00"/>
    <x v="5"/>
    <s v="South-West"/>
    <x v="0"/>
    <s v="Bathing Soap Pack"/>
    <n v="8"/>
    <n v="1360"/>
    <n v="10"/>
    <n v="9792"/>
    <n v="10880"/>
    <n v="1088"/>
    <x v="2"/>
    <s v="Mary Nnamdi"/>
    <x v="0"/>
    <x v="11"/>
    <x v="1"/>
  </r>
  <r>
    <s v="TXN-00013"/>
    <d v="2025-10-19T00:00:00"/>
    <x v="1"/>
    <s v="South-West"/>
    <x v="1"/>
    <s v="Rice Cooker"/>
    <n v="7"/>
    <n v="50200"/>
    <n v="0"/>
    <n v="351400"/>
    <n v="351400"/>
    <n v="0"/>
    <x v="0"/>
    <s v="Chinwe Etim"/>
    <x v="0"/>
    <x v="6"/>
    <x v="0"/>
  </r>
  <r>
    <s v="TXN-00882"/>
    <d v="2025-01-12T00:00:00"/>
    <x v="5"/>
    <s v="South-West"/>
    <x v="1"/>
    <s v="Rice Cooker"/>
    <n v="4"/>
    <n v="8170"/>
    <n v="0"/>
    <n v="32680"/>
    <n v="32680"/>
    <n v="0"/>
    <x v="0"/>
    <s v="Chidera Bello"/>
    <x v="0"/>
    <x v="7"/>
    <x v="1"/>
  </r>
  <r>
    <s v="TXN-00069"/>
    <d v="2025-09-02T00:00:00"/>
    <x v="1"/>
    <s v="South-West"/>
    <x v="1"/>
    <s v="Electric Kettle"/>
    <n v="6"/>
    <n v="64020"/>
    <n v="0"/>
    <n v="384120"/>
    <n v="384120"/>
    <n v="0"/>
    <x v="1"/>
    <s v="Segun Chukwu"/>
    <x v="0"/>
    <x v="0"/>
    <x v="1"/>
  </r>
  <r>
    <s v="TXN-00902"/>
    <d v="2025-06-26T00:00:00"/>
    <x v="3"/>
    <s v="South-South"/>
    <x v="0"/>
    <s v="Toothpaste Pack"/>
    <n v="12"/>
    <n v="11280"/>
    <n v="0"/>
    <n v="135360"/>
    <n v="135360"/>
    <n v="0"/>
    <x v="2"/>
    <s v="Obinna Yusuf"/>
    <x v="0"/>
    <x v="1"/>
    <x v="1"/>
  </r>
  <r>
    <s v="TXN-00800"/>
    <d v="2025-06-05T00:00:00"/>
    <x v="5"/>
    <s v="South-West"/>
    <x v="4"/>
    <s v="Sugar 1kg"/>
    <n v="1"/>
    <n v="4990"/>
    <n v="0"/>
    <n v="4990"/>
    <n v="4990"/>
    <n v="0"/>
    <x v="3"/>
    <s v="Chinwe Etim"/>
    <x v="0"/>
    <x v="1"/>
    <x v="1"/>
  </r>
  <r>
    <s v="TXN-01248"/>
    <d v="2025-11-03T00:00:00"/>
    <x v="5"/>
    <s v="South-West"/>
    <x v="1"/>
    <s v="Power Bank 20000mAh"/>
    <n v="9"/>
    <n v="67830"/>
    <n v="10"/>
    <n v="549423"/>
    <n v="610470"/>
    <n v="61047"/>
    <x v="0"/>
    <s v="Peter Adekunle"/>
    <x v="0"/>
    <x v="3"/>
    <x v="1"/>
  </r>
  <r>
    <s v="TXN-00987"/>
    <d v="2025-08-13T00:00:00"/>
    <x v="2"/>
    <s v="South-East"/>
    <x v="4"/>
    <s v="Electric Kettle"/>
    <n v="9"/>
    <n v="16460"/>
    <n v="0"/>
    <n v="148140"/>
    <n v="148140"/>
    <n v="0"/>
    <x v="0"/>
    <s v="Peter Adekunle"/>
    <x v="0"/>
    <x v="2"/>
    <x v="1"/>
  </r>
  <r>
    <s v="TXN-00255"/>
    <d v="2025-11-19T00:00:00"/>
    <x v="4"/>
    <s v="North-West"/>
    <x v="1"/>
    <s v="Power Bank 20000mAh"/>
    <n v="6"/>
    <n v="51310"/>
    <n v="0"/>
    <n v="307860"/>
    <n v="307860"/>
    <n v="0"/>
    <x v="2"/>
    <s v="Tunde Balogun"/>
    <x v="0"/>
    <x v="3"/>
    <x v="1"/>
  </r>
  <r>
    <s v="TXN-00412"/>
    <d v="2025-07-15T00:00:00"/>
    <x v="6"/>
    <s v="South-South"/>
    <x v="1"/>
    <s v="Home Theatre System"/>
    <n v="9"/>
    <n v="8150"/>
    <n v="15"/>
    <n v="62347.5"/>
    <n v="73350"/>
    <n v="11002.5"/>
    <x v="3"/>
    <s v="Obinna Yusuf"/>
    <x v="0"/>
    <x v="10"/>
    <x v="0"/>
  </r>
  <r>
    <s v="TXN-01181"/>
    <d v="2025-08-03T00:00:00"/>
    <x v="0"/>
    <s v="North-Central"/>
    <x v="3"/>
    <s v="Ladies Ankara Gown"/>
    <n v="12"/>
    <n v="10020"/>
    <n v="0"/>
    <n v="120240"/>
    <n v="120240"/>
    <n v="0"/>
    <x v="2"/>
    <s v="Chinwe Etim"/>
    <x v="0"/>
    <x v="2"/>
    <x v="0"/>
  </r>
  <r>
    <s v="TXN-00561"/>
    <d v="2025-08-06T00:00:00"/>
    <x v="1"/>
    <s v="South-West"/>
    <x v="4"/>
    <s v="Milo 500g"/>
    <n v="7"/>
    <n v="7480"/>
    <n v="10"/>
    <n v="47124"/>
    <n v="52360"/>
    <n v="5236"/>
    <x v="2"/>
    <s v="Uche Okoro"/>
    <x v="0"/>
    <x v="2"/>
    <x v="1"/>
  </r>
  <r>
    <s v="TXN-00495"/>
    <d v="2025-02-28T00:00:00"/>
    <x v="4"/>
    <s v="North-West"/>
    <x v="1"/>
    <s v="Electric Kettle"/>
    <n v="4"/>
    <n v="66810"/>
    <n v="10"/>
    <n v="240516"/>
    <n v="267240"/>
    <n v="26724"/>
    <x v="3"/>
    <s v="Ngozi Ibrahim"/>
    <x v="0"/>
    <x v="8"/>
    <x v="0"/>
  </r>
  <r>
    <s v="TXN-00161"/>
    <d v="2025-03-03T00:00:00"/>
    <x v="6"/>
    <s v="South-South"/>
    <x v="0"/>
    <s v="Perfume 100ml"/>
    <n v="6"/>
    <n v="2530"/>
    <n v="0"/>
    <n v="15180"/>
    <n v="15180"/>
    <n v="0"/>
    <x v="1"/>
    <s v="Ade Abubakar"/>
    <x v="0"/>
    <x v="9"/>
    <x v="0"/>
  </r>
  <r>
    <s v="TXN-00535"/>
    <d v="2025-06-21T00:00:00"/>
    <x v="4"/>
    <s v="North-West"/>
    <x v="4"/>
    <s v="LED TV 43&quot;"/>
    <n v="9"/>
    <n v="8330"/>
    <n v="15"/>
    <n v="63724.5"/>
    <n v="74970"/>
    <n v="11245.5"/>
    <x v="0"/>
    <s v="Ifeoma Adeyemi"/>
    <x v="0"/>
    <x v="1"/>
    <x v="0"/>
  </r>
  <r>
    <s v="TXN-00190"/>
    <d v="2025-11-06T00:00:00"/>
    <x v="6"/>
    <s v="South-South"/>
    <x v="4"/>
    <s v="Spaghetti Pack"/>
    <n v="8"/>
    <n v="10320"/>
    <n v="0"/>
    <n v="82560"/>
    <n v="82560"/>
    <n v="0"/>
    <x v="3"/>
    <s v="Ngozi Ibrahim"/>
    <x v="0"/>
    <x v="3"/>
    <x v="1"/>
  </r>
  <r>
    <s v="TXN-00929"/>
    <d v="2025-12-31T00:00:00"/>
    <x v="1"/>
    <s v="South-West"/>
    <x v="0"/>
    <s v="Baby Diaper Pack"/>
    <n v="1"/>
    <n v="25290"/>
    <n v="0"/>
    <n v="25290"/>
    <n v="25290"/>
    <n v="0"/>
    <x v="2"/>
    <s v="Peter Adekunle"/>
    <x v="0"/>
    <x v="11"/>
    <x v="0"/>
  </r>
  <r>
    <s v="TXN-01134"/>
    <d v="2025-08-10T00:00:00"/>
    <x v="0"/>
    <s v="South-West"/>
    <x v="2"/>
    <s v="Cleaning Mop"/>
    <n v="12"/>
    <n v="5410"/>
    <n v="0"/>
    <n v="64920"/>
    <n v="64920"/>
    <n v="0"/>
    <x v="0"/>
    <s v="Grace Okafor"/>
    <x v="0"/>
    <x v="2"/>
    <x v="0"/>
  </r>
  <r>
    <s v="TXN-00795"/>
    <d v="2025-04-11T00:00:00"/>
    <x v="0"/>
    <s v="North-Central"/>
    <x v="0"/>
    <s v="Body Lotion 400ml"/>
    <n v="4"/>
    <n v="2750"/>
    <n v="0"/>
    <n v="11000"/>
    <n v="11000"/>
    <n v="0"/>
    <x v="0"/>
    <s v="Ade Abubakar"/>
    <x v="0"/>
    <x v="4"/>
    <x v="1"/>
  </r>
  <r>
    <s v="TXN-01350"/>
    <d v="2025-04-15T00:00:00"/>
    <x v="1"/>
    <s v="South-West"/>
    <x v="2"/>
    <s v="Storage Basket"/>
    <n v="9"/>
    <n v="5470"/>
    <n v="5"/>
    <n v="46768.5"/>
    <n v="49230"/>
    <n v="2461.5"/>
    <x v="0"/>
    <s v="Ade Abubakar"/>
    <x v="0"/>
    <x v="4"/>
    <x v="1"/>
  </r>
  <r>
    <s v="TXN-00982"/>
    <d v="2025-01-01T00:00:00"/>
    <x v="1"/>
    <s v="South-West"/>
    <x v="2"/>
    <s v="Cleaning Mop"/>
    <n v="11"/>
    <n v="73780"/>
    <n v="0"/>
    <n v="811580"/>
    <n v="811580"/>
    <n v="0"/>
    <x v="1"/>
    <s v="Amaka Onwuka"/>
    <x v="0"/>
    <x v="7"/>
    <x v="1"/>
  </r>
  <r>
    <s v="TXN-00315"/>
    <d v="2025-05-22T00:00:00"/>
    <x v="3"/>
    <s v="South-South"/>
    <x v="4"/>
    <s v="Milo 500g"/>
    <n v="11"/>
    <n v="51030"/>
    <n v="0"/>
    <n v="561330"/>
    <n v="561330"/>
    <n v="0"/>
    <x v="1"/>
    <s v="Grace Okafor"/>
    <x v="0"/>
    <x v="5"/>
    <x v="1"/>
  </r>
  <r>
    <s v="TXN-01274"/>
    <d v="2025-02-23T00:00:00"/>
    <x v="1"/>
    <s v="South-West"/>
    <x v="2"/>
    <s v="Storage Basket"/>
    <n v="9"/>
    <n v="4960"/>
    <n v="5"/>
    <n v="42408"/>
    <n v="44640"/>
    <n v="2232"/>
    <x v="2"/>
    <s v="Grace Okafor"/>
    <x v="0"/>
    <x v="8"/>
    <x v="0"/>
  </r>
  <r>
    <s v="TXN-00499"/>
    <d v="2025-08-03T00:00:00"/>
    <x v="1"/>
    <s v="South-West"/>
    <x v="2"/>
    <s v="Cleaning Mop"/>
    <n v="2"/>
    <n v="3660"/>
    <n v="0"/>
    <n v="7320"/>
    <n v="7320"/>
    <n v="0"/>
    <x v="3"/>
    <s v="Funmi Eze"/>
    <x v="0"/>
    <x v="2"/>
    <x v="1"/>
  </r>
  <r>
    <s v="TXN-01355"/>
    <d v="2025-07-27T00:00:00"/>
    <x v="6"/>
    <s v="South-South"/>
    <x v="4"/>
    <s v="Kids Sneakers"/>
    <n v="8"/>
    <n v="22730"/>
    <n v="0"/>
    <n v="181840"/>
    <n v="181840"/>
    <n v="0"/>
    <x v="0"/>
    <s v="Ifeoma Adeyemi"/>
    <x v="0"/>
    <x v="10"/>
    <x v="0"/>
  </r>
  <r>
    <s v="TXN-00675"/>
    <d v="2025-01-10T00:00:00"/>
    <x v="0"/>
    <s v="North-Central"/>
    <x v="0"/>
    <s v="Hair Relaxer Kit"/>
    <n v="2"/>
    <n v="3420"/>
    <n v="0"/>
    <n v="6840"/>
    <n v="6840"/>
    <n v="0"/>
    <x v="1"/>
    <s v="Ngozi Ibrahim"/>
    <x v="0"/>
    <x v="7"/>
    <x v="0"/>
  </r>
  <r>
    <s v="TXN-00771"/>
    <d v="2025-04-28T00:00:00"/>
    <x v="4"/>
    <s v="North-West"/>
    <x v="4"/>
    <s v="Tomato Paste Carton"/>
    <n v="11"/>
    <n v="2390"/>
    <n v="0"/>
    <n v="26290"/>
    <n v="26290"/>
    <n v="0"/>
    <x v="2"/>
    <s v="Ifeoma Adeyemi"/>
    <x v="0"/>
    <x v="4"/>
    <x v="1"/>
  </r>
  <r>
    <s v="TXN-01078"/>
    <d v="2025-06-15T00:00:00"/>
    <x v="6"/>
    <s v="South-South"/>
    <x v="2"/>
    <s v="Bedsheet Set"/>
    <n v="3"/>
    <n v="8420"/>
    <n v="0"/>
    <n v="25260"/>
    <n v="25260"/>
    <n v="0"/>
    <x v="3"/>
    <s v="Grace Okafor"/>
    <x v="0"/>
    <x v="1"/>
    <x v="0"/>
  </r>
  <r>
    <s v="TXN-00715"/>
    <d v="2025-07-19T00:00:00"/>
    <x v="5"/>
    <s v="South-West"/>
    <x v="1"/>
    <s v="Microwave Oven"/>
    <n v="6"/>
    <n v="49650"/>
    <n v="0"/>
    <n v="297900"/>
    <n v="297900"/>
    <n v="0"/>
    <x v="3"/>
    <s v="Ifeoma Adeyemi"/>
    <x v="0"/>
    <x v="10"/>
    <x v="0"/>
  </r>
  <r>
    <s v="TXN-01148"/>
    <d v="2025-08-12T00:00:00"/>
    <x v="6"/>
    <s v="South-South"/>
    <x v="0"/>
    <s v="Body Lotion 400ml"/>
    <n v="4"/>
    <n v="9700"/>
    <n v="5"/>
    <n v="36860"/>
    <n v="38800"/>
    <n v="1940"/>
    <x v="2"/>
    <s v="Kelechi Nwosu"/>
    <x v="0"/>
    <x v="2"/>
    <x v="1"/>
  </r>
  <r>
    <s v="TXN-00402"/>
    <d v="2025-12-24T00:00:00"/>
    <x v="2"/>
    <s v="South-East"/>
    <x v="3"/>
    <s v="Wristwatch"/>
    <n v="10"/>
    <n v="19010"/>
    <n v="0"/>
    <n v="190100"/>
    <n v="190100"/>
    <n v="0"/>
    <x v="3"/>
    <s v="Funmi Eze"/>
    <x v="0"/>
    <x v="11"/>
    <x v="0"/>
  </r>
  <r>
    <s v="TXN-00312"/>
    <d v="2025-02-19T00:00:00"/>
    <x v="4"/>
    <s v="North-West"/>
    <x v="1"/>
    <s v="Microwave Oven"/>
    <n v="9"/>
    <n v="9630"/>
    <n v="0"/>
    <n v="86670"/>
    <n v="86670"/>
    <n v="0"/>
    <x v="1"/>
    <s v="Uche Okoro"/>
    <x v="0"/>
    <x v="8"/>
    <x v="1"/>
  </r>
  <r>
    <s v="TXN-01481"/>
    <d v="2025-07-22T00:00:00"/>
    <x v="2"/>
    <s v="South-East"/>
    <x v="3"/>
    <s v="School Sandals"/>
    <n v="12"/>
    <n v="530"/>
    <n v="5"/>
    <n v="6042"/>
    <n v="6360"/>
    <n v="318"/>
    <x v="2"/>
    <s v="Tunde Balogun"/>
    <x v="0"/>
    <x v="10"/>
    <x v="0"/>
  </r>
  <r>
    <s v="TXN-01015"/>
    <d v="2025-04-03T00:00:00"/>
    <x v="3"/>
    <s v="South-South"/>
    <x v="4"/>
    <s v="Tomato Paste Carton"/>
    <n v="1"/>
    <n v="13780"/>
    <n v="5"/>
    <n v="13091"/>
    <n v="13780"/>
    <n v="689"/>
    <x v="0"/>
    <s v="Chidera Bello"/>
    <x v="0"/>
    <x v="4"/>
    <x v="1"/>
  </r>
  <r>
    <s v="TXN-01038"/>
    <d v="2025-12-28T00:00:00"/>
    <x v="3"/>
    <s v="South-South"/>
    <x v="0"/>
    <s v="Body Lotion 400ml"/>
    <n v="2"/>
    <n v="26310"/>
    <n v="10"/>
    <n v="47358"/>
    <n v="52620"/>
    <n v="5262"/>
    <x v="0"/>
    <s v="Mary Nnamdi"/>
    <x v="0"/>
    <x v="11"/>
    <x v="0"/>
  </r>
  <r>
    <s v="TXN-00560"/>
    <d v="2025-04-07T00:00:00"/>
    <x v="4"/>
    <s v="North-West"/>
    <x v="4"/>
    <s v="Spaghetti Pack"/>
    <n v="12"/>
    <n v="480"/>
    <n v="0"/>
    <n v="5760"/>
    <n v="5760"/>
    <n v="0"/>
    <x v="2"/>
    <s v="Amaka Onwuka"/>
    <x v="0"/>
    <x v="4"/>
    <x v="1"/>
  </r>
  <r>
    <s v="TXN-00317"/>
    <d v="2025-12-07T00:00:00"/>
    <x v="1"/>
    <s v="South-West"/>
    <x v="2"/>
    <s v="Laundry Basket"/>
    <n v="1"/>
    <n v="2660"/>
    <n v="0"/>
    <n v="2660"/>
    <n v="2660"/>
    <n v="0"/>
    <x v="2"/>
    <s v="Ifeoma Adeyemi"/>
    <x v="0"/>
    <x v="11"/>
    <x v="1"/>
  </r>
  <r>
    <s v="TXN-00876"/>
    <d v="2025-07-30T00:00:00"/>
    <x v="1"/>
    <s v="South-West"/>
    <x v="2"/>
    <s v="Dinner Set"/>
    <n v="3"/>
    <n v="73820"/>
    <n v="0"/>
    <n v="221460"/>
    <n v="221460"/>
    <n v="0"/>
    <x v="2"/>
    <s v="Ade Abubakar"/>
    <x v="0"/>
    <x v="10"/>
    <x v="0"/>
  </r>
  <r>
    <s v="TXN-00622"/>
    <d v="2025-12-28T00:00:00"/>
    <x v="2"/>
    <s v="South-East"/>
    <x v="3"/>
    <s v="Office Blazer"/>
    <n v="7"/>
    <n v="3640"/>
    <n v="0"/>
    <n v="25480"/>
    <n v="25480"/>
    <n v="0"/>
    <x v="2"/>
    <s v="Grace Okafor"/>
    <x v="0"/>
    <x v="11"/>
    <x v="1"/>
  </r>
  <r>
    <s v="TXN-01164"/>
    <d v="2025-11-27T00:00:00"/>
    <x v="3"/>
    <s v="South-South"/>
    <x v="2"/>
    <s v="Dinner Set"/>
    <n v="8"/>
    <n v="9720"/>
    <n v="0"/>
    <n v="77760"/>
    <n v="77760"/>
    <n v="0"/>
    <x v="1"/>
    <s v="Ifeoma Adeyemi"/>
    <x v="0"/>
    <x v="3"/>
    <x v="0"/>
  </r>
  <r>
    <s v="TXN-00444"/>
    <d v="2025-10-19T00:00:00"/>
    <x v="3"/>
    <s v="South-South"/>
    <x v="4"/>
    <s v="Indomie Carton"/>
    <n v="9"/>
    <n v="27550"/>
    <n v="15"/>
    <n v="210757.5"/>
    <n v="247950"/>
    <n v="37192.5"/>
    <x v="1"/>
    <s v="Mary Nnamdi"/>
    <x v="0"/>
    <x v="6"/>
    <x v="1"/>
  </r>
  <r>
    <s v="TXN-00931"/>
    <d v="2025-03-10T00:00:00"/>
    <x v="1"/>
    <s v="South-West"/>
    <x v="0"/>
    <s v="Bathing Soap Pack"/>
    <n v="8"/>
    <n v="1110"/>
    <n v="0"/>
    <n v="8880"/>
    <n v="8880"/>
    <n v="0"/>
    <x v="2"/>
    <s v="Uche Okoro"/>
    <x v="0"/>
    <x v="9"/>
    <x v="0"/>
  </r>
  <r>
    <s v="TXN-00213"/>
    <d v="2025-11-25T00:00:00"/>
    <x v="0"/>
    <s v="North-Central"/>
    <x v="4"/>
    <s v="Indomie Carton"/>
    <n v="8"/>
    <n v="1280"/>
    <n v="5"/>
    <n v="9728"/>
    <n v="10240"/>
    <n v="512"/>
    <x v="1"/>
    <s v="Chidera Bello"/>
    <x v="0"/>
    <x v="3"/>
    <x v="0"/>
  </r>
  <r>
    <s v="TXN-00483"/>
    <d v="2025-11-21T00:00:00"/>
    <x v="3"/>
    <s v="South-South"/>
    <x v="2"/>
    <s v="Dinner Set"/>
    <n v="11"/>
    <n v="17120"/>
    <n v="10"/>
    <n v="169488"/>
    <n v="188320"/>
    <n v="18832"/>
    <x v="3"/>
    <s v="Kelechi Nwosu"/>
    <x v="0"/>
    <x v="3"/>
    <x v="0"/>
  </r>
  <r>
    <s v="TXN-00935"/>
    <d v="2025-08-24T00:00:00"/>
    <x v="5"/>
    <s v="South-West"/>
    <x v="3"/>
    <s v="Kids Sneakers"/>
    <n v="6"/>
    <n v="8110"/>
    <n v="0"/>
    <n v="48660"/>
    <n v="48660"/>
    <n v="0"/>
    <x v="3"/>
    <s v="Funmi Eze"/>
    <x v="0"/>
    <x v="2"/>
    <x v="0"/>
  </r>
  <r>
    <s v="TXN-01327"/>
    <d v="2025-07-24T00:00:00"/>
    <x v="5"/>
    <s v="South-West"/>
    <x v="4"/>
    <s v="Indomie Carton"/>
    <n v="1"/>
    <n v="7580"/>
    <n v="0"/>
    <n v="7580"/>
    <n v="7580"/>
    <n v="0"/>
    <x v="0"/>
    <s v="Mary Nnamdi"/>
    <x v="0"/>
    <x v="10"/>
    <x v="1"/>
  </r>
  <r>
    <s v="TXN-00979"/>
    <d v="2025-06-19T00:00:00"/>
    <x v="5"/>
    <s v="South-West"/>
    <x v="2"/>
    <s v="Cleaning Mop"/>
    <n v="9"/>
    <n v="10160"/>
    <n v="0"/>
    <n v="91440"/>
    <n v="91440"/>
    <n v="0"/>
    <x v="2"/>
    <s v="Obinna Yusuf"/>
    <x v="0"/>
    <x v="1"/>
    <x v="1"/>
  </r>
  <r>
    <s v="TXN-01257"/>
    <d v="2025-06-12T00:00:00"/>
    <x v="4"/>
    <s v="South-South"/>
    <x v="4"/>
    <s v="Sugar 1kg"/>
    <n v="1"/>
    <n v="20690"/>
    <n v="5"/>
    <n v="19655.5"/>
    <n v="20690"/>
    <n v="1034.5"/>
    <x v="2"/>
    <s v="Chidera Bello"/>
    <x v="0"/>
    <x v="1"/>
    <x v="1"/>
  </r>
  <r>
    <s v="TXN-00229"/>
    <d v="2025-03-18T00:00:00"/>
    <x v="3"/>
    <s v="South-South"/>
    <x v="4"/>
    <s v="Tomato Paste Carton"/>
    <n v="9"/>
    <n v="1080"/>
    <n v="0"/>
    <n v="9720"/>
    <n v="9720"/>
    <n v="0"/>
    <x v="2"/>
    <s v="Obinna Yusuf"/>
    <x v="0"/>
    <x v="9"/>
    <x v="0"/>
  </r>
  <r>
    <s v="TXN-01470"/>
    <d v="2025-04-20T00:00:00"/>
    <x v="3"/>
    <s v="South-South"/>
    <x v="2"/>
    <s v="Laundry Basket"/>
    <n v="2"/>
    <n v="48970"/>
    <n v="0"/>
    <n v="97940"/>
    <n v="97940"/>
    <n v="0"/>
    <x v="1"/>
    <s v="Segun Chukwu"/>
    <x v="0"/>
    <x v="4"/>
    <x v="1"/>
  </r>
  <r>
    <s v="TXN-00791"/>
    <d v="2025-02-17T00:00:00"/>
    <x v="4"/>
    <s v="North-West"/>
    <x v="2"/>
    <s v="Bedsheet Set"/>
    <n v="2"/>
    <n v="4710"/>
    <n v="5"/>
    <n v="8949"/>
    <n v="9420"/>
    <n v="471"/>
    <x v="1"/>
    <s v="Mary Nnamdi"/>
    <x v="0"/>
    <x v="8"/>
    <x v="1"/>
  </r>
  <r>
    <s v="TXN-01474"/>
    <d v="2025-03-09T00:00:00"/>
    <x v="4"/>
    <s v="North-West"/>
    <x v="0"/>
    <s v="Shea Butter Cream"/>
    <n v="9"/>
    <n v="4900"/>
    <n v="5"/>
    <n v="41895"/>
    <n v="44100"/>
    <n v="2205"/>
    <x v="0"/>
    <s v="Peter Adekunle"/>
    <x v="0"/>
    <x v="9"/>
    <x v="1"/>
  </r>
  <r>
    <s v="TXN-00440"/>
    <d v="2025-06-16T00:00:00"/>
    <x v="4"/>
    <s v="North-West"/>
    <x v="2"/>
    <s v="Curtain Set"/>
    <n v="7"/>
    <n v="9640"/>
    <n v="10"/>
    <n v="60732"/>
    <n v="67480"/>
    <n v="6748"/>
    <x v="3"/>
    <s v="Ngozi Ibrahim"/>
    <x v="0"/>
    <x v="1"/>
    <x v="1"/>
  </r>
  <r>
    <s v="TXN-00713"/>
    <d v="2025-11-25T00:00:00"/>
    <x v="4"/>
    <s v="North-West"/>
    <x v="2"/>
    <s v="Plastic Chair Set"/>
    <n v="5"/>
    <n v="3980"/>
    <n v="0"/>
    <n v="19900"/>
    <n v="19900"/>
    <n v="0"/>
    <x v="1"/>
    <s v="Chidera Bello"/>
    <x v="0"/>
    <x v="3"/>
    <x v="0"/>
  </r>
  <r>
    <s v="TXN-00828"/>
    <d v="2025-09-04T00:00:00"/>
    <x v="6"/>
    <s v="South-South"/>
    <x v="4"/>
    <s v="Indomie Carton"/>
    <n v="10"/>
    <n v="500"/>
    <n v="0"/>
    <n v="5000"/>
    <n v="5000"/>
    <n v="0"/>
    <x v="0"/>
    <s v="Chidera Bello"/>
    <x v="0"/>
    <x v="0"/>
    <x v="0"/>
  </r>
  <r>
    <s v="TXN-01284"/>
    <d v="2025-08-04T00:00:00"/>
    <x v="5"/>
    <s v="South-West"/>
    <x v="2"/>
    <s v="Plastic Chair Set"/>
    <n v="7"/>
    <n v="65610"/>
    <n v="5"/>
    <n v="436306.5"/>
    <n v="459270"/>
    <n v="22963.5"/>
    <x v="0"/>
    <s v="Chinwe Etim"/>
    <x v="0"/>
    <x v="2"/>
    <x v="0"/>
  </r>
  <r>
    <s v="TXN-00788"/>
    <d v="2025-05-21T00:00:00"/>
    <x v="2"/>
    <s v="South-East"/>
    <x v="3"/>
    <s v="School Sandals"/>
    <n v="6"/>
    <n v="3340"/>
    <n v="0"/>
    <n v="20040"/>
    <n v="20040"/>
    <n v="0"/>
    <x v="0"/>
    <s v="Mary Nnamdi"/>
    <x v="0"/>
    <x v="5"/>
    <x v="1"/>
  </r>
  <r>
    <s v="TXN-00369"/>
    <d v="2025-10-06T00:00:00"/>
    <x v="1"/>
    <s v="South-West"/>
    <x v="0"/>
    <s v="Perfume 100ml"/>
    <n v="4"/>
    <n v="13450"/>
    <n v="0"/>
    <n v="53800"/>
    <n v="53800"/>
    <n v="0"/>
    <x v="0"/>
    <s v="Chidera Bello"/>
    <x v="0"/>
    <x v="6"/>
    <x v="1"/>
  </r>
  <r>
    <s v="TXN-01196"/>
    <d v="2025-12-26T00:00:00"/>
    <x v="1"/>
    <s v="South-West"/>
    <x v="0"/>
    <s v="Perfume 100ml"/>
    <n v="3"/>
    <n v="11160"/>
    <n v="0"/>
    <n v="33480"/>
    <n v="33480"/>
    <n v="0"/>
    <x v="0"/>
    <s v="Funmi Eze"/>
    <x v="0"/>
    <x v="11"/>
    <x v="0"/>
  </r>
  <r>
    <s v="TXN-01200"/>
    <d v="2025-01-12T00:00:00"/>
    <x v="3"/>
    <s v="South-South"/>
    <x v="2"/>
    <s v="Plastic Chair Set"/>
    <n v="10"/>
    <n v="50070"/>
    <n v="0"/>
    <n v="500700"/>
    <n v="500700"/>
    <n v="0"/>
    <x v="2"/>
    <s v="Chinwe Etim"/>
    <x v="0"/>
    <x v="7"/>
    <x v="1"/>
  </r>
  <r>
    <s v="TXN-01423"/>
    <d v="2025-05-11T00:00:00"/>
    <x v="2"/>
    <s v="South-East"/>
    <x v="0"/>
    <s v="Baby Diaper Pack"/>
    <n v="4"/>
    <n v="1170"/>
    <n v="0"/>
    <n v="4680"/>
    <n v="4680"/>
    <n v="0"/>
    <x v="0"/>
    <s v="Amaka Onwuka"/>
    <x v="0"/>
    <x v="5"/>
    <x v="0"/>
  </r>
  <r>
    <s v="TXN-01265"/>
    <d v="2025-06-24T00:00:00"/>
    <x v="6"/>
    <s v="South-South"/>
    <x v="1"/>
    <s v="Standing Fan"/>
    <n v="7"/>
    <n v="5470"/>
    <n v="15"/>
    <n v="32546.5"/>
    <n v="38290"/>
    <n v="5743.5"/>
    <x v="2"/>
    <s v="Chidera Bello"/>
    <x v="0"/>
    <x v="1"/>
    <x v="0"/>
  </r>
  <r>
    <s v="TXN-00638"/>
    <d v="2025-05-14T00:00:00"/>
    <x v="4"/>
    <s v="North-West"/>
    <x v="4"/>
    <s v="Tomato Paste Carton"/>
    <n v="8"/>
    <n v="4980"/>
    <n v="0"/>
    <n v="39840"/>
    <n v="39840"/>
    <n v="0"/>
    <x v="2"/>
    <s v="Ade Abubakar"/>
    <x v="0"/>
    <x v="5"/>
    <x v="1"/>
  </r>
  <r>
    <s v="TXN-00114"/>
    <d v="2025-01-29T00:00:00"/>
    <x v="6"/>
    <s v="South-South"/>
    <x v="1"/>
    <s v="Power Bank 20000mAh"/>
    <n v="9"/>
    <n v="9090"/>
    <n v="5"/>
    <n v="77719.5"/>
    <n v="81810"/>
    <n v="4090.5"/>
    <x v="1"/>
    <s v="Kelechi Nwosu"/>
    <x v="0"/>
    <x v="7"/>
    <x v="0"/>
  </r>
  <r>
    <s v="TXN-00003"/>
    <d v="2025-12-17T00:00:00"/>
    <x v="3"/>
    <s v="South-South"/>
    <x v="0"/>
    <s v="Hair Relaxer Kit"/>
    <n v="5"/>
    <n v="2540"/>
    <n v="5"/>
    <n v="12065"/>
    <n v="12700"/>
    <n v="635"/>
    <x v="2"/>
    <s v="Chidera Bello"/>
    <x v="0"/>
    <x v="11"/>
    <x v="0"/>
  </r>
  <r>
    <s v="TXN-00500"/>
    <d v="2025-04-09T00:00:00"/>
    <x v="0"/>
    <s v="North-Central"/>
    <x v="4"/>
    <s v="Laundry Basket"/>
    <n v="1"/>
    <n v="19440"/>
    <n v="0"/>
    <n v="19440"/>
    <n v="19440"/>
    <n v="0"/>
    <x v="1"/>
    <s v="Mary Nnamdi"/>
    <x v="0"/>
    <x v="4"/>
    <x v="0"/>
  </r>
  <r>
    <s v="TXN-00738"/>
    <d v="2025-09-05T00:00:00"/>
    <x v="4"/>
    <s v="North-West"/>
    <x v="0"/>
    <s v="Baby Diaper Pack"/>
    <n v="4"/>
    <n v="19080"/>
    <n v="0"/>
    <n v="76320"/>
    <n v="76320"/>
    <n v="0"/>
    <x v="1"/>
    <s v="Peter Adekunle"/>
    <x v="0"/>
    <x v="0"/>
    <x v="1"/>
  </r>
  <r>
    <s v="TXN-00480"/>
    <d v="2025-01-21T00:00:00"/>
    <x v="3"/>
    <s v="South-South"/>
    <x v="4"/>
    <s v="Vegetable Oil 5L"/>
    <n v="6"/>
    <n v="520"/>
    <n v="0"/>
    <n v="3120"/>
    <n v="3120"/>
    <n v="0"/>
    <x v="1"/>
    <s v="Ade Abubakar"/>
    <x v="0"/>
    <x v="7"/>
    <x v="0"/>
  </r>
  <r>
    <s v="TXN-01489"/>
    <d v="2025-08-28T00:00:00"/>
    <x v="2"/>
    <s v="South-East"/>
    <x v="3"/>
    <s v="Kids Sneakers"/>
    <n v="11"/>
    <n v="17680"/>
    <n v="15"/>
    <n v="165308"/>
    <n v="194480"/>
    <n v="29172"/>
    <x v="3"/>
    <s v="Chinwe Etim"/>
    <x v="0"/>
    <x v="2"/>
    <x v="1"/>
  </r>
  <r>
    <s v="TXN-00433"/>
    <d v="2025-02-10T00:00:00"/>
    <x v="1"/>
    <s v="South-West"/>
    <x v="3"/>
    <s v="Office Blazer"/>
    <n v="1"/>
    <n v="43250"/>
    <n v="5"/>
    <n v="41087.5"/>
    <n v="43250"/>
    <n v="2162.5"/>
    <x v="1"/>
    <s v="Amaka Onwuka"/>
    <x v="0"/>
    <x v="8"/>
    <x v="1"/>
  </r>
  <r>
    <s v="TXN-00055"/>
    <d v="2025-09-11T00:00:00"/>
    <x v="2"/>
    <s v="South-East"/>
    <x v="2"/>
    <s v="Non-stick Frying Pan"/>
    <n v="9"/>
    <n v="10880"/>
    <n v="15"/>
    <n v="83232"/>
    <n v="97920"/>
    <n v="14688"/>
    <x v="1"/>
    <s v="Funmi Eze"/>
    <x v="0"/>
    <x v="0"/>
    <x v="0"/>
  </r>
  <r>
    <s v="TXN-01393"/>
    <d v="2025-06-26T00:00:00"/>
    <x v="4"/>
    <s v="North-West"/>
    <x v="1"/>
    <s v="Bluetooth Speaker"/>
    <n v="8"/>
    <n v="6930"/>
    <n v="10"/>
    <n v="49896"/>
    <n v="55440"/>
    <n v="5544"/>
    <x v="0"/>
    <s v="Peter Adekunle"/>
    <x v="0"/>
    <x v="1"/>
    <x v="0"/>
  </r>
  <r>
    <s v="TXN-00984"/>
    <d v="2025-11-26T00:00:00"/>
    <x v="4"/>
    <s v="North-West"/>
    <x v="4"/>
    <s v="Spaghetti Pack"/>
    <n v="10"/>
    <n v="8080"/>
    <n v="15"/>
    <n v="68680"/>
    <n v="80800"/>
    <n v="12120"/>
    <x v="2"/>
    <s v="Tunde Balogun"/>
    <x v="0"/>
    <x v="3"/>
    <x v="0"/>
  </r>
  <r>
    <s v="TXN-00224"/>
    <d v="2025-04-30T00:00:00"/>
    <x v="5"/>
    <s v="South-West"/>
    <x v="3"/>
    <s v="Office Blazer"/>
    <n v="5"/>
    <n v="11500"/>
    <n v="15"/>
    <n v="48875"/>
    <n v="57500"/>
    <n v="8625"/>
    <x v="0"/>
    <s v="Mary Nnamdi"/>
    <x v="0"/>
    <x v="4"/>
    <x v="0"/>
  </r>
  <r>
    <s v="TXN-01163"/>
    <d v="2025-12-25T00:00:00"/>
    <x v="1"/>
    <s v="South-West"/>
    <x v="2"/>
    <s v="Non-stick Frying Pan"/>
    <n v="3"/>
    <n v="68330"/>
    <n v="0"/>
    <n v="204990"/>
    <n v="204990"/>
    <n v="0"/>
    <x v="2"/>
    <s v="Kelechi Nwosu"/>
    <x v="0"/>
    <x v="11"/>
    <x v="0"/>
  </r>
  <r>
    <s v="TXN-00469"/>
    <d v="2025-05-05T00:00:00"/>
    <x v="4"/>
    <s v="South-South"/>
    <x v="3"/>
    <s v="School Sandals"/>
    <n v="9"/>
    <n v="1220"/>
    <n v="5"/>
    <n v="10431"/>
    <n v="10980"/>
    <n v="549"/>
    <x v="2"/>
    <s v="Uche Okoro"/>
    <x v="0"/>
    <x v="5"/>
    <x v="1"/>
  </r>
  <r>
    <s v="TXN-00332"/>
    <d v="2025-03-09T00:00:00"/>
    <x v="4"/>
    <s v="North-West"/>
    <x v="4"/>
    <s v="Spaghetti Pack"/>
    <n v="2"/>
    <n v="3720"/>
    <n v="0"/>
    <n v="7440"/>
    <n v="7440"/>
    <n v="0"/>
    <x v="2"/>
    <s v="Amaka Onwuka"/>
    <x v="0"/>
    <x v="9"/>
    <x v="1"/>
  </r>
  <r>
    <s v="TXN-00767"/>
    <d v="2025-11-22T00:00:00"/>
    <x v="3"/>
    <s v="South-South"/>
    <x v="0"/>
    <s v="Baby Diaper Pack"/>
    <n v="7"/>
    <n v="7140"/>
    <n v="0"/>
    <n v="49980"/>
    <n v="49980"/>
    <n v="0"/>
    <x v="2"/>
    <s v="Amaka Onwuka"/>
    <x v="0"/>
    <x v="3"/>
    <x v="1"/>
  </r>
  <r>
    <s v="TXN-00702"/>
    <d v="2025-09-08T00:00:00"/>
    <x v="6"/>
    <s v="South-South"/>
    <x v="0"/>
    <s v="Body Lotion 400ml"/>
    <n v="6"/>
    <n v="62750"/>
    <n v="10"/>
    <n v="338850"/>
    <n v="376500"/>
    <n v="37650"/>
    <x v="1"/>
    <s v="Funmi Eze"/>
    <x v="0"/>
    <x v="0"/>
    <x v="1"/>
  </r>
  <r>
    <s v="TXN-01437"/>
    <d v="2025-08-03T00:00:00"/>
    <x v="3"/>
    <s v="South-South"/>
    <x v="4"/>
    <s v="Milo 500g"/>
    <n v="8"/>
    <n v="1180"/>
    <n v="15"/>
    <n v="8024"/>
    <n v="9440"/>
    <n v="1416"/>
    <x v="2"/>
    <s v="Mary Nnamdi"/>
    <x v="0"/>
    <x v="2"/>
    <x v="1"/>
  </r>
  <r>
    <s v="TXN-00834"/>
    <d v="2025-05-20T00:00:00"/>
    <x v="1"/>
    <s v="South-West"/>
    <x v="0"/>
    <s v="Hair Relaxer Kit"/>
    <n v="5"/>
    <n v="64530"/>
    <n v="0"/>
    <n v="322650"/>
    <n v="322650"/>
    <n v="0"/>
    <x v="2"/>
    <s v="Chinwe Etim"/>
    <x v="0"/>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D9BC81-EFF4-4AE3-90A8-BC35004E8F35}" name="PivotTable4"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10" firstHeaderRow="1" firstDataRow="1" firstDataCol="1"/>
  <pivotFields count="18">
    <pivotField showAll="0"/>
    <pivotField numFmtId="14" showAll="0"/>
    <pivotField axis="axisRow" showAll="0" sortType="descending">
      <items count="10">
        <item m="1" x="8"/>
        <item x="0"/>
        <item x="6"/>
        <item x="2"/>
        <item x="1"/>
        <item x="4"/>
        <item x="5"/>
        <item x="3"/>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8">
    <i>
      <x v="5"/>
    </i>
    <i>
      <x v="6"/>
    </i>
    <i>
      <x v="3"/>
    </i>
    <i>
      <x v="4"/>
    </i>
    <i>
      <x v="7"/>
    </i>
    <i>
      <x v="2"/>
    </i>
    <i>
      <x v="1"/>
    </i>
    <i t="grand">
      <x/>
    </i>
  </rowItems>
  <colItems count="1">
    <i/>
  </colItems>
  <dataFields count="1">
    <dataField name="Sum of Total Sales (NGN)" fld="9" baseField="2" baseItem="1" numFmtId="164"/>
  </dataFields>
  <formats count="2">
    <format dxfId="160">
      <pivotArea outline="0" collapsedLevelsAreSubtotals="1" fieldPosition="0"/>
    </format>
    <format dxfId="1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89745F-7020-4DEA-97A5-EB0D61C44048}" name="PivotTable6"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3:E36" firstHeaderRow="1" firstDataRow="1" firstDataCol="1"/>
  <pivotFields count="18">
    <pivotField showAll="0"/>
    <pivotField numFmtId="14" showAll="0"/>
    <pivotField showAll="0" sortType="descending">
      <items count="10">
        <item m="1" x="8"/>
        <item x="0"/>
        <item x="6"/>
        <item x="2"/>
        <item x="1"/>
        <item x="4"/>
        <item x="5"/>
        <item x="3"/>
        <item m="1" x="7"/>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4">
        <item x="0"/>
        <item x="1"/>
        <item m="1" x="2"/>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6"/>
  </rowFields>
  <rowItems count="3">
    <i>
      <x v="1"/>
    </i>
    <i>
      <x/>
    </i>
    <i t="grand">
      <x/>
    </i>
  </rowItems>
  <colItems count="1">
    <i/>
  </colItems>
  <dataFields count="1">
    <dataField name="Sum of Total Sales (NGN)" fld="9" showDataAs="percentOfTotal" baseField="14" baseItem="1" numFmtId="10"/>
  </dataFields>
  <formats count="3">
    <format dxfId="163">
      <pivotArea outline="0" collapsedLevelsAreSubtotals="1" fieldPosition="0"/>
    </format>
    <format dxfId="162">
      <pivotArea dataOnly="0" labelOnly="1" outline="0" axis="axisValues" fieldPosition="0"/>
    </format>
    <format dxfId="161">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6" count="1" selected="0">
            <x v="1"/>
          </reference>
        </references>
      </pivotArea>
    </chartFormat>
    <chartFormat chart="2" format="6">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E7F9CD-7142-4542-8517-4AA6DBF59E5A}" name="PivotTable3"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B30" firstHeaderRow="1" firstDataRow="1" firstDataCol="1"/>
  <pivotFields count="18">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axis="axisRow" showAll="0" sortType="descending">
      <items count="8">
        <item x="1"/>
        <item x="0"/>
        <item x="2"/>
        <item m="1" x="5"/>
        <item x="3"/>
        <item m="1" x="6"/>
        <item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s>
  <rowFields count="1">
    <field x="12"/>
  </rowFields>
  <rowItems count="5">
    <i>
      <x v="2"/>
    </i>
    <i>
      <x v="1"/>
    </i>
    <i>
      <x/>
    </i>
    <i>
      <x v="4"/>
    </i>
    <i t="grand">
      <x/>
    </i>
  </rowItems>
  <colItems count="1">
    <i/>
  </colItems>
  <dataFields count="1">
    <dataField name="Sum of Total Sales (NGN)" fld="9" baseField="2" baseItem="5" numFmtId="164"/>
  </dataFields>
  <formats count="3">
    <format dxfId="166">
      <pivotArea outline="0" collapsedLevelsAreSubtotals="1" fieldPosition="0"/>
    </format>
    <format dxfId="165">
      <pivotArea dataOnly="0" labelOnly="1" outline="0" axis="axisValues" fieldPosition="0"/>
    </format>
    <format dxfId="16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BCE5E0-9335-40C5-9F82-7EFBE87FEF5F}" name="PivotTable1"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10" firstHeaderRow="1" firstDataRow="1" firstDataCol="1"/>
  <pivotFields count="18">
    <pivotField showAll="0"/>
    <pivotField numFmtId="14" showAll="0"/>
    <pivotField axis="axisRow" showAll="0" sortType="descending">
      <items count="10">
        <item m="1" x="8"/>
        <item x="0"/>
        <item x="6"/>
        <item x="2"/>
        <item x="1"/>
        <item x="4"/>
        <item x="5"/>
        <item x="3"/>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8">
    <i>
      <x v="5"/>
    </i>
    <i>
      <x v="6"/>
    </i>
    <i>
      <x v="3"/>
    </i>
    <i>
      <x v="4"/>
    </i>
    <i>
      <x v="7"/>
    </i>
    <i>
      <x v="2"/>
    </i>
    <i>
      <x v="1"/>
    </i>
    <i t="grand">
      <x/>
    </i>
  </rowItems>
  <colItems count="1">
    <i/>
  </colItems>
  <dataFields count="1">
    <dataField name="Sum of Total Sales (NGN)" fld="9" showDataAs="percentOfTotal" baseField="2" baseItem="5" numFmtId="10"/>
  </dataFields>
  <formats count="3">
    <format dxfId="169">
      <pivotArea outline="0" collapsedLevelsAreSubtotals="1" fieldPosition="0"/>
    </format>
    <format dxfId="168">
      <pivotArea dataOnly="0" labelOnly="1" outline="0" axis="axisValues" fieldPosition="0"/>
    </format>
    <format dxfId="16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3E75E3-66F3-4C5B-90A0-45A9D36A0CAA}" name="PivotTable2"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1" firstHeaderRow="1" firstDataRow="1" firstDataCol="1"/>
  <pivotFields count="18">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sortType="descending">
      <items count="11">
        <item x="0"/>
        <item x="1"/>
        <item x="3"/>
        <item m="1" x="7"/>
        <item x="4"/>
        <item m="1" x="6"/>
        <item m="1" x="8"/>
        <item x="2"/>
        <item m="1" x="9"/>
        <item m="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showAll="0"/>
    <pivotField showAll="0"/>
    <pivotField showAll="0"/>
    <pivotField dragToRow="0" dragToCol="0" dragToPage="0" showAll="0" defaultSubtotal="0"/>
  </pivotFields>
  <rowFields count="1">
    <field x="4"/>
  </rowFields>
  <rowItems count="6">
    <i>
      <x v="4"/>
    </i>
    <i>
      <x v="7"/>
    </i>
    <i>
      <x v="1"/>
    </i>
    <i>
      <x v="2"/>
    </i>
    <i>
      <x/>
    </i>
    <i t="grand">
      <x/>
    </i>
  </rowItems>
  <colItems count="1">
    <i/>
  </colItems>
  <dataFields count="1">
    <dataField name="Sum of Total Sales (NGN)" fld="9" baseField="2" baseItem="5" numFmtId="164"/>
  </dataFields>
  <formats count="3">
    <format dxfId="172">
      <pivotArea outline="0" collapsedLevelsAreSubtotals="1" fieldPosition="0"/>
    </format>
    <format dxfId="171">
      <pivotArea dataOnly="0" labelOnly="1" outline="0" axis="axisValues" fieldPosition="0"/>
    </format>
    <format dxfId="17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45664B-3024-4CCA-A3E9-6F48FA019425}" name="PivotTable5"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5:E28" firstHeaderRow="1" firstDataRow="1" firstDataCol="1"/>
  <pivotFields count="18">
    <pivotField showAll="0"/>
    <pivotField numFmtId="14" showAll="0"/>
    <pivotField showAll="0" sortType="descending">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axis="axisRow" showAll="0" sortType="descending">
      <items count="4">
        <item x="0"/>
        <item x="1"/>
        <item m="1" x="2"/>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6"/>
  </rowFields>
  <rowItems count="3">
    <i>
      <x v="1"/>
    </i>
    <i>
      <x/>
    </i>
    <i t="grand">
      <x/>
    </i>
  </rowItems>
  <colItems count="1">
    <i/>
  </colItems>
  <dataFields count="1">
    <dataField name="Sum of Total Sales (NGN)" fld="9" baseField="2" baseItem="5" numFmtId="164"/>
  </dataFields>
  <formats count="3">
    <format dxfId="175">
      <pivotArea outline="0" collapsedLevelsAreSubtotals="1" fieldPosition="0"/>
    </format>
    <format dxfId="174">
      <pivotArea dataOnly="0" labelOnly="1" outline="0" axis="axisValues" fieldPosition="0"/>
    </format>
    <format dxfId="17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24D9A6-6800-4538-B760-C9AEDB53E6AC}" name="PivotTable7"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38" firstHeaderRow="1" firstDataRow="1" firstDataCol="1"/>
  <pivotFields count="18">
    <pivotField showAll="0"/>
    <pivotField numFmtId="14" showAll="0"/>
    <pivotField showAll="0" sortType="descending">
      <items count="10">
        <item m="1" x="8"/>
        <item x="0"/>
        <item x="6"/>
        <item x="2"/>
        <item x="1"/>
        <item x="4"/>
        <item x="5"/>
        <item x="3"/>
        <item m="1" x="7"/>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axis="axisRow" showAll="0" sortType="descending">
      <items count="8">
        <item x="1"/>
        <item x="0"/>
        <item x="2"/>
        <item m="1" x="5"/>
        <item x="3"/>
        <item m="1" x="6"/>
        <item m="1"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ragToRow="0" dragToCol="0" dragToPage="0" showAll="0" defaultSubtotal="0"/>
  </pivotFields>
  <rowFields count="1">
    <field x="12"/>
  </rowFields>
  <rowItems count="5">
    <i>
      <x v="2"/>
    </i>
    <i>
      <x v="1"/>
    </i>
    <i>
      <x/>
    </i>
    <i>
      <x v="4"/>
    </i>
    <i t="grand">
      <x/>
    </i>
  </rowItems>
  <colItems count="1">
    <i/>
  </colItems>
  <dataFields count="1">
    <dataField name="Sum of Total Sales (NGN)" fld="9" showDataAs="percentOfTotal" baseField="12" baseItem="2" numFmtId="10"/>
  </dataFields>
  <formats count="3">
    <format dxfId="178">
      <pivotArea outline="0" collapsedLevelsAreSubtotals="1" fieldPosition="0"/>
    </format>
    <format dxfId="177">
      <pivotArea dataOnly="0" labelOnly="1" outline="0" axis="axisValues" fieldPosition="0"/>
    </format>
    <format dxfId="176">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2"/>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0"/>
          </reference>
        </references>
      </pivotArea>
    </chartFormat>
    <chartFormat chart="2" format="10">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D94D27-1464-4F15-B6D2-5A59922C86EB}" name="PivotTable10"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18">
    <pivotField showAll="0"/>
    <pivotField numFmtId="14" showAll="0"/>
    <pivotField showAll="0">
      <items count="10">
        <item m="1" x="8"/>
        <item x="0"/>
        <item x="6"/>
        <item x="2"/>
        <item x="1"/>
        <item x="4"/>
        <item x="5"/>
        <item x="3"/>
        <item m="1" x="7"/>
        <item t="default"/>
      </items>
    </pivotField>
    <pivotField showAll="0"/>
    <pivotField showAll="0"/>
    <pivotField showAll="0"/>
    <pivotField showAll="0"/>
    <pivotField numFmtId="2" showAll="0"/>
    <pivotField numFmtId="2" showAll="0"/>
    <pivotField numFmtId="2" showAll="0"/>
    <pivotField numFmtId="2" showAll="0"/>
    <pivotField numFmtId="2" showAll="0"/>
    <pivotField showAll="0"/>
    <pivotField showAll="0"/>
    <pivotField showAll="0"/>
    <pivotField showAll="0"/>
    <pivotField showAll="0"/>
    <pivotField dataField="1" dragToRow="0" dragToCol="0" dragToPage="0" showAll="0" defaultSubtotal="0"/>
  </pivotFields>
  <rowItems count="1">
    <i/>
  </rowItems>
  <colItems count="1">
    <i/>
  </colItems>
  <dataFields count="1">
    <dataField name="Total Discount (%)" fld="17" baseField="0" baseItem="0" numFmtId="9"/>
  </dataFields>
  <formats count="3">
    <format dxfId="142">
      <pivotArea type="all" dataOnly="0" outline="0" fieldPosition="0"/>
    </format>
    <format dxfId="141">
      <pivotArea dataOnly="0" labelOnly="1" outline="0" axis="axisValues" fieldPosition="0"/>
    </format>
    <format dxfId="1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CC6928-B11B-4953-8C7D-039A7D1B4BE7}" name="PivotTable1" cacheId="16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5:F6" firstHeaderRow="0" firstDataRow="1" firstDataCol="0"/>
  <pivotFields count="18">
    <pivotField dataField="1" showAll="0"/>
    <pivotField numFmtId="14" showAll="0"/>
    <pivotField showAll="0">
      <items count="10">
        <item m="1" x="8"/>
        <item x="0"/>
        <item x="6"/>
        <item x="2"/>
        <item x="1"/>
        <item x="4"/>
        <item x="5"/>
        <item x="3"/>
        <item m="1" x="7"/>
        <item t="default"/>
      </items>
    </pivotField>
    <pivotField showAll="0"/>
    <pivotField showAll="0"/>
    <pivotField showAll="0"/>
    <pivotField showAll="0"/>
    <pivotField numFmtId="2" showAll="0"/>
    <pivotField numFmtId="2" showAll="0"/>
    <pivotField dataField="1" numFmtId="2" showAll="0"/>
    <pivotField numFmtId="2" showAll="0"/>
    <pivotField numFmtId="2" showAll="0"/>
    <pivotField showAll="0"/>
    <pivotField showAll="0"/>
    <pivotField showAll="0"/>
    <pivotField showAll="0"/>
    <pivotField showAll="0"/>
    <pivotField dragToRow="0" dragToCol="0" dragToPage="0" showAll="0" defaultSubtotal="0"/>
  </pivotFields>
  <rowItems count="1">
    <i/>
  </rowItems>
  <colFields count="1">
    <field x="-2"/>
  </colFields>
  <colItems count="2">
    <i>
      <x/>
    </i>
    <i i="1">
      <x v="1"/>
    </i>
  </colItems>
  <dataFields count="2">
    <dataField name="Sum of Total Sales (NGN)" fld="9" baseField="0" baseItem="0" numFmtId="2"/>
    <dataField name="Count of Transaction ID" fld="0" subtotal="count" baseField="0" baseItem="0"/>
  </dataFields>
  <formats count="3">
    <format dxfId="145">
      <pivotArea type="all" dataOnly="0" outline="0" fieldPosition="0"/>
    </format>
    <format dxfId="144">
      <pivotArea dataOnly="0" labelOnly="1" outline="0" axis="axisValues" fieldPosition="0"/>
    </format>
    <format dxfId="1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EF0850-C9B4-4662-8EE4-AD58C379561A}" name="PivotTable12"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8">
    <pivotField dataField="1" showAll="0"/>
    <pivotField numFmtId="14" showAll="0"/>
    <pivotField showAll="0">
      <items count="10">
        <item m="1" x="8"/>
        <item x="0"/>
        <item x="6"/>
        <item x="2"/>
        <item x="1"/>
        <item x="4"/>
        <item x="5"/>
        <item x="3"/>
        <item m="1" x="7"/>
        <item t="default"/>
      </items>
    </pivotField>
    <pivotField showAll="0"/>
    <pivotField showAll="0"/>
    <pivotField showAll="0"/>
    <pivotField showAll="0"/>
    <pivotField numFmtId="2" showAll="0"/>
    <pivotField numFmtId="2" showAll="0"/>
    <pivotField numFmtId="2" showAll="0"/>
    <pivotField numFmtId="2" showAll="0"/>
    <pivotField numFmtId="2" showAll="0"/>
    <pivotField showAll="0"/>
    <pivotField showAll="0"/>
    <pivotField showAll="0"/>
    <pivotField showAll="0"/>
    <pivotField showAll="0"/>
    <pivotField dragToRow="0" dragToCol="0" dragToPage="0" showAll="0" defaultSubtotal="0"/>
  </pivotFields>
  <rowItems count="1">
    <i/>
  </rowItems>
  <colItems count="1">
    <i/>
  </colItems>
  <dataFields count="1">
    <dataField name="Total Transactions" fld="0" subtotal="count" baseField="0" baseItem="0" numFmtId="165"/>
  </dataFields>
  <formats count="3">
    <format dxfId="148">
      <pivotArea type="all" dataOnly="0" outline="0" fieldPosition="0"/>
    </format>
    <format dxfId="147">
      <pivotArea dataOnly="0" labelOnly="1" outline="0" axis="axisValues" fieldPosition="0"/>
    </format>
    <format dxfId="1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61DC69-AF51-475A-93DB-3D4D3D7E36BE}" name="PivotTable18"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23:F37" firstHeaderRow="1" firstDataRow="1" firstDataCol="1"/>
  <pivotFields count="18">
    <pivotField showAll="0"/>
    <pivotField numFmtId="14" showAll="0"/>
    <pivotField showAll="0" sortType="descending">
      <items count="10">
        <item m="1" x="8"/>
        <item x="0"/>
        <item x="6"/>
        <item x="2"/>
        <item x="1"/>
        <item x="4"/>
        <item x="5"/>
        <item x="3"/>
        <item m="1" x="7"/>
        <item t="default"/>
      </items>
      <autoSortScope>
        <pivotArea dataOnly="0" outline="0" fieldPosition="0">
          <references count="1">
            <reference field="4294967294" count="1" selected="0">
              <x v="0"/>
            </reference>
          </references>
        </pivotArea>
      </autoSortScope>
    </pivotField>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dataField="1" numFmtId="2" showAll="0"/>
    <pivotField numFmtId="2" showAll="0"/>
    <pivotField numFmtId="2" showAll="0"/>
    <pivotField showAll="0"/>
    <pivotField showAll="0"/>
    <pivotField axis="axisRow" showAll="0">
      <items count="2">
        <item x="0"/>
        <item t="default"/>
      </items>
    </pivotField>
    <pivotField axis="axisRow" showAll="0" sortType="ascending">
      <items count="25">
        <item x="7"/>
        <item x="8"/>
        <item x="9"/>
        <item x="4"/>
        <item x="5"/>
        <item x="1"/>
        <item x="10"/>
        <item x="2"/>
        <item x="0"/>
        <item x="6"/>
        <item x="3"/>
        <item x="11"/>
        <item m="1" x="16"/>
        <item m="1" x="14"/>
        <item m="1" x="23"/>
        <item m="1" x="20"/>
        <item m="1" x="19"/>
        <item m="1" x="22"/>
        <item m="1" x="13"/>
        <item m="1" x="21"/>
        <item m="1" x="17"/>
        <item m="1" x="15"/>
        <item m="1" x="18"/>
        <item m="1" x="12"/>
        <item t="default"/>
      </items>
    </pivotField>
    <pivotField showAll="0"/>
    <pivotField dragToRow="0" dragToCol="0" dragToPage="0" showAll="0" defaultSubtotal="0"/>
  </pivotFields>
  <rowFields count="2">
    <field x="14"/>
    <field x="15"/>
  </rowFields>
  <rowItems count="14">
    <i>
      <x/>
    </i>
    <i r="1">
      <x/>
    </i>
    <i r="1">
      <x v="1"/>
    </i>
    <i r="1">
      <x v="2"/>
    </i>
    <i r="1">
      <x v="3"/>
    </i>
    <i r="1">
      <x v="4"/>
    </i>
    <i r="1">
      <x v="5"/>
    </i>
    <i r="1">
      <x v="6"/>
    </i>
    <i r="1">
      <x v="7"/>
    </i>
    <i r="1">
      <x v="8"/>
    </i>
    <i r="1">
      <x v="9"/>
    </i>
    <i r="1">
      <x v="10"/>
    </i>
    <i r="1">
      <x v="11"/>
    </i>
    <i t="grand">
      <x/>
    </i>
  </rowItems>
  <colItems count="1">
    <i/>
  </colItems>
  <dataFields count="1">
    <dataField name="Total_Sales (NGN)" fld="9" baseField="0" baseItem="0" numFmtId="164"/>
  </dataFields>
  <formats count="1">
    <format dxfId="149">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4" count="1" selected="0">
            <x v="0"/>
          </reference>
          <reference field="15" count="1" selected="0">
            <x v="11"/>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3">
          <reference field="4294967294" count="1" selected="0">
            <x v="0"/>
          </reference>
          <reference field="14" count="1" selected="0">
            <x v="0"/>
          </reference>
          <reference field="15" count="1" selected="0">
            <x v="0"/>
          </reference>
        </references>
      </pivotArea>
    </chartFormat>
    <chartFormat chart="2" format="5">
      <pivotArea type="data" outline="0" fieldPosition="0">
        <references count="3">
          <reference field="4294967294" count="1" selected="0">
            <x v="0"/>
          </reference>
          <reference field="14" count="1" selected="0">
            <x v="0"/>
          </reference>
          <reference field="15" count="1" selected="0">
            <x v="1"/>
          </reference>
        </references>
      </pivotArea>
    </chartFormat>
    <chartFormat chart="2" format="6">
      <pivotArea type="data" outline="0" fieldPosition="0">
        <references count="3">
          <reference field="4294967294" count="1" selected="0">
            <x v="0"/>
          </reference>
          <reference field="14" count="1" selected="0">
            <x v="0"/>
          </reference>
          <reference field="15" count="1" selected="0">
            <x v="2"/>
          </reference>
        </references>
      </pivotArea>
    </chartFormat>
    <chartFormat chart="2" format="7">
      <pivotArea type="data" outline="0" fieldPosition="0">
        <references count="3">
          <reference field="4294967294" count="1" selected="0">
            <x v="0"/>
          </reference>
          <reference field="14" count="1" selected="0">
            <x v="0"/>
          </reference>
          <reference field="15" count="1" selected="0">
            <x v="3"/>
          </reference>
        </references>
      </pivotArea>
    </chartFormat>
    <chartFormat chart="2" format="8">
      <pivotArea type="data" outline="0" fieldPosition="0">
        <references count="3">
          <reference field="4294967294" count="1" selected="0">
            <x v="0"/>
          </reference>
          <reference field="14" count="1" selected="0">
            <x v="0"/>
          </reference>
          <reference field="15" count="1" selected="0">
            <x v="4"/>
          </reference>
        </references>
      </pivotArea>
    </chartFormat>
    <chartFormat chart="2" format="9">
      <pivotArea type="data" outline="0" fieldPosition="0">
        <references count="3">
          <reference field="4294967294" count="1" selected="0">
            <x v="0"/>
          </reference>
          <reference field="14" count="1" selected="0">
            <x v="0"/>
          </reference>
          <reference field="15" count="1" selected="0">
            <x v="5"/>
          </reference>
        </references>
      </pivotArea>
    </chartFormat>
    <chartFormat chart="2" format="10">
      <pivotArea type="data" outline="0" fieldPosition="0">
        <references count="3">
          <reference field="4294967294" count="1" selected="0">
            <x v="0"/>
          </reference>
          <reference field="14" count="1" selected="0">
            <x v="0"/>
          </reference>
          <reference field="15" count="1" selected="0">
            <x v="6"/>
          </reference>
        </references>
      </pivotArea>
    </chartFormat>
    <chartFormat chart="2" format="11">
      <pivotArea type="data" outline="0" fieldPosition="0">
        <references count="3">
          <reference field="4294967294" count="1" selected="0">
            <x v="0"/>
          </reference>
          <reference field="14" count="1" selected="0">
            <x v="0"/>
          </reference>
          <reference field="15" count="1" selected="0">
            <x v="7"/>
          </reference>
        </references>
      </pivotArea>
    </chartFormat>
    <chartFormat chart="2" format="12">
      <pivotArea type="data" outline="0" fieldPosition="0">
        <references count="3">
          <reference field="4294967294" count="1" selected="0">
            <x v="0"/>
          </reference>
          <reference field="14" count="1" selected="0">
            <x v="0"/>
          </reference>
          <reference field="15" count="1" selected="0">
            <x v="8"/>
          </reference>
        </references>
      </pivotArea>
    </chartFormat>
    <chartFormat chart="2" format="13">
      <pivotArea type="data" outline="0" fieldPosition="0">
        <references count="3">
          <reference field="4294967294" count="1" selected="0">
            <x v="0"/>
          </reference>
          <reference field="14" count="1" selected="0">
            <x v="0"/>
          </reference>
          <reference field="15" count="1" selected="0">
            <x v="9"/>
          </reference>
        </references>
      </pivotArea>
    </chartFormat>
    <chartFormat chart="2" format="14">
      <pivotArea type="data" outline="0" fieldPosition="0">
        <references count="3">
          <reference field="4294967294" count="1" selected="0">
            <x v="0"/>
          </reference>
          <reference field="14" count="1" selected="0">
            <x v="0"/>
          </reference>
          <reference field="15" count="1" selected="0">
            <x v="10"/>
          </reference>
        </references>
      </pivotArea>
    </chartFormat>
    <chartFormat chart="2" format="15">
      <pivotArea type="data" outline="0" fieldPosition="0">
        <references count="3">
          <reference field="4294967294" count="1" selected="0">
            <x v="0"/>
          </reference>
          <reference field="14" count="1" selected="0">
            <x v="0"/>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123068-D2ED-4C00-9843-1ABD136C23B7}" name="PivotTable11"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8">
    <pivotField showAll="0"/>
    <pivotField numFmtId="14" showAll="0"/>
    <pivotField showAll="0">
      <items count="10">
        <item m="1" x="8"/>
        <item x="0"/>
        <item x="6"/>
        <item x="2"/>
        <item x="1"/>
        <item x="4"/>
        <item x="5"/>
        <item x="3"/>
        <item m="1" x="7"/>
        <item t="default"/>
      </items>
    </pivotField>
    <pivotField showAll="0"/>
    <pivotField showAll="0"/>
    <pivotField showAll="0"/>
    <pivotField dataField="1" showAll="0"/>
    <pivotField numFmtId="2" showAll="0"/>
    <pivotField numFmtId="2" showAll="0"/>
    <pivotField numFmtId="2" showAll="0"/>
    <pivotField numFmtId="2" showAll="0"/>
    <pivotField numFmtId="2" showAll="0"/>
    <pivotField showAll="0"/>
    <pivotField showAll="0"/>
    <pivotField showAll="0"/>
    <pivotField showAll="0"/>
    <pivotField showAll="0"/>
    <pivotField dragToRow="0" dragToCol="0" dragToPage="0" showAll="0" defaultSubtotal="0"/>
  </pivotFields>
  <rowItems count="1">
    <i/>
  </rowItems>
  <colItems count="1">
    <i/>
  </colItems>
  <dataFields count="1">
    <dataField name="Total Quantity Sold" fld="6" baseField="0" baseItem="0" numFmtId="165"/>
  </dataFields>
  <formats count="3">
    <format dxfId="152">
      <pivotArea type="all" dataOnly="0" outline="0" fieldPosition="0"/>
    </format>
    <format dxfId="151">
      <pivotArea dataOnly="0" labelOnly="1" outline="0" axis="axisValues" fieldPosition="0"/>
    </format>
    <format dxfId="1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144642-B09F-4DB2-ADD3-F1D5433C57AD}" name="PivotTable15"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19" firstHeaderRow="1" firstDataRow="1" firstDataCol="1"/>
  <pivotFields count="18">
    <pivotField showAll="0"/>
    <pivotField numFmtId="14" showAll="0"/>
    <pivotField axis="axisRow" showAll="0" sortType="descending">
      <items count="10">
        <item m="1" x="8"/>
        <item x="0"/>
        <item x="6"/>
        <item x="2"/>
        <item x="1"/>
        <item x="4"/>
        <item x="5"/>
        <item x="3"/>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2" showAll="0"/>
    <pivotField dataField="1" numFmtId="2" showAll="0"/>
    <pivotField numFmtId="2" showAll="0"/>
    <pivotField numFmtId="2" showAll="0"/>
    <pivotField showAll="0"/>
    <pivotField showAll="0"/>
    <pivotField showAll="0"/>
    <pivotField showAll="0"/>
    <pivotField showAll="0"/>
    <pivotField dragToRow="0" dragToCol="0" dragToPage="0" showAll="0" defaultSubtotal="0"/>
  </pivotFields>
  <rowFields count="1">
    <field x="2"/>
  </rowFields>
  <rowItems count="8">
    <i>
      <x v="5"/>
    </i>
    <i>
      <x v="6"/>
    </i>
    <i>
      <x v="3"/>
    </i>
    <i>
      <x v="4"/>
    </i>
    <i>
      <x v="7"/>
    </i>
    <i>
      <x v="2"/>
    </i>
    <i>
      <x v="1"/>
    </i>
    <i t="grand">
      <x/>
    </i>
  </rowItems>
  <colItems count="1">
    <i/>
  </colItems>
  <dataFields count="1">
    <dataField name="Total_Sales (NGN)" fld="9" baseField="0" baseItem="0" numFmtId="164"/>
  </dataFields>
  <formats count="1">
    <format dxfId="15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DBC8600-F901-41BF-93A0-53B297531DE0}" name="PivotTable9"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8">
    <pivotField showAll="0"/>
    <pivotField numFmtId="14" showAll="0"/>
    <pivotField showAll="0">
      <items count="10">
        <item m="1" x="8"/>
        <item x="0"/>
        <item x="6"/>
        <item x="2"/>
        <item x="1"/>
        <item x="4"/>
        <item x="5"/>
        <item x="3"/>
        <item m="1" x="7"/>
        <item t="default"/>
      </items>
    </pivotField>
    <pivotField showAll="0"/>
    <pivotField showAll="0"/>
    <pivotField showAll="0"/>
    <pivotField showAll="0"/>
    <pivotField numFmtId="2" showAll="0"/>
    <pivotField numFmtId="2" showAll="0"/>
    <pivotField numFmtId="2" showAll="0"/>
    <pivotField numFmtId="2" showAll="0"/>
    <pivotField dataField="1" numFmtId="2" showAll="0"/>
    <pivotField showAll="0"/>
    <pivotField showAll="0"/>
    <pivotField showAll="0"/>
    <pivotField showAll="0"/>
    <pivotField showAll="0"/>
    <pivotField dragToRow="0" dragToCol="0" dragToPage="0" showAll="0" defaultSubtotal="0"/>
  </pivotFields>
  <rowItems count="1">
    <i/>
  </rowItems>
  <colItems count="1">
    <i/>
  </colItems>
  <dataFields count="1">
    <dataField name="Total Discount (NGN)" fld="11" baseField="0" baseItem="0" numFmtId="2"/>
  </dataFields>
  <formats count="1">
    <format dxfId="1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FA9291F-D02A-4C1C-BFFE-91FD291EFFF8}" name="PivotTable17"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B29" firstHeaderRow="1" firstDataRow="1" firstDataCol="1"/>
  <pivotFields count="18">
    <pivotField showAll="0"/>
    <pivotField numFmtId="14" showAll="0"/>
    <pivotField showAll="0" sortType="descending">
      <items count="10">
        <item m="1" x="8"/>
        <item x="0"/>
        <item x="6"/>
        <item x="2"/>
        <item x="1"/>
        <item x="4"/>
        <item x="5"/>
        <item x="3"/>
        <item m="1" x="7"/>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11">
        <item x="0"/>
        <item x="1"/>
        <item x="3"/>
        <item m="1" x="7"/>
        <item x="4"/>
        <item m="1" x="6"/>
        <item m="1" x="8"/>
        <item x="2"/>
        <item m="1" x="9"/>
        <item m="1" x="5"/>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dataField="1" numFmtId="2" showAll="0"/>
    <pivotField numFmtId="2" showAll="0"/>
    <pivotField numFmtId="2" showAll="0"/>
    <pivotField showAll="0"/>
    <pivotField showAll="0"/>
    <pivotField showAll="0"/>
    <pivotField showAll="0"/>
    <pivotField showAll="0"/>
    <pivotField dragToRow="0" dragToCol="0" dragToPage="0" showAll="0" defaultSubtotal="0"/>
  </pivotFields>
  <rowFields count="1">
    <field x="4"/>
  </rowFields>
  <rowItems count="6">
    <i>
      <x v="4"/>
    </i>
    <i>
      <x v="7"/>
    </i>
    <i>
      <x v="1"/>
    </i>
    <i>
      <x v="2"/>
    </i>
    <i>
      <x/>
    </i>
    <i t="grand">
      <x/>
    </i>
  </rowItems>
  <colItems count="1">
    <i/>
  </colItems>
  <dataFields count="1">
    <dataField name="Total_Sales (NGN)" fld="9" baseField="0" baseItem="0" numFmtId="164"/>
  </dataFields>
  <formats count="1">
    <format dxfId="15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3F2E329-8343-4EA4-93E1-876CD6590E62}" name="PivotTable16" cacheId="1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1:F19" firstHeaderRow="1" firstDataRow="1" firstDataCol="1"/>
  <pivotFields count="18">
    <pivotField showAll="0"/>
    <pivotField numFmtId="14" showAll="0"/>
    <pivotField axis="axisRow" showAll="0" sortType="descending">
      <items count="10">
        <item m="1" x="8"/>
        <item x="0"/>
        <item x="6"/>
        <item x="2"/>
        <item x="1"/>
        <item x="4"/>
        <item x="5"/>
        <item x="3"/>
        <item m="1"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 showAll="0"/>
    <pivotField numFmtId="2" showAll="0"/>
    <pivotField numFmtId="2" showAll="0"/>
    <pivotField numFmtId="2" showAll="0"/>
    <pivotField dataField="1" numFmtId="2" showAll="0"/>
    <pivotField showAll="0"/>
    <pivotField showAll="0"/>
    <pivotField showAll="0"/>
    <pivotField showAll="0"/>
    <pivotField showAll="0"/>
    <pivotField dragToRow="0" dragToCol="0" dragToPage="0" showAll="0" defaultSubtotal="0"/>
  </pivotFields>
  <rowFields count="1">
    <field x="2"/>
  </rowFields>
  <rowItems count="8">
    <i>
      <x v="5"/>
    </i>
    <i>
      <x v="3"/>
    </i>
    <i>
      <x v="7"/>
    </i>
    <i>
      <x v="2"/>
    </i>
    <i>
      <x v="1"/>
    </i>
    <i>
      <x v="6"/>
    </i>
    <i>
      <x v="4"/>
    </i>
    <i t="grand">
      <x/>
    </i>
  </rowItems>
  <colItems count="1">
    <i/>
  </colItems>
  <dataFields count="1">
    <dataField name="Discount(NGN)" fld="11" baseField="2" baseItem="5" numFmtId="165"/>
  </dataFields>
  <formats count="2">
    <format dxfId="157">
      <pivotArea outline="0" collapsedLevelsAreSubtotals="1" fieldPosition="0"/>
    </format>
    <format dxfId="156">
      <pivotArea collapsedLevelsAreSubtotals="1" fieldPosition="0">
        <references count="1">
          <reference field="2"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A664E55-2C6C-47FF-B420-7BDC66863A91}" name="PivotTable8" cacheId="16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2:A3" firstHeaderRow="1" firstDataRow="1" firstDataCol="0"/>
  <pivotFields count="18">
    <pivotField showAll="0"/>
    <pivotField numFmtId="14" showAll="0"/>
    <pivotField showAll="0">
      <items count="10">
        <item m="1" x="8"/>
        <item x="0"/>
        <item x="6"/>
        <item x="2"/>
        <item x="1"/>
        <item x="4"/>
        <item x="5"/>
        <item x="3"/>
        <item m="1" x="7"/>
        <item t="default"/>
      </items>
    </pivotField>
    <pivotField showAll="0"/>
    <pivotField showAll="0"/>
    <pivotField showAll="0"/>
    <pivotField showAll="0"/>
    <pivotField numFmtId="2" showAll="0"/>
    <pivotField numFmtId="2" showAll="0"/>
    <pivotField dataField="1" numFmtId="2" showAll="0"/>
    <pivotField numFmtId="2" showAll="0"/>
    <pivotField numFmtId="2" showAll="0"/>
    <pivotField showAll="0"/>
    <pivotField showAll="0"/>
    <pivotField showAll="0"/>
    <pivotField showAll="0"/>
    <pivotField showAll="0"/>
    <pivotField dragToRow="0" dragToCol="0" dragToPage="0" showAll="0" defaultSubtotal="0"/>
  </pivotFields>
  <rowItems count="1">
    <i/>
  </rowItems>
  <colItems count="1">
    <i/>
  </colItems>
  <dataFields count="1">
    <dataField name="Sum of Total Sales (NGN)" fld="9" baseField="0" baseItem="0" numFmtId="2"/>
  </dataFields>
  <formats count="1">
    <format dxfId="1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CFB94B3F-D6A9-4DD2-83F2-9D975606A497}" sourceName="Branch">
  <pivotTables>
    <pivotTable tabId="14" name="PivotTable8"/>
    <pivotTable tabId="14" name="PivotTable10"/>
    <pivotTable tabId="14" name="PivotTable9"/>
    <pivotTable tabId="14" name="PivotTable11"/>
    <pivotTable tabId="14" name="PivotTable12"/>
    <pivotTable tabId="14" name="PivotTable15"/>
    <pivotTable tabId="14" name="PivotTable16"/>
    <pivotTable tabId="14" name="PivotTable17"/>
    <pivotTable tabId="14" name="PivotTable18"/>
    <pivotTable tabId="14" name="PivotTable1"/>
    <pivotTable tabId="13" name="PivotTable1"/>
    <pivotTable tabId="13" name="PivotTable6"/>
    <pivotTable tabId="13" name="PivotTable7"/>
  </pivotTables>
  <data>
    <tabular pivotCacheId="1887757886">
      <items count="9">
        <i x="0" s="1"/>
        <i x="6" s="1"/>
        <i x="2" s="1"/>
        <i x="1" s="1"/>
        <i x="4" s="1"/>
        <i x="5" s="1"/>
        <i x="3" s="1"/>
        <i x="8"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5C7F3EDB-2656-48E8-A3E8-9C906B05FB08}" cache="Slicer_Branch" caption="Branch" columnCount="2" style="Custom 1" rowHeight="18288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38"/>
  <sheetViews>
    <sheetView topLeftCell="D1" zoomScaleNormal="100" workbookViewId="0">
      <pane ySplit="1" topLeftCell="A2" activePane="bottomLeft" state="frozen"/>
      <selection pane="bottomLeft" activeCell="I14" sqref="I14"/>
    </sheetView>
  </sheetViews>
  <sheetFormatPr defaultColWidth="8.7109375" defaultRowHeight="15" x14ac:dyDescent="0.25"/>
  <cols>
    <col min="1" max="2" width="14" customWidth="1"/>
    <col min="3" max="3" width="16" customWidth="1"/>
    <col min="4" max="4" width="15" customWidth="1"/>
    <col min="5" max="6" width="22" customWidth="1"/>
    <col min="7" max="7" width="10" customWidth="1"/>
    <col min="8" max="8" width="16" customWidth="1"/>
    <col min="9" max="9" width="12" customWidth="1"/>
    <col min="10" max="10" width="17" customWidth="1"/>
    <col min="11" max="11" width="16" customWidth="1"/>
    <col min="12" max="12" width="20" customWidth="1"/>
    <col min="13" max="13" width="14"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t="s">
        <v>13</v>
      </c>
      <c r="B2" s="2" t="s">
        <v>14</v>
      </c>
      <c r="C2" s="2" t="s">
        <v>15</v>
      </c>
      <c r="D2" s="2" t="s">
        <v>16</v>
      </c>
      <c r="E2" s="2" t="s">
        <v>17</v>
      </c>
      <c r="F2" s="2" t="s">
        <v>18</v>
      </c>
      <c r="G2" s="2">
        <v>1</v>
      </c>
      <c r="H2" s="2">
        <v>540</v>
      </c>
      <c r="I2" s="2">
        <v>0</v>
      </c>
      <c r="J2" s="2">
        <v>540</v>
      </c>
      <c r="K2" s="2" t="s">
        <v>19</v>
      </c>
      <c r="L2" s="2" t="s">
        <v>20</v>
      </c>
      <c r="M2" s="2" t="s">
        <v>21</v>
      </c>
    </row>
    <row r="3" spans="1:13" x14ac:dyDescent="0.25">
      <c r="A3" s="2" t="s">
        <v>22</v>
      </c>
      <c r="B3" s="2" t="s">
        <v>23</v>
      </c>
      <c r="C3" s="2" t="s">
        <v>24</v>
      </c>
      <c r="D3" s="2" t="s">
        <v>16</v>
      </c>
      <c r="E3" s="2" t="s">
        <v>25</v>
      </c>
      <c r="F3" s="2" t="s">
        <v>26</v>
      </c>
      <c r="G3" s="2">
        <v>1</v>
      </c>
      <c r="H3" s="2">
        <v>69830</v>
      </c>
      <c r="I3" s="2">
        <v>10</v>
      </c>
      <c r="J3" s="2">
        <v>62847</v>
      </c>
      <c r="K3" s="2" t="s">
        <v>27</v>
      </c>
      <c r="L3" s="2" t="s">
        <v>28</v>
      </c>
      <c r="M3" s="2" t="s">
        <v>29</v>
      </c>
    </row>
    <row r="4" spans="1:13" x14ac:dyDescent="0.25">
      <c r="A4" s="2" t="s">
        <v>30</v>
      </c>
      <c r="B4" s="2" t="s">
        <v>31</v>
      </c>
      <c r="C4" s="2" t="s">
        <v>32</v>
      </c>
      <c r="D4" s="2" t="s">
        <v>33</v>
      </c>
      <c r="E4" s="2" t="s">
        <v>34</v>
      </c>
      <c r="F4" s="2" t="s">
        <v>35</v>
      </c>
      <c r="G4" s="2">
        <v>3</v>
      </c>
      <c r="H4" s="2">
        <v>63000</v>
      </c>
      <c r="I4" s="2">
        <v>0</v>
      </c>
      <c r="J4" s="2">
        <v>189000</v>
      </c>
      <c r="K4" s="2" t="s">
        <v>36</v>
      </c>
      <c r="L4" s="2" t="s">
        <v>37</v>
      </c>
      <c r="M4" s="2" t="s">
        <v>38</v>
      </c>
    </row>
    <row r="5" spans="1:13" x14ac:dyDescent="0.25">
      <c r="A5" s="2" t="s">
        <v>39</v>
      </c>
      <c r="B5" s="2" t="s">
        <v>40</v>
      </c>
      <c r="C5" s="2" t="s">
        <v>41</v>
      </c>
      <c r="D5" s="2" t="s">
        <v>42</v>
      </c>
      <c r="E5" s="2" t="s">
        <v>43</v>
      </c>
      <c r="F5" s="2" t="s">
        <v>44</v>
      </c>
      <c r="G5" s="2">
        <v>10</v>
      </c>
      <c r="H5" s="2">
        <v>64980</v>
      </c>
      <c r="I5" s="2">
        <v>0</v>
      </c>
      <c r="J5" s="2">
        <v>649800</v>
      </c>
      <c r="K5" s="2" t="s">
        <v>45</v>
      </c>
      <c r="L5" s="2" t="s">
        <v>46</v>
      </c>
      <c r="M5" s="2" t="s">
        <v>47</v>
      </c>
    </row>
    <row r="6" spans="1:13" x14ac:dyDescent="0.25">
      <c r="A6" s="2" t="s">
        <v>48</v>
      </c>
      <c r="B6" s="2" t="s">
        <v>49</v>
      </c>
      <c r="C6" s="2" t="s">
        <v>50</v>
      </c>
      <c r="D6" s="2" t="s">
        <v>51</v>
      </c>
      <c r="E6" s="2" t="s">
        <v>52</v>
      </c>
      <c r="F6" s="2" t="s">
        <v>44</v>
      </c>
      <c r="G6" s="2">
        <v>12</v>
      </c>
      <c r="H6" s="2">
        <v>510</v>
      </c>
      <c r="I6" s="2">
        <v>10</v>
      </c>
      <c r="J6" s="2">
        <v>5508</v>
      </c>
      <c r="K6" s="2" t="s">
        <v>53</v>
      </c>
      <c r="L6" s="2" t="s">
        <v>54</v>
      </c>
      <c r="M6" s="2" t="s">
        <v>38</v>
      </c>
    </row>
    <row r="7" spans="1:13" x14ac:dyDescent="0.25">
      <c r="A7" s="2" t="s">
        <v>55</v>
      </c>
      <c r="B7" s="2" t="s">
        <v>56</v>
      </c>
      <c r="C7" s="2" t="s">
        <v>57</v>
      </c>
      <c r="D7" s="2" t="s">
        <v>58</v>
      </c>
      <c r="E7" s="2" t="s">
        <v>59</v>
      </c>
      <c r="F7" s="2" t="s">
        <v>60</v>
      </c>
      <c r="G7" s="2">
        <v>12</v>
      </c>
      <c r="H7" s="2">
        <v>7770</v>
      </c>
      <c r="I7" s="2">
        <v>5</v>
      </c>
      <c r="J7" s="2">
        <v>88578</v>
      </c>
      <c r="K7" s="2" t="s">
        <v>45</v>
      </c>
      <c r="L7" s="2" t="s">
        <v>61</v>
      </c>
      <c r="M7" s="2" t="s">
        <v>47</v>
      </c>
    </row>
    <row r="8" spans="1:13" x14ac:dyDescent="0.25">
      <c r="A8" s="2" t="s">
        <v>62</v>
      </c>
      <c r="B8" s="2" t="s">
        <v>63</v>
      </c>
      <c r="C8" s="2" t="s">
        <v>64</v>
      </c>
      <c r="D8" s="2" t="s">
        <v>51</v>
      </c>
      <c r="E8" s="2" t="s">
        <v>65</v>
      </c>
      <c r="F8" s="2" t="s">
        <v>66</v>
      </c>
      <c r="G8" s="2">
        <v>11</v>
      </c>
      <c r="H8" s="2">
        <v>26100</v>
      </c>
      <c r="I8" s="2">
        <v>0</v>
      </c>
      <c r="J8" s="2">
        <v>287100</v>
      </c>
      <c r="K8" s="2" t="s">
        <v>67</v>
      </c>
      <c r="L8" s="2" t="s">
        <v>68</v>
      </c>
      <c r="M8" s="2" t="s">
        <v>21</v>
      </c>
    </row>
    <row r="9" spans="1:13" x14ac:dyDescent="0.25">
      <c r="A9" s="2" t="s">
        <v>69</v>
      </c>
      <c r="B9" s="2" t="s">
        <v>70</v>
      </c>
      <c r="C9" s="2" t="s">
        <v>50</v>
      </c>
      <c r="D9" s="2" t="s">
        <v>51</v>
      </c>
      <c r="E9" s="2" t="s">
        <v>34</v>
      </c>
      <c r="F9" s="2" t="s">
        <v>71</v>
      </c>
      <c r="G9" s="2">
        <v>7</v>
      </c>
      <c r="H9" s="2">
        <v>28530</v>
      </c>
      <c r="I9" s="2">
        <v>15</v>
      </c>
      <c r="J9" s="2">
        <v>169753.5</v>
      </c>
      <c r="K9" s="2" t="s">
        <v>72</v>
      </c>
      <c r="L9" s="2" t="s">
        <v>73</v>
      </c>
      <c r="M9" s="2" t="s">
        <v>21</v>
      </c>
    </row>
    <row r="10" spans="1:13" x14ac:dyDescent="0.25">
      <c r="A10" s="2" t="s">
        <v>74</v>
      </c>
      <c r="B10" s="2" t="s">
        <v>75</v>
      </c>
      <c r="C10" s="2" t="s">
        <v>76</v>
      </c>
      <c r="D10" s="2" t="s">
        <v>33</v>
      </c>
      <c r="E10" s="2" t="s">
        <v>77</v>
      </c>
      <c r="F10" s="2" t="s">
        <v>78</v>
      </c>
      <c r="G10" s="2">
        <v>3</v>
      </c>
      <c r="H10" s="2">
        <v>490</v>
      </c>
      <c r="I10" s="2">
        <v>0</v>
      </c>
      <c r="J10" s="2">
        <v>1470</v>
      </c>
      <c r="K10" s="2" t="s">
        <v>67</v>
      </c>
      <c r="L10" s="2" t="s">
        <v>79</v>
      </c>
      <c r="M10" s="2" t="s">
        <v>21</v>
      </c>
    </row>
    <row r="11" spans="1:13" x14ac:dyDescent="0.25">
      <c r="A11" s="2" t="s">
        <v>80</v>
      </c>
      <c r="B11" s="2" t="s">
        <v>81</v>
      </c>
      <c r="C11" s="2" t="s">
        <v>57</v>
      </c>
      <c r="D11" s="2" t="s">
        <v>58</v>
      </c>
      <c r="E11" s="2" t="s">
        <v>82</v>
      </c>
      <c r="F11" s="2" t="s">
        <v>83</v>
      </c>
      <c r="G11" s="2">
        <v>5</v>
      </c>
      <c r="H11" s="2">
        <v>3870</v>
      </c>
      <c r="I11" s="2">
        <v>0</v>
      </c>
      <c r="J11" s="2">
        <v>19350</v>
      </c>
      <c r="K11" s="2" t="s">
        <v>53</v>
      </c>
      <c r="L11" s="2" t="s">
        <v>84</v>
      </c>
      <c r="M11" s="2" t="s">
        <v>21</v>
      </c>
    </row>
    <row r="12" spans="1:13" x14ac:dyDescent="0.25">
      <c r="A12" s="2" t="s">
        <v>85</v>
      </c>
      <c r="B12" s="2" t="s">
        <v>86</v>
      </c>
      <c r="C12" s="2" t="s">
        <v>76</v>
      </c>
      <c r="D12" s="2" t="s">
        <v>33</v>
      </c>
      <c r="E12" s="2" t="s">
        <v>82</v>
      </c>
      <c r="F12" s="2" t="s">
        <v>60</v>
      </c>
      <c r="G12" s="2">
        <v>1</v>
      </c>
      <c r="H12" s="2">
        <v>2630</v>
      </c>
      <c r="I12" s="2">
        <v>0</v>
      </c>
      <c r="J12" s="2"/>
      <c r="K12" s="2" t="s">
        <v>87</v>
      </c>
      <c r="L12" s="2" t="s">
        <v>88</v>
      </c>
      <c r="M12" s="2" t="s">
        <v>29</v>
      </c>
    </row>
    <row r="13" spans="1:13" x14ac:dyDescent="0.25">
      <c r="A13" s="2" t="s">
        <v>89</v>
      </c>
      <c r="B13" s="2" t="s">
        <v>90</v>
      </c>
      <c r="C13" s="2" t="s">
        <v>91</v>
      </c>
      <c r="D13" s="2" t="s">
        <v>51</v>
      </c>
      <c r="E13" s="2" t="s">
        <v>92</v>
      </c>
      <c r="F13" s="2" t="s">
        <v>93</v>
      </c>
      <c r="G13" s="2">
        <v>6</v>
      </c>
      <c r="H13" s="2">
        <v>4560</v>
      </c>
      <c r="I13" s="2">
        <v>0</v>
      </c>
      <c r="J13" s="2">
        <v>27360</v>
      </c>
      <c r="K13" s="2" t="s">
        <v>94</v>
      </c>
      <c r="L13" s="2" t="s">
        <v>95</v>
      </c>
      <c r="M13" s="2" t="s">
        <v>96</v>
      </c>
    </row>
    <row r="14" spans="1:13" x14ac:dyDescent="0.25">
      <c r="A14" s="2" t="s">
        <v>97</v>
      </c>
      <c r="B14" s="2" t="s">
        <v>98</v>
      </c>
      <c r="C14" s="2" t="s">
        <v>99</v>
      </c>
      <c r="D14" s="2" t="s">
        <v>16</v>
      </c>
      <c r="E14" s="2" t="s">
        <v>100</v>
      </c>
      <c r="F14" s="2" t="s">
        <v>101</v>
      </c>
      <c r="G14" s="2">
        <v>1</v>
      </c>
      <c r="H14" s="2">
        <v>9580</v>
      </c>
      <c r="I14" s="2"/>
      <c r="J14" s="2">
        <v>9580</v>
      </c>
      <c r="K14" s="2" t="s">
        <v>102</v>
      </c>
      <c r="L14" s="2" t="s">
        <v>73</v>
      </c>
      <c r="M14" s="2" t="s">
        <v>21</v>
      </c>
    </row>
    <row r="15" spans="1:13" x14ac:dyDescent="0.25">
      <c r="A15" s="2" t="s">
        <v>103</v>
      </c>
      <c r="B15" s="2" t="s">
        <v>104</v>
      </c>
      <c r="C15" s="2" t="s">
        <v>24</v>
      </c>
      <c r="D15" s="2" t="s">
        <v>16</v>
      </c>
      <c r="E15" s="2" t="s">
        <v>105</v>
      </c>
      <c r="F15" s="2" t="s">
        <v>106</v>
      </c>
      <c r="G15" s="2">
        <v>1</v>
      </c>
      <c r="H15" s="2">
        <v>1200</v>
      </c>
      <c r="I15" s="2">
        <v>0</v>
      </c>
      <c r="J15" s="2">
        <v>1200</v>
      </c>
      <c r="K15" s="2"/>
      <c r="L15" s="2" t="s">
        <v>107</v>
      </c>
      <c r="M15" s="2" t="s">
        <v>29</v>
      </c>
    </row>
    <row r="16" spans="1:13" x14ac:dyDescent="0.25">
      <c r="A16" s="2" t="s">
        <v>108</v>
      </c>
      <c r="B16" s="2" t="s">
        <v>109</v>
      </c>
      <c r="C16" s="2" t="s">
        <v>110</v>
      </c>
      <c r="D16" s="2" t="s">
        <v>33</v>
      </c>
      <c r="E16" s="2" t="s">
        <v>111</v>
      </c>
      <c r="F16" s="2" t="s">
        <v>78</v>
      </c>
      <c r="G16" s="2">
        <v>8</v>
      </c>
      <c r="H16" s="2">
        <v>5020</v>
      </c>
      <c r="I16" s="2">
        <v>0</v>
      </c>
      <c r="J16" s="2">
        <v>40160</v>
      </c>
      <c r="K16" s="2" t="s">
        <v>36</v>
      </c>
      <c r="L16" s="2" t="s">
        <v>112</v>
      </c>
      <c r="M16" s="2" t="s">
        <v>47</v>
      </c>
    </row>
    <row r="17" spans="1:13" x14ac:dyDescent="0.25">
      <c r="A17" s="2" t="s">
        <v>113</v>
      </c>
      <c r="B17" s="2" t="s">
        <v>114</v>
      </c>
      <c r="C17" s="2" t="s">
        <v>41</v>
      </c>
      <c r="D17" s="2" t="s">
        <v>42</v>
      </c>
      <c r="E17" s="2" t="s">
        <v>105</v>
      </c>
      <c r="F17" s="2" t="s">
        <v>115</v>
      </c>
      <c r="G17" s="2">
        <v>10</v>
      </c>
      <c r="H17" s="2">
        <v>560</v>
      </c>
      <c r="I17" s="2">
        <v>0</v>
      </c>
      <c r="J17" s="2">
        <v>5600</v>
      </c>
      <c r="K17" s="2" t="s">
        <v>87</v>
      </c>
      <c r="L17" s="2" t="s">
        <v>20</v>
      </c>
      <c r="M17" s="2" t="s">
        <v>47</v>
      </c>
    </row>
    <row r="18" spans="1:13" x14ac:dyDescent="0.25">
      <c r="A18" s="2" t="s">
        <v>116</v>
      </c>
      <c r="B18" s="2" t="s">
        <v>117</v>
      </c>
      <c r="C18" s="2" t="s">
        <v>118</v>
      </c>
      <c r="D18" s="2" t="s">
        <v>51</v>
      </c>
      <c r="E18" s="2" t="s">
        <v>119</v>
      </c>
      <c r="F18" s="2" t="s">
        <v>26</v>
      </c>
      <c r="G18" s="2">
        <v>8</v>
      </c>
      <c r="H18" s="2">
        <v>24200</v>
      </c>
      <c r="I18" s="2">
        <v>0</v>
      </c>
      <c r="J18" s="2">
        <v>193600</v>
      </c>
      <c r="K18" s="2" t="s">
        <v>120</v>
      </c>
      <c r="L18" s="2" t="s">
        <v>121</v>
      </c>
      <c r="M18" s="2" t="s">
        <v>47</v>
      </c>
    </row>
    <row r="19" spans="1:13" x14ac:dyDescent="0.25">
      <c r="A19" s="2" t="s">
        <v>122</v>
      </c>
      <c r="B19" s="2" t="s">
        <v>123</v>
      </c>
      <c r="C19" s="2" t="s">
        <v>124</v>
      </c>
      <c r="D19" s="2" t="s">
        <v>51</v>
      </c>
      <c r="E19" s="2" t="s">
        <v>125</v>
      </c>
      <c r="F19" s="2" t="s">
        <v>126</v>
      </c>
      <c r="G19" s="2">
        <v>9</v>
      </c>
      <c r="H19" s="2">
        <v>43420</v>
      </c>
      <c r="I19" s="2">
        <v>0</v>
      </c>
      <c r="J19" s="2">
        <v>390780</v>
      </c>
      <c r="K19" s="2" t="s">
        <v>127</v>
      </c>
      <c r="L19" s="2" t="s">
        <v>73</v>
      </c>
      <c r="M19" s="2" t="s">
        <v>128</v>
      </c>
    </row>
    <row r="20" spans="1:13" x14ac:dyDescent="0.25">
      <c r="A20" s="2" t="s">
        <v>129</v>
      </c>
      <c r="B20" s="2" t="s">
        <v>130</v>
      </c>
      <c r="C20" s="2" t="s">
        <v>57</v>
      </c>
      <c r="D20" s="2" t="s">
        <v>58</v>
      </c>
      <c r="E20" s="2" t="s">
        <v>131</v>
      </c>
      <c r="F20" s="2" t="s">
        <v>132</v>
      </c>
      <c r="G20" s="2">
        <v>6</v>
      </c>
      <c r="H20" s="2">
        <v>11890</v>
      </c>
      <c r="I20" s="2">
        <v>0</v>
      </c>
      <c r="J20" s="2">
        <v>71340</v>
      </c>
      <c r="K20" s="2" t="s">
        <v>133</v>
      </c>
      <c r="L20" s="2" t="s">
        <v>20</v>
      </c>
      <c r="M20" s="2" t="s">
        <v>47</v>
      </c>
    </row>
    <row r="21" spans="1:13" x14ac:dyDescent="0.25">
      <c r="A21" s="2" t="s">
        <v>134</v>
      </c>
      <c r="B21" s="2" t="s">
        <v>123</v>
      </c>
      <c r="C21" s="2" t="s">
        <v>135</v>
      </c>
      <c r="D21" s="2" t="s">
        <v>136</v>
      </c>
      <c r="E21" s="2" t="s">
        <v>137</v>
      </c>
      <c r="F21" s="2" t="s">
        <v>71</v>
      </c>
      <c r="G21" s="2" t="s">
        <v>138</v>
      </c>
      <c r="H21" s="2">
        <v>7640</v>
      </c>
      <c r="I21" s="2">
        <v>0</v>
      </c>
      <c r="J21" s="2">
        <v>22920</v>
      </c>
      <c r="K21" s="2" t="s">
        <v>139</v>
      </c>
      <c r="L21" s="2" t="s">
        <v>61</v>
      </c>
      <c r="M21" s="2" t="s">
        <v>140</v>
      </c>
    </row>
    <row r="22" spans="1:13" x14ac:dyDescent="0.25">
      <c r="A22" s="2" t="s">
        <v>141</v>
      </c>
      <c r="B22" s="2" t="s">
        <v>142</v>
      </c>
      <c r="C22" s="2"/>
      <c r="D22" s="2" t="s">
        <v>58</v>
      </c>
      <c r="E22" s="2" t="s">
        <v>111</v>
      </c>
      <c r="F22" s="2" t="s">
        <v>143</v>
      </c>
      <c r="G22" s="2">
        <v>12</v>
      </c>
      <c r="H22" s="2">
        <v>3650</v>
      </c>
      <c r="I22" s="2">
        <v>0</v>
      </c>
      <c r="J22" s="2">
        <v>43800</v>
      </c>
      <c r="K22" s="2" t="s">
        <v>144</v>
      </c>
      <c r="L22" s="2" t="s">
        <v>145</v>
      </c>
      <c r="M22" s="2" t="s">
        <v>29</v>
      </c>
    </row>
    <row r="23" spans="1:13" x14ac:dyDescent="0.25">
      <c r="A23" s="2" t="s">
        <v>146</v>
      </c>
      <c r="B23" s="2" t="s">
        <v>147</v>
      </c>
      <c r="C23" s="2" t="s">
        <v>64</v>
      </c>
      <c r="D23" s="2" t="s">
        <v>51</v>
      </c>
      <c r="E23" s="2" t="s">
        <v>148</v>
      </c>
      <c r="F23" s="2" t="s">
        <v>149</v>
      </c>
      <c r="G23" s="2">
        <v>3</v>
      </c>
      <c r="H23" s="2">
        <v>470</v>
      </c>
      <c r="I23" s="2">
        <v>0</v>
      </c>
      <c r="J23" s="2">
        <v>1410</v>
      </c>
      <c r="K23" s="2" t="s">
        <v>53</v>
      </c>
      <c r="L23" s="2" t="s">
        <v>54</v>
      </c>
      <c r="M23" s="2" t="s">
        <v>47</v>
      </c>
    </row>
    <row r="24" spans="1:13" x14ac:dyDescent="0.25">
      <c r="A24" s="2" t="s">
        <v>150</v>
      </c>
      <c r="B24" s="2" t="s">
        <v>151</v>
      </c>
      <c r="C24" s="2" t="s">
        <v>41</v>
      </c>
      <c r="D24" s="2" t="s">
        <v>42</v>
      </c>
      <c r="E24" s="2" t="s">
        <v>25</v>
      </c>
      <c r="F24" s="2" t="s">
        <v>26</v>
      </c>
      <c r="G24" s="2">
        <v>6</v>
      </c>
      <c r="H24" s="2">
        <v>12170</v>
      </c>
      <c r="I24" s="2">
        <v>0</v>
      </c>
      <c r="J24" s="2">
        <v>73020</v>
      </c>
      <c r="K24" s="2" t="s">
        <v>152</v>
      </c>
      <c r="L24" s="2" t="s">
        <v>153</v>
      </c>
      <c r="M24" s="2" t="s">
        <v>21</v>
      </c>
    </row>
    <row r="25" spans="1:13" x14ac:dyDescent="0.25">
      <c r="A25" s="2" t="s">
        <v>154</v>
      </c>
      <c r="B25" s="2" t="s">
        <v>155</v>
      </c>
      <c r="C25" s="2" t="s">
        <v>156</v>
      </c>
      <c r="D25" s="2" t="s">
        <v>51</v>
      </c>
      <c r="E25" s="2"/>
      <c r="F25" s="2" t="s">
        <v>18</v>
      </c>
      <c r="G25" s="2">
        <v>9</v>
      </c>
      <c r="H25" s="2">
        <v>25300</v>
      </c>
      <c r="I25" s="2">
        <v>10</v>
      </c>
      <c r="J25" s="2">
        <v>204930</v>
      </c>
      <c r="K25" s="2" t="s">
        <v>157</v>
      </c>
      <c r="L25" s="2" t="s">
        <v>79</v>
      </c>
      <c r="M25" s="2" t="s">
        <v>140</v>
      </c>
    </row>
    <row r="26" spans="1:13" x14ac:dyDescent="0.25">
      <c r="A26" s="2" t="s">
        <v>158</v>
      </c>
      <c r="B26" s="2" t="s">
        <v>159</v>
      </c>
      <c r="C26" s="2" t="s">
        <v>135</v>
      </c>
      <c r="D26" s="2" t="s">
        <v>58</v>
      </c>
      <c r="E26" s="2" t="s">
        <v>131</v>
      </c>
      <c r="F26" s="2" t="s">
        <v>101</v>
      </c>
      <c r="G26" s="2">
        <v>8</v>
      </c>
      <c r="H26" s="2">
        <v>17940</v>
      </c>
      <c r="I26" s="2">
        <v>0</v>
      </c>
      <c r="J26" s="2">
        <v>143520</v>
      </c>
      <c r="K26" s="2" t="s">
        <v>127</v>
      </c>
      <c r="L26" s="2" t="s">
        <v>88</v>
      </c>
      <c r="M26" s="2" t="s">
        <v>29</v>
      </c>
    </row>
    <row r="27" spans="1:13" x14ac:dyDescent="0.25">
      <c r="A27" s="2" t="s">
        <v>160</v>
      </c>
      <c r="B27" s="2" t="s">
        <v>161</v>
      </c>
      <c r="C27" s="2" t="s">
        <v>162</v>
      </c>
      <c r="D27" s="2" t="s">
        <v>33</v>
      </c>
      <c r="E27" s="2" t="s">
        <v>163</v>
      </c>
      <c r="F27" s="2" t="s">
        <v>164</v>
      </c>
      <c r="G27" s="2">
        <v>11</v>
      </c>
      <c r="H27" s="2">
        <v>1280</v>
      </c>
      <c r="I27" s="2">
        <v>0</v>
      </c>
      <c r="J27" s="2">
        <v>14080</v>
      </c>
      <c r="K27" s="2" t="s">
        <v>120</v>
      </c>
      <c r="L27" s="2" t="s">
        <v>20</v>
      </c>
      <c r="M27" s="2" t="s">
        <v>47</v>
      </c>
    </row>
    <row r="28" spans="1:13" x14ac:dyDescent="0.25">
      <c r="A28" s="2" t="s">
        <v>165</v>
      </c>
      <c r="B28" s="2" t="s">
        <v>166</v>
      </c>
      <c r="C28" s="2" t="s">
        <v>24</v>
      </c>
      <c r="D28" s="2" t="s">
        <v>16</v>
      </c>
      <c r="E28" s="2" t="s">
        <v>148</v>
      </c>
      <c r="F28" s="2" t="s">
        <v>167</v>
      </c>
      <c r="G28" s="2">
        <v>12</v>
      </c>
      <c r="H28" s="2">
        <v>9090</v>
      </c>
      <c r="I28" s="2">
        <v>0</v>
      </c>
      <c r="J28" s="2">
        <v>109080</v>
      </c>
      <c r="K28" s="2" t="s">
        <v>72</v>
      </c>
      <c r="L28" s="2" t="s">
        <v>168</v>
      </c>
      <c r="M28" s="2" t="s">
        <v>128</v>
      </c>
    </row>
    <row r="29" spans="1:13" x14ac:dyDescent="0.25">
      <c r="A29" s="2" t="s">
        <v>169</v>
      </c>
      <c r="B29" s="2" t="s">
        <v>170</v>
      </c>
      <c r="C29" s="2" t="s">
        <v>118</v>
      </c>
      <c r="D29" s="2" t="s">
        <v>51</v>
      </c>
      <c r="E29" s="2" t="s">
        <v>137</v>
      </c>
      <c r="F29" s="2" t="s">
        <v>171</v>
      </c>
      <c r="G29" s="2">
        <v>6</v>
      </c>
      <c r="H29" s="2">
        <v>8230</v>
      </c>
      <c r="I29" s="2">
        <v>5</v>
      </c>
      <c r="J29" s="2">
        <v>46911</v>
      </c>
      <c r="K29" s="2" t="s">
        <v>172</v>
      </c>
      <c r="L29" s="2" t="s">
        <v>173</v>
      </c>
      <c r="M29" s="2" t="s">
        <v>136</v>
      </c>
    </row>
    <row r="30" spans="1:13" x14ac:dyDescent="0.25">
      <c r="A30" s="2" t="s">
        <v>174</v>
      </c>
      <c r="B30" s="2" t="s">
        <v>175</v>
      </c>
      <c r="C30" s="2" t="s">
        <v>99</v>
      </c>
      <c r="D30" s="2" t="s">
        <v>16</v>
      </c>
      <c r="E30" s="2" t="s">
        <v>65</v>
      </c>
      <c r="F30" s="2" t="s">
        <v>126</v>
      </c>
      <c r="G30" s="2">
        <v>7</v>
      </c>
      <c r="H30" s="2">
        <v>550</v>
      </c>
      <c r="I30" s="2">
        <v>0</v>
      </c>
      <c r="J30" s="2">
        <v>3850</v>
      </c>
      <c r="K30" s="2" t="s">
        <v>53</v>
      </c>
      <c r="L30" s="2" t="s">
        <v>176</v>
      </c>
      <c r="M30" s="2" t="s">
        <v>47</v>
      </c>
    </row>
    <row r="31" spans="1:13" x14ac:dyDescent="0.25">
      <c r="A31" s="2" t="s">
        <v>177</v>
      </c>
      <c r="B31" s="2" t="s">
        <v>178</v>
      </c>
      <c r="C31" s="2" t="s">
        <v>41</v>
      </c>
      <c r="D31" s="2" t="s">
        <v>42</v>
      </c>
      <c r="E31" s="2" t="s">
        <v>179</v>
      </c>
      <c r="F31" s="2" t="s">
        <v>180</v>
      </c>
      <c r="G31" s="2">
        <v>9</v>
      </c>
      <c r="H31" s="2">
        <v>11910</v>
      </c>
      <c r="I31" s="2" t="s">
        <v>152</v>
      </c>
      <c r="J31" s="2">
        <v>107190</v>
      </c>
      <c r="K31" s="2" t="s">
        <v>72</v>
      </c>
      <c r="L31" s="2" t="s">
        <v>181</v>
      </c>
      <c r="M31" s="2" t="s">
        <v>21</v>
      </c>
    </row>
    <row r="32" spans="1:13" x14ac:dyDescent="0.25">
      <c r="A32" s="2" t="s">
        <v>182</v>
      </c>
      <c r="B32" s="2" t="s">
        <v>183</v>
      </c>
      <c r="C32" s="2" t="s">
        <v>76</v>
      </c>
      <c r="D32" s="2" t="s">
        <v>33</v>
      </c>
      <c r="E32" s="2" t="s">
        <v>179</v>
      </c>
      <c r="F32" s="2" t="s">
        <v>184</v>
      </c>
      <c r="G32" s="2">
        <v>11</v>
      </c>
      <c r="H32" s="2">
        <v>2600</v>
      </c>
      <c r="I32" s="2">
        <v>0</v>
      </c>
      <c r="J32" s="2">
        <v>28600</v>
      </c>
      <c r="K32" s="2" t="s">
        <v>157</v>
      </c>
      <c r="L32" s="2" t="s">
        <v>185</v>
      </c>
      <c r="M32" s="2" t="s">
        <v>47</v>
      </c>
    </row>
    <row r="33" spans="1:13" x14ac:dyDescent="0.25">
      <c r="A33" s="2" t="s">
        <v>186</v>
      </c>
      <c r="B33" s="2" t="s">
        <v>187</v>
      </c>
      <c r="C33" s="2" t="s">
        <v>64</v>
      </c>
      <c r="D33" s="2" t="s">
        <v>51</v>
      </c>
      <c r="E33" s="2" t="s">
        <v>34</v>
      </c>
      <c r="F33" s="2" t="s">
        <v>71</v>
      </c>
      <c r="G33" s="2">
        <v>3</v>
      </c>
      <c r="H33" s="2">
        <v>26900</v>
      </c>
      <c r="I33" s="2">
        <v>0</v>
      </c>
      <c r="J33" s="2">
        <v>80700</v>
      </c>
      <c r="K33" s="2" t="s">
        <v>72</v>
      </c>
      <c r="L33" s="2" t="s">
        <v>188</v>
      </c>
      <c r="M33" s="2" t="s">
        <v>189</v>
      </c>
    </row>
    <row r="34" spans="1:13" x14ac:dyDescent="0.25">
      <c r="A34" s="2" t="s">
        <v>190</v>
      </c>
      <c r="B34" s="2" t="s">
        <v>191</v>
      </c>
      <c r="C34" s="2" t="s">
        <v>156</v>
      </c>
      <c r="D34" s="2" t="s">
        <v>51</v>
      </c>
      <c r="E34" s="2" t="s">
        <v>111</v>
      </c>
      <c r="F34" s="2" t="s">
        <v>180</v>
      </c>
      <c r="G34" s="2"/>
      <c r="H34" s="2">
        <v>10300</v>
      </c>
      <c r="I34" s="2">
        <v>0</v>
      </c>
      <c r="J34" s="2">
        <v>113300</v>
      </c>
      <c r="K34" s="2" t="s">
        <v>127</v>
      </c>
      <c r="L34" s="2" t="s">
        <v>61</v>
      </c>
      <c r="M34" s="2" t="s">
        <v>21</v>
      </c>
    </row>
    <row r="35" spans="1:13" x14ac:dyDescent="0.25">
      <c r="A35" s="2" t="s">
        <v>192</v>
      </c>
      <c r="B35" s="2" t="s">
        <v>193</v>
      </c>
      <c r="C35" s="2" t="s">
        <v>194</v>
      </c>
      <c r="D35" s="2" t="s">
        <v>51</v>
      </c>
      <c r="E35" s="2" t="s">
        <v>195</v>
      </c>
      <c r="F35" s="2" t="s">
        <v>35</v>
      </c>
      <c r="G35" s="2">
        <v>1</v>
      </c>
      <c r="H35" s="2">
        <v>16880</v>
      </c>
      <c r="I35" s="2">
        <v>0</v>
      </c>
      <c r="J35" s="2">
        <v>16880</v>
      </c>
      <c r="K35" s="2" t="s">
        <v>127</v>
      </c>
      <c r="L35" s="2" t="s">
        <v>68</v>
      </c>
      <c r="M35" s="2" t="s">
        <v>47</v>
      </c>
    </row>
    <row r="36" spans="1:13" x14ac:dyDescent="0.25">
      <c r="A36" s="2" t="s">
        <v>196</v>
      </c>
      <c r="B36" s="2" t="s">
        <v>197</v>
      </c>
      <c r="C36" s="2" t="s">
        <v>198</v>
      </c>
      <c r="D36" s="2" t="s">
        <v>42</v>
      </c>
      <c r="E36" s="2" t="s">
        <v>195</v>
      </c>
      <c r="F36" s="2" t="s">
        <v>199</v>
      </c>
      <c r="G36" s="2">
        <v>3</v>
      </c>
      <c r="H36" s="2" t="s">
        <v>107</v>
      </c>
      <c r="I36" s="2">
        <v>5</v>
      </c>
      <c r="J36" s="2">
        <v>9462</v>
      </c>
      <c r="K36" s="2" t="s">
        <v>133</v>
      </c>
      <c r="L36" s="2" t="s">
        <v>200</v>
      </c>
      <c r="M36" s="2" t="s">
        <v>201</v>
      </c>
    </row>
    <row r="37" spans="1:13" x14ac:dyDescent="0.25">
      <c r="A37" s="2" t="s">
        <v>202</v>
      </c>
      <c r="B37" s="2" t="s">
        <v>203</v>
      </c>
      <c r="C37" s="2" t="s">
        <v>204</v>
      </c>
      <c r="D37" s="2" t="s">
        <v>33</v>
      </c>
      <c r="E37" s="2" t="s">
        <v>131</v>
      </c>
      <c r="F37" s="2" t="s">
        <v>66</v>
      </c>
      <c r="G37" s="2">
        <v>5</v>
      </c>
      <c r="H37" s="2">
        <v>2580</v>
      </c>
      <c r="I37" s="2">
        <v>0</v>
      </c>
      <c r="J37" s="2">
        <v>12900</v>
      </c>
      <c r="K37" s="2" t="s">
        <v>205</v>
      </c>
      <c r="L37" s="2" t="s">
        <v>206</v>
      </c>
      <c r="M37" s="2" t="s">
        <v>140</v>
      </c>
    </row>
    <row r="38" spans="1:13" x14ac:dyDescent="0.25">
      <c r="A38" s="2" t="s">
        <v>207</v>
      </c>
      <c r="B38" s="2" t="s">
        <v>208</v>
      </c>
      <c r="C38" s="2" t="s">
        <v>32</v>
      </c>
      <c r="D38" s="2" t="s">
        <v>33</v>
      </c>
      <c r="E38" s="2" t="s">
        <v>148</v>
      </c>
      <c r="F38" s="2" t="s">
        <v>209</v>
      </c>
      <c r="G38" s="2">
        <v>3</v>
      </c>
      <c r="H38" s="2">
        <v>4780</v>
      </c>
      <c r="I38" s="2">
        <v>10</v>
      </c>
      <c r="J38" s="2">
        <v>12906</v>
      </c>
      <c r="K38" s="2" t="s">
        <v>27</v>
      </c>
      <c r="L38" s="2" t="s">
        <v>168</v>
      </c>
      <c r="M38" s="2" t="s">
        <v>210</v>
      </c>
    </row>
    <row r="39" spans="1:13" x14ac:dyDescent="0.25">
      <c r="A39" s="2" t="s">
        <v>211</v>
      </c>
      <c r="B39" s="2" t="s">
        <v>212</v>
      </c>
      <c r="C39" s="2" t="s">
        <v>213</v>
      </c>
      <c r="D39" s="2" t="s">
        <v>58</v>
      </c>
      <c r="E39" s="2" t="s">
        <v>179</v>
      </c>
      <c r="F39" s="2" t="s">
        <v>143</v>
      </c>
      <c r="G39" s="2">
        <v>12</v>
      </c>
      <c r="H39" s="2">
        <v>8240</v>
      </c>
      <c r="I39" s="2">
        <v>10</v>
      </c>
      <c r="J39" s="2">
        <v>88992</v>
      </c>
      <c r="K39" s="2" t="s">
        <v>72</v>
      </c>
      <c r="L39" s="2" t="s">
        <v>214</v>
      </c>
      <c r="M39" s="2" t="s">
        <v>215</v>
      </c>
    </row>
    <row r="40" spans="1:13" x14ac:dyDescent="0.25">
      <c r="A40" s="2" t="s">
        <v>216</v>
      </c>
      <c r="B40" s="2" t="s">
        <v>217</v>
      </c>
      <c r="C40" s="2" t="s">
        <v>218</v>
      </c>
      <c r="D40" s="2" t="s">
        <v>33</v>
      </c>
      <c r="E40" s="2" t="s">
        <v>125</v>
      </c>
      <c r="F40" s="2" t="s">
        <v>219</v>
      </c>
      <c r="G40" s="2">
        <v>6</v>
      </c>
      <c r="H40" s="2">
        <v>7520</v>
      </c>
      <c r="I40" s="2">
        <v>0</v>
      </c>
      <c r="J40" s="2">
        <v>45120</v>
      </c>
      <c r="K40" s="2" t="s">
        <v>72</v>
      </c>
      <c r="L40" s="2" t="s">
        <v>220</v>
      </c>
      <c r="M40" s="2" t="s">
        <v>128</v>
      </c>
    </row>
    <row r="41" spans="1:13" x14ac:dyDescent="0.25">
      <c r="A41" s="2" t="s">
        <v>221</v>
      </c>
      <c r="B41" s="2" t="s">
        <v>222</v>
      </c>
      <c r="C41" s="2" t="s">
        <v>76</v>
      </c>
      <c r="D41" s="2" t="s">
        <v>138</v>
      </c>
      <c r="E41" s="2" t="s">
        <v>223</v>
      </c>
      <c r="F41" s="2" t="s">
        <v>224</v>
      </c>
      <c r="G41" s="2">
        <v>12</v>
      </c>
      <c r="H41" s="2">
        <v>26740</v>
      </c>
      <c r="I41" s="2">
        <v>0</v>
      </c>
      <c r="J41" s="2">
        <v>320880</v>
      </c>
      <c r="K41" s="2" t="s">
        <v>19</v>
      </c>
      <c r="L41" s="2" t="s">
        <v>121</v>
      </c>
      <c r="M41" s="2" t="s">
        <v>38</v>
      </c>
    </row>
    <row r="42" spans="1:13" x14ac:dyDescent="0.25">
      <c r="A42" s="2" t="s">
        <v>225</v>
      </c>
      <c r="B42" s="2" t="s">
        <v>226</v>
      </c>
      <c r="C42" s="2" t="s">
        <v>227</v>
      </c>
      <c r="D42" s="2" t="s">
        <v>33</v>
      </c>
      <c r="E42" s="2" t="s">
        <v>59</v>
      </c>
      <c r="F42" s="2" t="s">
        <v>149</v>
      </c>
      <c r="G42" s="2">
        <v>7</v>
      </c>
      <c r="H42" s="2">
        <v>7310</v>
      </c>
      <c r="I42" s="2">
        <v>0</v>
      </c>
      <c r="J42" s="2">
        <v>51170</v>
      </c>
      <c r="K42" s="2" t="s">
        <v>133</v>
      </c>
      <c r="L42" s="2" t="s">
        <v>228</v>
      </c>
      <c r="M42" s="2" t="s">
        <v>152</v>
      </c>
    </row>
    <row r="43" spans="1:13" x14ac:dyDescent="0.25">
      <c r="A43" s="2" t="s">
        <v>229</v>
      </c>
      <c r="B43" s="2" t="s">
        <v>230</v>
      </c>
      <c r="C43" s="2" t="s">
        <v>162</v>
      </c>
      <c r="D43" s="2" t="s">
        <v>33</v>
      </c>
      <c r="E43" s="2" t="s">
        <v>231</v>
      </c>
      <c r="F43" s="2" t="s">
        <v>232</v>
      </c>
      <c r="G43" s="2">
        <v>2</v>
      </c>
      <c r="H43" s="2">
        <v>65860</v>
      </c>
      <c r="I43" s="2">
        <v>0</v>
      </c>
      <c r="J43" s="2">
        <v>131720</v>
      </c>
      <c r="K43" s="2" t="s">
        <v>67</v>
      </c>
      <c r="L43" s="2" t="s">
        <v>173</v>
      </c>
      <c r="M43" s="2" t="s">
        <v>47</v>
      </c>
    </row>
    <row r="44" spans="1:13" x14ac:dyDescent="0.25">
      <c r="A44" s="2" t="s">
        <v>233</v>
      </c>
      <c r="B44" s="2" t="s">
        <v>234</v>
      </c>
      <c r="C44" s="2" t="s">
        <v>32</v>
      </c>
      <c r="D44" s="2" t="s">
        <v>33</v>
      </c>
      <c r="E44" s="2" t="s">
        <v>52</v>
      </c>
      <c r="F44" s="2" t="s">
        <v>93</v>
      </c>
      <c r="G44" s="2">
        <v>7</v>
      </c>
      <c r="H44" s="2">
        <v>1280</v>
      </c>
      <c r="I44" s="2">
        <v>10</v>
      </c>
      <c r="J44" s="2">
        <v>8064</v>
      </c>
      <c r="K44" s="2" t="s">
        <v>133</v>
      </c>
      <c r="L44" s="2" t="s">
        <v>20</v>
      </c>
      <c r="M44" s="2" t="s">
        <v>21</v>
      </c>
    </row>
    <row r="45" spans="1:13" x14ac:dyDescent="0.25">
      <c r="A45" s="2" t="s">
        <v>235</v>
      </c>
      <c r="B45" s="2" t="s">
        <v>56</v>
      </c>
      <c r="C45" s="2" t="s">
        <v>156</v>
      </c>
      <c r="D45" s="2" t="s">
        <v>51</v>
      </c>
      <c r="E45" s="2" t="s">
        <v>59</v>
      </c>
      <c r="F45" s="2" t="s">
        <v>209</v>
      </c>
      <c r="G45" s="2">
        <v>12</v>
      </c>
      <c r="H45" s="2">
        <v>1210</v>
      </c>
      <c r="I45" s="2">
        <v>0</v>
      </c>
      <c r="J45" s="2">
        <v>14520</v>
      </c>
      <c r="K45" s="2" t="s">
        <v>157</v>
      </c>
      <c r="L45" s="2"/>
      <c r="M45" s="2" t="s">
        <v>96</v>
      </c>
    </row>
    <row r="46" spans="1:13" x14ac:dyDescent="0.25">
      <c r="A46" s="2" t="s">
        <v>236</v>
      </c>
      <c r="B46" s="2" t="s">
        <v>237</v>
      </c>
      <c r="C46" s="2" t="s">
        <v>238</v>
      </c>
      <c r="D46" s="2" t="s">
        <v>51</v>
      </c>
      <c r="E46" s="2" t="s">
        <v>77</v>
      </c>
      <c r="F46" s="2" t="s">
        <v>239</v>
      </c>
      <c r="G46" s="2">
        <v>4</v>
      </c>
      <c r="H46" s="2">
        <v>2270</v>
      </c>
      <c r="I46" s="2">
        <v>0</v>
      </c>
      <c r="J46" s="2">
        <v>9080</v>
      </c>
      <c r="K46" s="2" t="s">
        <v>157</v>
      </c>
      <c r="L46" s="2" t="s">
        <v>46</v>
      </c>
      <c r="M46" s="2" t="s">
        <v>201</v>
      </c>
    </row>
    <row r="47" spans="1:13" x14ac:dyDescent="0.25">
      <c r="A47" s="2" t="s">
        <v>240</v>
      </c>
      <c r="B47" s="2" t="s">
        <v>241</v>
      </c>
      <c r="C47" s="2" t="s">
        <v>162</v>
      </c>
      <c r="D47" s="2" t="s">
        <v>33</v>
      </c>
      <c r="E47" s="2" t="s">
        <v>119</v>
      </c>
      <c r="F47" s="2" t="s">
        <v>106</v>
      </c>
      <c r="G47" s="2">
        <v>4</v>
      </c>
      <c r="H47" s="2">
        <v>43020</v>
      </c>
      <c r="I47" s="2">
        <v>10</v>
      </c>
      <c r="J47" s="2">
        <v>154872</v>
      </c>
      <c r="K47" s="2" t="s">
        <v>72</v>
      </c>
      <c r="L47" s="2" t="s">
        <v>68</v>
      </c>
      <c r="M47" s="2" t="s">
        <v>38</v>
      </c>
    </row>
    <row r="48" spans="1:13" x14ac:dyDescent="0.25">
      <c r="A48" s="2" t="s">
        <v>242</v>
      </c>
      <c r="B48" s="2" t="s">
        <v>243</v>
      </c>
      <c r="C48" s="2" t="s">
        <v>244</v>
      </c>
      <c r="D48" s="2" t="s">
        <v>138</v>
      </c>
      <c r="E48" s="2" t="s">
        <v>77</v>
      </c>
      <c r="F48" s="2" t="s">
        <v>184</v>
      </c>
      <c r="G48" s="2">
        <v>6</v>
      </c>
      <c r="H48" s="2">
        <v>74180</v>
      </c>
      <c r="I48" s="2">
        <v>0</v>
      </c>
      <c r="J48" s="2">
        <v>445080</v>
      </c>
      <c r="K48" s="2" t="s">
        <v>72</v>
      </c>
      <c r="L48" s="2" t="s">
        <v>245</v>
      </c>
      <c r="M48" s="2" t="s">
        <v>210</v>
      </c>
    </row>
    <row r="49" spans="1:13" x14ac:dyDescent="0.25">
      <c r="A49" s="2" t="s">
        <v>246</v>
      </c>
      <c r="B49" s="2" t="s">
        <v>247</v>
      </c>
      <c r="C49" s="2" t="s">
        <v>91</v>
      </c>
      <c r="D49" s="2" t="s">
        <v>51</v>
      </c>
      <c r="E49" s="2" t="s">
        <v>52</v>
      </c>
      <c r="F49" s="2" t="s">
        <v>248</v>
      </c>
      <c r="G49" s="2">
        <v>10</v>
      </c>
      <c r="H49" s="2">
        <v>2740</v>
      </c>
      <c r="I49" s="2">
        <v>0</v>
      </c>
      <c r="J49" s="2">
        <v>27400</v>
      </c>
      <c r="K49" s="2" t="s">
        <v>27</v>
      </c>
      <c r="L49" s="2" t="s">
        <v>249</v>
      </c>
      <c r="M49" s="2" t="s">
        <v>38</v>
      </c>
    </row>
    <row r="50" spans="1:13" x14ac:dyDescent="0.25">
      <c r="A50" s="2" t="s">
        <v>250</v>
      </c>
      <c r="B50" s="2" t="s">
        <v>251</v>
      </c>
      <c r="C50" s="2" t="s">
        <v>50</v>
      </c>
      <c r="D50" s="2" t="s">
        <v>51</v>
      </c>
      <c r="E50" s="2" t="s">
        <v>148</v>
      </c>
      <c r="F50" s="2" t="s">
        <v>252</v>
      </c>
      <c r="G50" s="2">
        <v>9</v>
      </c>
      <c r="H50" s="2">
        <v>1170</v>
      </c>
      <c r="I50" s="2"/>
      <c r="J50" s="2">
        <v>10530</v>
      </c>
      <c r="K50" s="2" t="s">
        <v>94</v>
      </c>
      <c r="L50" s="2" t="s">
        <v>220</v>
      </c>
      <c r="M50" s="2" t="s">
        <v>253</v>
      </c>
    </row>
    <row r="51" spans="1:13" x14ac:dyDescent="0.25">
      <c r="A51" s="2" t="s">
        <v>254</v>
      </c>
      <c r="B51" s="2" t="s">
        <v>98</v>
      </c>
      <c r="C51" s="2" t="s">
        <v>24</v>
      </c>
      <c r="D51" s="2" t="s">
        <v>16</v>
      </c>
      <c r="E51" s="2" t="s">
        <v>119</v>
      </c>
      <c r="F51" s="2" t="s">
        <v>255</v>
      </c>
      <c r="G51" s="2">
        <v>4</v>
      </c>
      <c r="H51" s="2">
        <v>27370</v>
      </c>
      <c r="I51" s="2">
        <v>5</v>
      </c>
      <c r="J51" s="2">
        <v>104006</v>
      </c>
      <c r="K51" s="2" t="s">
        <v>152</v>
      </c>
      <c r="L51" s="2" t="s">
        <v>256</v>
      </c>
      <c r="M51" s="2" t="s">
        <v>138</v>
      </c>
    </row>
    <row r="52" spans="1:13" x14ac:dyDescent="0.25">
      <c r="A52" s="2" t="s">
        <v>257</v>
      </c>
      <c r="B52" s="2" t="s">
        <v>258</v>
      </c>
      <c r="C52" s="2" t="s">
        <v>227</v>
      </c>
      <c r="D52" s="2" t="s">
        <v>33</v>
      </c>
      <c r="E52" s="2" t="s">
        <v>100</v>
      </c>
      <c r="F52" s="2" t="s">
        <v>219</v>
      </c>
      <c r="G52" s="2">
        <v>6</v>
      </c>
      <c r="H52" s="2">
        <v>1200</v>
      </c>
      <c r="I52" s="2">
        <v>0</v>
      </c>
      <c r="J52" s="2">
        <v>7200</v>
      </c>
      <c r="K52" s="2" t="s">
        <v>36</v>
      </c>
      <c r="L52" s="2" t="s">
        <v>259</v>
      </c>
      <c r="M52" s="2"/>
    </row>
    <row r="53" spans="1:13" x14ac:dyDescent="0.25">
      <c r="A53" s="2" t="s">
        <v>260</v>
      </c>
      <c r="B53" s="2" t="s">
        <v>261</v>
      </c>
      <c r="C53" s="2" t="s">
        <v>50</v>
      </c>
      <c r="D53" s="2" t="s">
        <v>51</v>
      </c>
      <c r="E53" s="2" t="s">
        <v>25</v>
      </c>
      <c r="F53" s="2" t="s">
        <v>44</v>
      </c>
      <c r="G53" s="2">
        <v>2</v>
      </c>
      <c r="H53" s="2">
        <v>65120</v>
      </c>
      <c r="I53" s="2">
        <v>0</v>
      </c>
      <c r="J53" s="2">
        <v>130240</v>
      </c>
      <c r="K53" s="2" t="s">
        <v>94</v>
      </c>
      <c r="L53" s="2" t="s">
        <v>68</v>
      </c>
      <c r="M53" s="2" t="s">
        <v>38</v>
      </c>
    </row>
    <row r="54" spans="1:13" x14ac:dyDescent="0.25">
      <c r="A54" s="2" t="s">
        <v>262</v>
      </c>
      <c r="B54" s="2" t="s">
        <v>263</v>
      </c>
      <c r="C54" s="2" t="s">
        <v>135</v>
      </c>
      <c r="D54" s="2" t="s">
        <v>58</v>
      </c>
      <c r="E54" s="2" t="s">
        <v>25</v>
      </c>
      <c r="F54" s="2" t="s">
        <v>26</v>
      </c>
      <c r="G54" s="2">
        <v>4</v>
      </c>
      <c r="H54" s="2">
        <v>3240</v>
      </c>
      <c r="I54" s="2">
        <v>15</v>
      </c>
      <c r="J54" s="2">
        <v>11016</v>
      </c>
      <c r="K54" s="2" t="s">
        <v>94</v>
      </c>
      <c r="L54" s="2" t="s">
        <v>168</v>
      </c>
      <c r="M54" s="2" t="s">
        <v>253</v>
      </c>
    </row>
    <row r="55" spans="1:13" x14ac:dyDescent="0.25">
      <c r="A55" s="2" t="s">
        <v>264</v>
      </c>
      <c r="B55" s="2" t="s">
        <v>265</v>
      </c>
      <c r="C55" s="2" t="s">
        <v>213</v>
      </c>
      <c r="D55" s="2" t="s">
        <v>58</v>
      </c>
      <c r="E55" s="2" t="s">
        <v>138</v>
      </c>
      <c r="F55" s="2" t="s">
        <v>132</v>
      </c>
      <c r="G55" s="2">
        <v>1</v>
      </c>
      <c r="H55" s="2">
        <v>63690</v>
      </c>
      <c r="I55" s="2">
        <v>0</v>
      </c>
      <c r="J55" s="2">
        <v>63690</v>
      </c>
      <c r="K55" s="2" t="s">
        <v>127</v>
      </c>
      <c r="L55" s="2" t="s">
        <v>266</v>
      </c>
      <c r="M55" s="2" t="s">
        <v>21</v>
      </c>
    </row>
    <row r="56" spans="1:13" x14ac:dyDescent="0.25">
      <c r="A56" s="2" t="s">
        <v>267</v>
      </c>
      <c r="B56" s="2" t="s">
        <v>268</v>
      </c>
      <c r="C56" s="2" t="s">
        <v>238</v>
      </c>
      <c r="D56" s="2" t="s">
        <v>51</v>
      </c>
      <c r="E56" s="2" t="s">
        <v>65</v>
      </c>
      <c r="F56" s="2" t="s">
        <v>66</v>
      </c>
      <c r="G56" s="2">
        <v>2</v>
      </c>
      <c r="H56" s="2">
        <v>63030</v>
      </c>
      <c r="I56" s="2">
        <v>15</v>
      </c>
      <c r="J56" s="2">
        <v>107151</v>
      </c>
      <c r="K56" s="2" t="s">
        <v>45</v>
      </c>
      <c r="L56" s="2" t="s">
        <v>73</v>
      </c>
      <c r="M56" s="2" t="s">
        <v>47</v>
      </c>
    </row>
    <row r="57" spans="1:13" x14ac:dyDescent="0.25">
      <c r="A57" s="2" t="s">
        <v>269</v>
      </c>
      <c r="B57" s="2" t="s">
        <v>270</v>
      </c>
      <c r="C57" s="2" t="s">
        <v>135</v>
      </c>
      <c r="D57" s="2" t="s">
        <v>58</v>
      </c>
      <c r="E57" s="2" t="s">
        <v>231</v>
      </c>
      <c r="F57" s="2" t="s">
        <v>143</v>
      </c>
      <c r="G57" s="2">
        <v>4</v>
      </c>
      <c r="H57" s="2">
        <v>51000</v>
      </c>
      <c r="I57" s="2">
        <v>5</v>
      </c>
      <c r="J57" s="2">
        <v>193800</v>
      </c>
      <c r="K57" s="2" t="s">
        <v>27</v>
      </c>
      <c r="L57" s="2" t="s">
        <v>271</v>
      </c>
      <c r="M57" s="2" t="s">
        <v>21</v>
      </c>
    </row>
    <row r="58" spans="1:13" x14ac:dyDescent="0.25">
      <c r="A58" s="2" t="s">
        <v>272</v>
      </c>
      <c r="B58" s="2" t="s">
        <v>273</v>
      </c>
      <c r="C58" s="2" t="s">
        <v>135</v>
      </c>
      <c r="D58" s="2" t="s">
        <v>58</v>
      </c>
      <c r="E58" s="2" t="s">
        <v>163</v>
      </c>
      <c r="F58" s="2" t="s">
        <v>199</v>
      </c>
      <c r="G58" s="2">
        <v>9</v>
      </c>
      <c r="H58" s="2">
        <v>63940</v>
      </c>
      <c r="I58" s="2">
        <v>15</v>
      </c>
      <c r="J58" s="2">
        <v>489141</v>
      </c>
      <c r="K58" s="2" t="s">
        <v>127</v>
      </c>
      <c r="L58" s="2" t="s">
        <v>274</v>
      </c>
      <c r="M58" s="2" t="s">
        <v>47</v>
      </c>
    </row>
    <row r="59" spans="1:13" x14ac:dyDescent="0.25">
      <c r="A59" s="2" t="s">
        <v>275</v>
      </c>
      <c r="B59" s="2" t="s">
        <v>276</v>
      </c>
      <c r="C59" s="2" t="s">
        <v>194</v>
      </c>
      <c r="D59" s="2" t="s">
        <v>51</v>
      </c>
      <c r="E59" s="2" t="s">
        <v>231</v>
      </c>
      <c r="F59" s="2" t="s">
        <v>184</v>
      </c>
      <c r="G59" s="2">
        <v>7</v>
      </c>
      <c r="H59" s="2">
        <v>3570</v>
      </c>
      <c r="I59" s="2">
        <v>0</v>
      </c>
      <c r="J59" s="2">
        <v>24990</v>
      </c>
      <c r="K59" s="2" t="s">
        <v>205</v>
      </c>
      <c r="L59" s="2" t="s">
        <v>73</v>
      </c>
      <c r="M59" s="2" t="s">
        <v>21</v>
      </c>
    </row>
    <row r="60" spans="1:13" x14ac:dyDescent="0.25">
      <c r="A60" s="2" t="s">
        <v>277</v>
      </c>
      <c r="B60" s="2" t="s">
        <v>278</v>
      </c>
      <c r="C60" s="2" t="s">
        <v>41</v>
      </c>
      <c r="D60" s="2" t="s">
        <v>42</v>
      </c>
      <c r="E60" s="2" t="s">
        <v>231</v>
      </c>
      <c r="F60" s="2" t="s">
        <v>184</v>
      </c>
      <c r="G60" s="2">
        <v>5</v>
      </c>
      <c r="H60" s="2">
        <v>12890</v>
      </c>
      <c r="I60" s="2">
        <v>0</v>
      </c>
      <c r="J60" s="2">
        <v>64450</v>
      </c>
      <c r="K60" s="2" t="s">
        <v>19</v>
      </c>
      <c r="L60" s="2" t="s">
        <v>54</v>
      </c>
      <c r="M60" s="2" t="s">
        <v>47</v>
      </c>
    </row>
    <row r="61" spans="1:13" x14ac:dyDescent="0.25">
      <c r="A61" s="2" t="s">
        <v>279</v>
      </c>
      <c r="B61" s="2" t="s">
        <v>280</v>
      </c>
      <c r="C61" s="2" t="s">
        <v>281</v>
      </c>
      <c r="D61" s="2" t="s">
        <v>51</v>
      </c>
      <c r="E61" s="2" t="s">
        <v>92</v>
      </c>
      <c r="F61" s="2" t="s">
        <v>26</v>
      </c>
      <c r="G61" s="2" t="s">
        <v>138</v>
      </c>
      <c r="H61" s="2">
        <v>3720</v>
      </c>
      <c r="I61" s="2">
        <v>0</v>
      </c>
      <c r="J61" s="2">
        <v>14880</v>
      </c>
      <c r="K61" s="2" t="s">
        <v>36</v>
      </c>
      <c r="L61" s="2" t="s">
        <v>176</v>
      </c>
      <c r="M61" s="2" t="s">
        <v>47</v>
      </c>
    </row>
    <row r="62" spans="1:13" x14ac:dyDescent="0.25">
      <c r="A62" s="2" t="s">
        <v>282</v>
      </c>
      <c r="B62" s="2" t="s">
        <v>283</v>
      </c>
      <c r="C62" s="2" t="s">
        <v>244</v>
      </c>
      <c r="D62" s="2" t="s">
        <v>42</v>
      </c>
      <c r="E62" s="2" t="s">
        <v>284</v>
      </c>
      <c r="F62" s="2" t="s">
        <v>83</v>
      </c>
      <c r="G62" s="2">
        <v>6</v>
      </c>
      <c r="H62" s="2">
        <v>2800</v>
      </c>
      <c r="I62" s="2">
        <v>10</v>
      </c>
      <c r="J62" s="2">
        <v>15120</v>
      </c>
      <c r="K62" s="2" t="s">
        <v>144</v>
      </c>
      <c r="L62" s="2" t="s">
        <v>285</v>
      </c>
      <c r="M62" s="2" t="s">
        <v>47</v>
      </c>
    </row>
    <row r="63" spans="1:13" x14ac:dyDescent="0.25">
      <c r="A63" s="2" t="s">
        <v>286</v>
      </c>
      <c r="B63" s="2" t="s">
        <v>287</v>
      </c>
      <c r="C63" s="2" t="s">
        <v>156</v>
      </c>
      <c r="D63" s="2" t="s">
        <v>51</v>
      </c>
      <c r="E63" s="2" t="s">
        <v>77</v>
      </c>
      <c r="F63" s="2" t="s">
        <v>184</v>
      </c>
      <c r="G63" s="2">
        <v>2</v>
      </c>
      <c r="H63" s="2">
        <v>18290</v>
      </c>
      <c r="I63" s="2">
        <v>0</v>
      </c>
      <c r="J63" s="2" t="s">
        <v>223</v>
      </c>
      <c r="K63" s="2" t="s">
        <v>36</v>
      </c>
      <c r="L63" s="2" t="s">
        <v>188</v>
      </c>
      <c r="M63" s="2"/>
    </row>
    <row r="64" spans="1:13" x14ac:dyDescent="0.25">
      <c r="A64" s="2" t="s">
        <v>288</v>
      </c>
      <c r="B64" s="2" t="s">
        <v>289</v>
      </c>
      <c r="C64" s="2" t="s">
        <v>156</v>
      </c>
      <c r="D64" s="2" t="s">
        <v>51</v>
      </c>
      <c r="E64" s="2" t="s">
        <v>34</v>
      </c>
      <c r="F64" s="2" t="s">
        <v>290</v>
      </c>
      <c r="G64" s="2">
        <v>9</v>
      </c>
      <c r="H64" s="2">
        <v>1330</v>
      </c>
      <c r="I64" s="2" t="s">
        <v>138</v>
      </c>
      <c r="J64" s="2">
        <v>11371.5</v>
      </c>
      <c r="K64" s="2" t="s">
        <v>87</v>
      </c>
      <c r="L64" s="2" t="s">
        <v>176</v>
      </c>
      <c r="M64" s="2" t="s">
        <v>291</v>
      </c>
    </row>
    <row r="65" spans="1:13" x14ac:dyDescent="0.25">
      <c r="A65" s="2" t="s">
        <v>292</v>
      </c>
      <c r="B65" s="2" t="s">
        <v>293</v>
      </c>
      <c r="C65" s="2" t="s">
        <v>294</v>
      </c>
      <c r="D65" s="2"/>
      <c r="E65" s="2" t="s">
        <v>295</v>
      </c>
      <c r="F65" s="2" t="s">
        <v>296</v>
      </c>
      <c r="G65" s="2">
        <v>3</v>
      </c>
      <c r="H65" s="2">
        <v>3730</v>
      </c>
      <c r="I65" s="2">
        <v>0</v>
      </c>
      <c r="J65" s="2">
        <v>11190</v>
      </c>
      <c r="K65" s="2" t="s">
        <v>94</v>
      </c>
      <c r="L65" s="2" t="s">
        <v>121</v>
      </c>
      <c r="M65" s="2" t="s">
        <v>47</v>
      </c>
    </row>
    <row r="66" spans="1:13" x14ac:dyDescent="0.25">
      <c r="A66" s="2" t="s">
        <v>297</v>
      </c>
      <c r="B66" s="2" t="s">
        <v>298</v>
      </c>
      <c r="C66" s="2" t="s">
        <v>218</v>
      </c>
      <c r="D66" s="2" t="s">
        <v>33</v>
      </c>
      <c r="E66" s="2" t="s">
        <v>100</v>
      </c>
      <c r="F66" s="2" t="s">
        <v>101</v>
      </c>
      <c r="G66" s="2">
        <v>12</v>
      </c>
      <c r="H66" s="2">
        <v>7550</v>
      </c>
      <c r="I66" s="2">
        <v>0</v>
      </c>
      <c r="J66" s="2">
        <v>90600</v>
      </c>
      <c r="K66" s="2" t="s">
        <v>45</v>
      </c>
      <c r="L66" s="2" t="s">
        <v>299</v>
      </c>
      <c r="M66" s="2" t="s">
        <v>47</v>
      </c>
    </row>
    <row r="67" spans="1:13" x14ac:dyDescent="0.25">
      <c r="A67" s="2" t="s">
        <v>300</v>
      </c>
      <c r="B67" s="2" t="s">
        <v>301</v>
      </c>
      <c r="C67" s="2" t="s">
        <v>294</v>
      </c>
      <c r="D67" s="2" t="s">
        <v>42</v>
      </c>
      <c r="E67" s="2" t="s">
        <v>231</v>
      </c>
      <c r="F67" s="2" t="s">
        <v>224</v>
      </c>
      <c r="G67" s="2">
        <v>5</v>
      </c>
      <c r="H67" s="2">
        <v>500</v>
      </c>
      <c r="I67" s="2">
        <v>0</v>
      </c>
      <c r="J67" s="2">
        <v>2500</v>
      </c>
      <c r="K67" s="2" t="s">
        <v>120</v>
      </c>
      <c r="L67" s="2" t="s">
        <v>220</v>
      </c>
      <c r="M67" s="2" t="s">
        <v>47</v>
      </c>
    </row>
    <row r="68" spans="1:13" x14ac:dyDescent="0.25">
      <c r="A68" s="2" t="s">
        <v>302</v>
      </c>
      <c r="B68" s="2" t="s">
        <v>303</v>
      </c>
      <c r="C68" s="2" t="s">
        <v>135</v>
      </c>
      <c r="D68" s="2" t="s">
        <v>58</v>
      </c>
      <c r="E68" s="2" t="s">
        <v>34</v>
      </c>
      <c r="F68" s="2" t="s">
        <v>199</v>
      </c>
      <c r="G68" s="2">
        <v>2</v>
      </c>
      <c r="H68" s="2">
        <v>2660</v>
      </c>
      <c r="I68" s="2">
        <v>0</v>
      </c>
      <c r="J68" s="2">
        <v>5320</v>
      </c>
      <c r="K68" s="2" t="s">
        <v>144</v>
      </c>
      <c r="L68" s="2" t="s">
        <v>112</v>
      </c>
      <c r="M68" s="2"/>
    </row>
    <row r="69" spans="1:13" x14ac:dyDescent="0.25">
      <c r="A69" s="2" t="s">
        <v>304</v>
      </c>
      <c r="B69" s="2" t="s">
        <v>305</v>
      </c>
      <c r="C69" s="2" t="s">
        <v>156</v>
      </c>
      <c r="D69" s="2" t="s">
        <v>51</v>
      </c>
      <c r="E69" s="2" t="s">
        <v>77</v>
      </c>
      <c r="F69" s="2" t="s">
        <v>78</v>
      </c>
      <c r="G69" s="2">
        <v>1</v>
      </c>
      <c r="H69" s="2">
        <v>2820</v>
      </c>
      <c r="I69" s="2">
        <v>0</v>
      </c>
      <c r="J69" s="2">
        <v>2820</v>
      </c>
      <c r="K69" s="2" t="s">
        <v>27</v>
      </c>
      <c r="L69" s="2" t="s">
        <v>28</v>
      </c>
      <c r="M69" s="2" t="s">
        <v>47</v>
      </c>
    </row>
    <row r="70" spans="1:13" x14ac:dyDescent="0.25">
      <c r="A70" s="2" t="s">
        <v>306</v>
      </c>
      <c r="B70" s="2" t="s">
        <v>307</v>
      </c>
      <c r="C70" s="2" t="s">
        <v>213</v>
      </c>
      <c r="D70" s="2" t="s">
        <v>58</v>
      </c>
      <c r="E70" s="2" t="s">
        <v>125</v>
      </c>
      <c r="F70" s="2" t="s">
        <v>219</v>
      </c>
      <c r="G70" s="2">
        <v>5</v>
      </c>
      <c r="H70" s="2">
        <v>1310</v>
      </c>
      <c r="I70" s="2">
        <v>5</v>
      </c>
      <c r="J70" s="2">
        <v>6222.5</v>
      </c>
      <c r="K70" s="2" t="s">
        <v>19</v>
      </c>
      <c r="L70" s="2" t="s">
        <v>308</v>
      </c>
      <c r="M70" s="2" t="s">
        <v>47</v>
      </c>
    </row>
    <row r="71" spans="1:13" x14ac:dyDescent="0.25">
      <c r="A71" s="2" t="s">
        <v>309</v>
      </c>
      <c r="B71" s="2" t="s">
        <v>310</v>
      </c>
      <c r="C71" s="2" t="s">
        <v>156</v>
      </c>
      <c r="D71" s="2" t="s">
        <v>51</v>
      </c>
      <c r="E71" s="2" t="s">
        <v>163</v>
      </c>
      <c r="F71" s="2" t="s">
        <v>164</v>
      </c>
      <c r="G71" s="2">
        <v>4</v>
      </c>
      <c r="H71" s="2">
        <v>49540</v>
      </c>
      <c r="I71" s="2">
        <v>0</v>
      </c>
      <c r="J71" s="2">
        <v>198160</v>
      </c>
      <c r="K71" s="2" t="s">
        <v>144</v>
      </c>
      <c r="L71" s="2" t="s">
        <v>311</v>
      </c>
      <c r="M71" s="2" t="s">
        <v>21</v>
      </c>
    </row>
    <row r="72" spans="1:13" x14ac:dyDescent="0.25">
      <c r="A72" s="2" t="s">
        <v>312</v>
      </c>
      <c r="B72" s="2" t="s">
        <v>313</v>
      </c>
      <c r="C72" s="2" t="s">
        <v>41</v>
      </c>
      <c r="D72" s="2" t="s">
        <v>42</v>
      </c>
      <c r="E72" s="2" t="s">
        <v>125</v>
      </c>
      <c r="F72" s="2" t="s">
        <v>314</v>
      </c>
      <c r="G72" s="2">
        <v>5</v>
      </c>
      <c r="H72" s="2">
        <v>11460</v>
      </c>
      <c r="I72" s="2">
        <v>5</v>
      </c>
      <c r="J72" s="2">
        <v>54435</v>
      </c>
      <c r="K72" s="2" t="s">
        <v>223</v>
      </c>
      <c r="L72" s="2" t="s">
        <v>168</v>
      </c>
      <c r="M72" s="2" t="s">
        <v>29</v>
      </c>
    </row>
    <row r="73" spans="1:13" x14ac:dyDescent="0.25">
      <c r="A73" s="2" t="s">
        <v>315</v>
      </c>
      <c r="B73" s="2" t="s">
        <v>316</v>
      </c>
      <c r="C73" s="2" t="s">
        <v>156</v>
      </c>
      <c r="D73" s="2" t="s">
        <v>51</v>
      </c>
      <c r="E73" s="2" t="s">
        <v>119</v>
      </c>
      <c r="F73" s="2" t="s">
        <v>255</v>
      </c>
      <c r="G73" s="2">
        <v>6</v>
      </c>
      <c r="H73" s="2">
        <v>7110</v>
      </c>
      <c r="I73" s="2"/>
      <c r="J73" s="2">
        <v>42660</v>
      </c>
      <c r="K73" s="2" t="s">
        <v>157</v>
      </c>
      <c r="L73" s="2" t="s">
        <v>88</v>
      </c>
      <c r="M73" s="2" t="s">
        <v>128</v>
      </c>
    </row>
    <row r="74" spans="1:13" x14ac:dyDescent="0.25">
      <c r="A74" s="2" t="s">
        <v>317</v>
      </c>
      <c r="B74" s="2" t="s">
        <v>318</v>
      </c>
      <c r="C74" s="2" t="s">
        <v>227</v>
      </c>
      <c r="D74" s="2" t="s">
        <v>33</v>
      </c>
      <c r="E74" s="2" t="s">
        <v>100</v>
      </c>
      <c r="F74" s="2" t="s">
        <v>319</v>
      </c>
      <c r="G74" s="2">
        <v>12</v>
      </c>
      <c r="H74" s="2">
        <v>470</v>
      </c>
      <c r="I74" s="2">
        <v>10</v>
      </c>
      <c r="J74" s="2">
        <v>5076</v>
      </c>
      <c r="K74" s="2" t="s">
        <v>94</v>
      </c>
      <c r="L74" s="2" t="s">
        <v>220</v>
      </c>
      <c r="M74" s="2" t="s">
        <v>128</v>
      </c>
    </row>
    <row r="75" spans="1:13" x14ac:dyDescent="0.25">
      <c r="A75" s="2" t="s">
        <v>320</v>
      </c>
      <c r="B75" s="2" t="s">
        <v>321</v>
      </c>
      <c r="C75" s="2" t="s">
        <v>156</v>
      </c>
      <c r="D75" s="2" t="s">
        <v>51</v>
      </c>
      <c r="E75" s="2" t="s">
        <v>322</v>
      </c>
      <c r="F75" s="2" t="s">
        <v>239</v>
      </c>
      <c r="G75" s="2">
        <v>11</v>
      </c>
      <c r="H75" s="2">
        <v>12690</v>
      </c>
      <c r="I75" s="2">
        <v>0</v>
      </c>
      <c r="J75" s="2">
        <v>139590</v>
      </c>
      <c r="K75" s="2" t="s">
        <v>45</v>
      </c>
      <c r="L75" s="2" t="s">
        <v>46</v>
      </c>
      <c r="M75" s="2" t="s">
        <v>140</v>
      </c>
    </row>
    <row r="76" spans="1:13" x14ac:dyDescent="0.25">
      <c r="A76" s="2" t="s">
        <v>323</v>
      </c>
      <c r="B76" s="2" t="s">
        <v>324</v>
      </c>
      <c r="C76" s="2" t="s">
        <v>41</v>
      </c>
      <c r="D76" s="2" t="s">
        <v>42</v>
      </c>
      <c r="E76" s="2" t="s">
        <v>322</v>
      </c>
      <c r="F76" s="2" t="s">
        <v>180</v>
      </c>
      <c r="G76" s="2">
        <v>2</v>
      </c>
      <c r="H76" s="2">
        <v>13780</v>
      </c>
      <c r="I76" s="2"/>
      <c r="J76" s="2">
        <v>23426</v>
      </c>
      <c r="K76" s="2" t="s">
        <v>172</v>
      </c>
      <c r="L76" s="2" t="s">
        <v>73</v>
      </c>
      <c r="M76" s="2" t="s">
        <v>47</v>
      </c>
    </row>
    <row r="77" spans="1:13" x14ac:dyDescent="0.25">
      <c r="A77" s="2" t="s">
        <v>325</v>
      </c>
      <c r="B77" s="2" t="s">
        <v>326</v>
      </c>
      <c r="C77" s="2" t="s">
        <v>135</v>
      </c>
      <c r="D77" s="2" t="s">
        <v>58</v>
      </c>
      <c r="E77" s="2" t="s">
        <v>152</v>
      </c>
      <c r="F77" s="2" t="s">
        <v>83</v>
      </c>
      <c r="G77" s="2">
        <v>9</v>
      </c>
      <c r="H77" s="2">
        <v>27110</v>
      </c>
      <c r="I77" s="2">
        <v>5</v>
      </c>
      <c r="J77" s="2" t="s">
        <v>138</v>
      </c>
      <c r="K77" s="2" t="s">
        <v>27</v>
      </c>
      <c r="L77" s="2" t="s">
        <v>28</v>
      </c>
      <c r="M77" s="2" t="s">
        <v>38</v>
      </c>
    </row>
    <row r="78" spans="1:13" x14ac:dyDescent="0.25">
      <c r="A78" s="2" t="s">
        <v>327</v>
      </c>
      <c r="B78" s="2" t="s">
        <v>328</v>
      </c>
      <c r="C78" s="2" t="s">
        <v>218</v>
      </c>
      <c r="D78" s="2" t="s">
        <v>33</v>
      </c>
      <c r="E78" s="2" t="s">
        <v>82</v>
      </c>
      <c r="F78" s="2" t="s">
        <v>83</v>
      </c>
      <c r="G78" s="2">
        <v>1</v>
      </c>
      <c r="H78" s="2">
        <v>2500</v>
      </c>
      <c r="I78" s="2">
        <v>0</v>
      </c>
      <c r="J78" s="2">
        <v>2500</v>
      </c>
      <c r="K78" s="2" t="s">
        <v>172</v>
      </c>
      <c r="L78" s="2" t="s">
        <v>176</v>
      </c>
      <c r="M78" s="2" t="s">
        <v>47</v>
      </c>
    </row>
    <row r="79" spans="1:13" x14ac:dyDescent="0.25">
      <c r="A79" s="2" t="s">
        <v>329</v>
      </c>
      <c r="B79" s="2" t="s">
        <v>330</v>
      </c>
      <c r="C79" s="2" t="s">
        <v>331</v>
      </c>
      <c r="D79" s="2" t="s">
        <v>58</v>
      </c>
      <c r="E79" s="2" t="s">
        <v>105</v>
      </c>
      <c r="F79" s="2" t="s">
        <v>332</v>
      </c>
      <c r="G79" s="2">
        <v>4</v>
      </c>
      <c r="H79" s="2">
        <v>8740</v>
      </c>
      <c r="I79" s="2">
        <v>10</v>
      </c>
      <c r="J79" s="2">
        <v>31464</v>
      </c>
      <c r="K79" s="2" t="s">
        <v>127</v>
      </c>
      <c r="L79" s="2"/>
      <c r="M79" s="2" t="s">
        <v>140</v>
      </c>
    </row>
    <row r="80" spans="1:13" x14ac:dyDescent="0.25">
      <c r="A80" s="2" t="s">
        <v>333</v>
      </c>
      <c r="B80" s="2" t="s">
        <v>334</v>
      </c>
      <c r="C80" s="2" t="s">
        <v>32</v>
      </c>
      <c r="D80" s="2" t="s">
        <v>33</v>
      </c>
      <c r="E80" s="2" t="s">
        <v>195</v>
      </c>
      <c r="F80" s="2" t="s">
        <v>199</v>
      </c>
      <c r="G80" s="2">
        <v>2</v>
      </c>
      <c r="H80" s="2">
        <v>3340</v>
      </c>
      <c r="I80" s="2">
        <v>10</v>
      </c>
      <c r="J80" s="2">
        <v>6012</v>
      </c>
      <c r="K80" s="2" t="s">
        <v>53</v>
      </c>
      <c r="L80" s="2" t="s">
        <v>88</v>
      </c>
      <c r="M80" s="2" t="s">
        <v>21</v>
      </c>
    </row>
    <row r="81" spans="1:13" x14ac:dyDescent="0.25">
      <c r="A81" s="2" t="s">
        <v>335</v>
      </c>
      <c r="B81" s="2" t="s">
        <v>336</v>
      </c>
      <c r="C81" s="2" t="s">
        <v>50</v>
      </c>
      <c r="D81" s="2" t="s">
        <v>51</v>
      </c>
      <c r="E81" s="2" t="s">
        <v>111</v>
      </c>
      <c r="F81" s="2" t="s">
        <v>78</v>
      </c>
      <c r="G81" s="2">
        <v>5</v>
      </c>
      <c r="H81" s="2">
        <v>73830</v>
      </c>
      <c r="I81" s="2">
        <v>5</v>
      </c>
      <c r="J81" s="2">
        <v>350692.5</v>
      </c>
      <c r="K81" s="2" t="s">
        <v>27</v>
      </c>
      <c r="L81" s="2" t="s">
        <v>79</v>
      </c>
      <c r="M81" s="2" t="s">
        <v>21</v>
      </c>
    </row>
    <row r="82" spans="1:13" x14ac:dyDescent="0.25">
      <c r="A82" s="2" t="s">
        <v>337</v>
      </c>
      <c r="B82" s="2" t="s">
        <v>338</v>
      </c>
      <c r="C82" s="2" t="s">
        <v>76</v>
      </c>
      <c r="D82" s="2" t="s">
        <v>33</v>
      </c>
      <c r="E82" s="2" t="s">
        <v>17</v>
      </c>
      <c r="F82" s="2" t="s">
        <v>71</v>
      </c>
      <c r="G82" s="2">
        <v>7</v>
      </c>
      <c r="H82" s="2">
        <v>47200</v>
      </c>
      <c r="I82" s="2">
        <v>10</v>
      </c>
      <c r="J82" s="2">
        <v>297360</v>
      </c>
      <c r="K82" s="2" t="s">
        <v>27</v>
      </c>
      <c r="L82" s="2" t="s">
        <v>339</v>
      </c>
      <c r="M82" s="2" t="s">
        <v>47</v>
      </c>
    </row>
    <row r="83" spans="1:13" x14ac:dyDescent="0.25">
      <c r="A83" s="2" t="s">
        <v>340</v>
      </c>
      <c r="B83" s="2" t="s">
        <v>268</v>
      </c>
      <c r="C83" s="2" t="s">
        <v>156</v>
      </c>
      <c r="D83" s="2" t="s">
        <v>51</v>
      </c>
      <c r="E83" s="2" t="s">
        <v>295</v>
      </c>
      <c r="F83" s="2" t="s">
        <v>126</v>
      </c>
      <c r="G83" s="2">
        <v>9</v>
      </c>
      <c r="H83" s="2">
        <v>3890</v>
      </c>
      <c r="I83" s="2"/>
      <c r="J83" s="2">
        <v>35010</v>
      </c>
      <c r="K83" s="2" t="s">
        <v>27</v>
      </c>
      <c r="L83" s="2" t="s">
        <v>341</v>
      </c>
      <c r="M83" s="2" t="s">
        <v>29</v>
      </c>
    </row>
    <row r="84" spans="1:13" x14ac:dyDescent="0.25">
      <c r="A84" s="2" t="s">
        <v>342</v>
      </c>
      <c r="B84" s="2" t="s">
        <v>343</v>
      </c>
      <c r="C84" s="2" t="s">
        <v>32</v>
      </c>
      <c r="D84" s="2" t="s">
        <v>33</v>
      </c>
      <c r="E84" s="2" t="s">
        <v>34</v>
      </c>
      <c r="F84" s="2" t="s">
        <v>290</v>
      </c>
      <c r="G84" s="2">
        <v>2</v>
      </c>
      <c r="H84" s="2" t="s">
        <v>107</v>
      </c>
      <c r="I84" s="2">
        <v>5</v>
      </c>
      <c r="J84" s="2">
        <v>6707</v>
      </c>
      <c r="K84" s="2" t="s">
        <v>53</v>
      </c>
      <c r="L84" s="2" t="s">
        <v>344</v>
      </c>
      <c r="M84" s="2" t="s">
        <v>140</v>
      </c>
    </row>
    <row r="85" spans="1:13" x14ac:dyDescent="0.25">
      <c r="A85" s="2" t="s">
        <v>345</v>
      </c>
      <c r="B85" s="2" t="s">
        <v>346</v>
      </c>
      <c r="C85" s="2" t="s">
        <v>41</v>
      </c>
      <c r="D85" s="2" t="s">
        <v>42</v>
      </c>
      <c r="E85" s="2" t="s">
        <v>82</v>
      </c>
      <c r="F85" s="2" t="s">
        <v>83</v>
      </c>
      <c r="G85" s="2">
        <v>2</v>
      </c>
      <c r="H85" s="2">
        <v>1120</v>
      </c>
      <c r="I85" s="2">
        <v>10</v>
      </c>
      <c r="J85" s="2">
        <v>2016</v>
      </c>
      <c r="K85" s="2" t="s">
        <v>102</v>
      </c>
      <c r="L85" s="2" t="s">
        <v>188</v>
      </c>
      <c r="M85" s="2" t="s">
        <v>47</v>
      </c>
    </row>
    <row r="86" spans="1:13" x14ac:dyDescent="0.25">
      <c r="A86" s="2" t="s">
        <v>347</v>
      </c>
      <c r="B86" s="2" t="s">
        <v>348</v>
      </c>
      <c r="C86" s="2" t="s">
        <v>198</v>
      </c>
      <c r="D86" s="2" t="s">
        <v>42</v>
      </c>
      <c r="E86" s="2" t="s">
        <v>43</v>
      </c>
      <c r="F86" s="2" t="s">
        <v>332</v>
      </c>
      <c r="G86" s="2">
        <v>2</v>
      </c>
      <c r="H86" s="2">
        <v>1210</v>
      </c>
      <c r="I86" s="2"/>
      <c r="J86" s="2">
        <v>2178</v>
      </c>
      <c r="K86" s="2" t="s">
        <v>139</v>
      </c>
      <c r="L86" s="2" t="s">
        <v>349</v>
      </c>
      <c r="M86" s="2" t="s">
        <v>21</v>
      </c>
    </row>
    <row r="87" spans="1:13" x14ac:dyDescent="0.25">
      <c r="A87" s="2" t="s">
        <v>350</v>
      </c>
      <c r="B87" s="2" t="s">
        <v>351</v>
      </c>
      <c r="C87" s="2" t="s">
        <v>238</v>
      </c>
      <c r="D87" s="2" t="s">
        <v>51</v>
      </c>
      <c r="E87" s="2" t="s">
        <v>179</v>
      </c>
      <c r="F87" s="2" t="s">
        <v>180</v>
      </c>
      <c r="G87" s="2">
        <v>4</v>
      </c>
      <c r="H87" s="2">
        <v>550</v>
      </c>
      <c r="I87" s="2">
        <v>0</v>
      </c>
      <c r="J87" s="2">
        <v>2200</v>
      </c>
      <c r="K87" s="2" t="s">
        <v>45</v>
      </c>
      <c r="L87" s="2" t="s">
        <v>341</v>
      </c>
      <c r="M87" s="2" t="s">
        <v>352</v>
      </c>
    </row>
    <row r="88" spans="1:13" x14ac:dyDescent="0.25">
      <c r="A88" s="2" t="s">
        <v>353</v>
      </c>
      <c r="B88" s="2" t="s">
        <v>354</v>
      </c>
      <c r="C88" s="2" t="s">
        <v>156</v>
      </c>
      <c r="D88" s="2" t="s">
        <v>51</v>
      </c>
      <c r="E88" s="2" t="s">
        <v>100</v>
      </c>
      <c r="F88" s="2" t="s">
        <v>126</v>
      </c>
      <c r="G88" s="2">
        <v>8</v>
      </c>
      <c r="H88" s="2">
        <v>28010</v>
      </c>
      <c r="I88" s="2">
        <v>10</v>
      </c>
      <c r="J88" s="2">
        <v>201672</v>
      </c>
      <c r="K88" s="2" t="s">
        <v>72</v>
      </c>
      <c r="L88" s="2" t="s">
        <v>54</v>
      </c>
      <c r="M88" s="2" t="s">
        <v>47</v>
      </c>
    </row>
    <row r="89" spans="1:13" x14ac:dyDescent="0.25">
      <c r="A89" s="2" t="s">
        <v>355</v>
      </c>
      <c r="B89" s="2" t="s">
        <v>356</v>
      </c>
      <c r="C89" s="2" t="s">
        <v>24</v>
      </c>
      <c r="D89" s="2" t="s">
        <v>16</v>
      </c>
      <c r="E89" s="2" t="s">
        <v>59</v>
      </c>
      <c r="F89" s="2" t="s">
        <v>149</v>
      </c>
      <c r="G89" s="2">
        <v>3</v>
      </c>
      <c r="H89" s="2">
        <v>3920</v>
      </c>
      <c r="I89" s="2">
        <v>0</v>
      </c>
      <c r="J89" s="2">
        <v>11760</v>
      </c>
      <c r="K89" s="2" t="s">
        <v>19</v>
      </c>
      <c r="L89" s="2" t="s">
        <v>176</v>
      </c>
      <c r="M89" s="2" t="s">
        <v>201</v>
      </c>
    </row>
    <row r="90" spans="1:13" x14ac:dyDescent="0.25">
      <c r="A90" s="2" t="s">
        <v>357</v>
      </c>
      <c r="B90" s="2" t="s">
        <v>358</v>
      </c>
      <c r="C90" s="2" t="s">
        <v>76</v>
      </c>
      <c r="D90" s="2" t="s">
        <v>33</v>
      </c>
      <c r="E90" s="2" t="s">
        <v>25</v>
      </c>
      <c r="F90" s="2" t="s">
        <v>115</v>
      </c>
      <c r="G90" s="2">
        <v>5</v>
      </c>
      <c r="H90" s="2">
        <v>1150</v>
      </c>
      <c r="I90" s="2">
        <v>0</v>
      </c>
      <c r="J90" s="2">
        <v>5750</v>
      </c>
      <c r="K90" s="2" t="s">
        <v>127</v>
      </c>
      <c r="L90" s="2" t="s">
        <v>152</v>
      </c>
      <c r="M90" s="2" t="s">
        <v>38</v>
      </c>
    </row>
    <row r="91" spans="1:13" x14ac:dyDescent="0.25">
      <c r="A91" s="2" t="s">
        <v>359</v>
      </c>
      <c r="B91" s="2" t="s">
        <v>360</v>
      </c>
      <c r="C91" s="2" t="s">
        <v>204</v>
      </c>
      <c r="D91" s="2" t="s">
        <v>33</v>
      </c>
      <c r="E91" s="2" t="s">
        <v>125</v>
      </c>
      <c r="F91" s="2" t="s">
        <v>296</v>
      </c>
      <c r="G91" s="2">
        <v>6</v>
      </c>
      <c r="H91" s="2">
        <v>27390</v>
      </c>
      <c r="I91" s="2">
        <v>0</v>
      </c>
      <c r="J91" s="2">
        <v>164340</v>
      </c>
      <c r="K91" s="2" t="s">
        <v>72</v>
      </c>
      <c r="L91" s="2" t="s">
        <v>188</v>
      </c>
      <c r="M91" s="2" t="s">
        <v>47</v>
      </c>
    </row>
    <row r="92" spans="1:13" x14ac:dyDescent="0.25">
      <c r="A92" s="2" t="s">
        <v>361</v>
      </c>
      <c r="B92" s="2" t="s">
        <v>362</v>
      </c>
      <c r="C92" s="2" t="s">
        <v>118</v>
      </c>
      <c r="D92" s="2" t="s">
        <v>51</v>
      </c>
      <c r="E92" s="2" t="s">
        <v>295</v>
      </c>
      <c r="F92" s="2" t="s">
        <v>219</v>
      </c>
      <c r="G92" s="2">
        <v>12</v>
      </c>
      <c r="H92" s="2">
        <v>5680</v>
      </c>
      <c r="I92" s="2">
        <v>0</v>
      </c>
      <c r="J92" s="2">
        <v>68160</v>
      </c>
      <c r="K92" s="2" t="s">
        <v>45</v>
      </c>
      <c r="L92" s="2" t="s">
        <v>37</v>
      </c>
      <c r="M92" s="2" t="s">
        <v>291</v>
      </c>
    </row>
    <row r="93" spans="1:13" x14ac:dyDescent="0.25">
      <c r="A93" s="2" t="s">
        <v>363</v>
      </c>
      <c r="B93" s="2" t="s">
        <v>364</v>
      </c>
      <c r="C93" s="2" t="s">
        <v>135</v>
      </c>
      <c r="D93" s="2" t="s">
        <v>58</v>
      </c>
      <c r="E93" s="2" t="s">
        <v>137</v>
      </c>
      <c r="F93" s="2" t="s">
        <v>171</v>
      </c>
      <c r="G93" s="2">
        <v>7</v>
      </c>
      <c r="H93" s="2">
        <v>7230</v>
      </c>
      <c r="I93" s="2">
        <v>0</v>
      </c>
      <c r="J93" s="2">
        <v>50610</v>
      </c>
      <c r="K93" s="2" t="s">
        <v>27</v>
      </c>
      <c r="L93" s="2" t="s">
        <v>79</v>
      </c>
      <c r="M93" s="2" t="s">
        <v>47</v>
      </c>
    </row>
    <row r="94" spans="1:13" x14ac:dyDescent="0.25">
      <c r="A94" s="2" t="s">
        <v>365</v>
      </c>
      <c r="B94" s="2" t="s">
        <v>366</v>
      </c>
      <c r="C94" s="2" t="s">
        <v>24</v>
      </c>
      <c r="D94" s="2" t="s">
        <v>16</v>
      </c>
      <c r="E94" s="2" t="s">
        <v>59</v>
      </c>
      <c r="F94" s="2" t="s">
        <v>167</v>
      </c>
      <c r="G94" s="2">
        <v>10</v>
      </c>
      <c r="H94" s="2">
        <v>8450</v>
      </c>
      <c r="I94" s="2">
        <v>0</v>
      </c>
      <c r="J94" s="2">
        <v>84500</v>
      </c>
      <c r="K94" s="2" t="s">
        <v>144</v>
      </c>
      <c r="L94" s="2" t="s">
        <v>79</v>
      </c>
      <c r="M94" s="2" t="s">
        <v>21</v>
      </c>
    </row>
    <row r="95" spans="1:13" x14ac:dyDescent="0.25">
      <c r="A95" s="2" t="s">
        <v>367</v>
      </c>
      <c r="B95" s="2" t="s">
        <v>368</v>
      </c>
      <c r="C95" s="2" t="s">
        <v>41</v>
      </c>
      <c r="D95" s="2" t="s">
        <v>42</v>
      </c>
      <c r="E95" s="2" t="s">
        <v>223</v>
      </c>
      <c r="F95" s="2" t="s">
        <v>252</v>
      </c>
      <c r="G95" s="2">
        <v>6</v>
      </c>
      <c r="H95" s="2">
        <v>59200</v>
      </c>
      <c r="I95" s="2">
        <v>0</v>
      </c>
      <c r="J95" s="2">
        <v>355200</v>
      </c>
      <c r="K95" s="2" t="s">
        <v>36</v>
      </c>
      <c r="L95" s="2" t="s">
        <v>369</v>
      </c>
      <c r="M95" s="2" t="s">
        <v>128</v>
      </c>
    </row>
    <row r="96" spans="1:13" x14ac:dyDescent="0.25">
      <c r="A96" s="2" t="s">
        <v>370</v>
      </c>
      <c r="B96" s="2" t="s">
        <v>371</v>
      </c>
      <c r="C96" s="2" t="s">
        <v>41</v>
      </c>
      <c r="D96" s="2" t="s">
        <v>42</v>
      </c>
      <c r="E96" s="2" t="s">
        <v>179</v>
      </c>
      <c r="F96" s="2" t="s">
        <v>232</v>
      </c>
      <c r="G96" s="2">
        <v>6</v>
      </c>
      <c r="H96" s="2">
        <v>1210</v>
      </c>
      <c r="I96" s="2">
        <v>5</v>
      </c>
      <c r="J96" s="2">
        <v>6897</v>
      </c>
      <c r="K96" s="2" t="s">
        <v>72</v>
      </c>
      <c r="L96" s="2" t="s">
        <v>341</v>
      </c>
      <c r="M96" s="2" t="s">
        <v>140</v>
      </c>
    </row>
    <row r="97" spans="1:13" x14ac:dyDescent="0.25">
      <c r="A97" s="2" t="s">
        <v>372</v>
      </c>
      <c r="B97" s="2" t="s">
        <v>373</v>
      </c>
      <c r="C97" s="2" t="s">
        <v>24</v>
      </c>
      <c r="D97" s="2" t="s">
        <v>16</v>
      </c>
      <c r="E97" s="2" t="s">
        <v>195</v>
      </c>
      <c r="F97" s="2" t="s">
        <v>374</v>
      </c>
      <c r="G97" s="2">
        <v>2</v>
      </c>
      <c r="H97" s="2">
        <v>490</v>
      </c>
      <c r="I97" s="2">
        <v>0</v>
      </c>
      <c r="J97" s="2">
        <v>980</v>
      </c>
      <c r="K97" s="2" t="s">
        <v>127</v>
      </c>
      <c r="L97" s="2" t="s">
        <v>375</v>
      </c>
      <c r="M97" s="2" t="s">
        <v>140</v>
      </c>
    </row>
    <row r="98" spans="1:13" x14ac:dyDescent="0.25">
      <c r="A98" s="2" t="s">
        <v>376</v>
      </c>
      <c r="B98" s="2" t="s">
        <v>377</v>
      </c>
      <c r="C98" s="2" t="s">
        <v>378</v>
      </c>
      <c r="D98" s="2" t="s">
        <v>51</v>
      </c>
      <c r="E98" s="2"/>
      <c r="F98" s="2" t="s">
        <v>379</v>
      </c>
      <c r="G98" s="2">
        <v>3</v>
      </c>
      <c r="H98" s="2">
        <v>11250</v>
      </c>
      <c r="I98" s="2">
        <v>0</v>
      </c>
      <c r="J98" s="2">
        <v>33750</v>
      </c>
      <c r="K98" s="2" t="s">
        <v>144</v>
      </c>
      <c r="L98" s="2" t="s">
        <v>380</v>
      </c>
      <c r="M98" s="2" t="s">
        <v>21</v>
      </c>
    </row>
    <row r="99" spans="1:13" x14ac:dyDescent="0.25">
      <c r="A99" s="2" t="s">
        <v>381</v>
      </c>
      <c r="B99" s="2" t="s">
        <v>382</v>
      </c>
      <c r="C99" s="2" t="s">
        <v>204</v>
      </c>
      <c r="D99" s="2" t="s">
        <v>33</v>
      </c>
      <c r="E99" s="2" t="s">
        <v>65</v>
      </c>
      <c r="F99" s="2" t="s">
        <v>132</v>
      </c>
      <c r="G99" s="2">
        <v>6</v>
      </c>
      <c r="H99" s="2">
        <v>1370</v>
      </c>
      <c r="I99" s="2" t="s">
        <v>138</v>
      </c>
      <c r="J99" s="2">
        <v>6987</v>
      </c>
      <c r="K99" s="2" t="s">
        <v>127</v>
      </c>
      <c r="L99" s="2" t="s">
        <v>46</v>
      </c>
      <c r="M99" s="2" t="s">
        <v>128</v>
      </c>
    </row>
    <row r="100" spans="1:13" x14ac:dyDescent="0.25">
      <c r="A100" s="2" t="s">
        <v>383</v>
      </c>
      <c r="B100" s="2" t="s">
        <v>384</v>
      </c>
      <c r="C100" s="2" t="s">
        <v>238</v>
      </c>
      <c r="D100" s="2" t="s">
        <v>51</v>
      </c>
      <c r="E100" s="2" t="s">
        <v>111</v>
      </c>
      <c r="F100" s="2" t="s">
        <v>180</v>
      </c>
      <c r="G100" s="2">
        <v>2</v>
      </c>
      <c r="H100" s="2">
        <v>5300</v>
      </c>
      <c r="I100" s="2">
        <v>0</v>
      </c>
      <c r="J100" s="2">
        <v>10600</v>
      </c>
      <c r="K100" s="2" t="s">
        <v>36</v>
      </c>
      <c r="L100" s="2" t="s">
        <v>88</v>
      </c>
      <c r="M100" s="2" t="s">
        <v>47</v>
      </c>
    </row>
    <row r="101" spans="1:13" x14ac:dyDescent="0.25">
      <c r="A101" s="2" t="s">
        <v>385</v>
      </c>
      <c r="B101" s="2" t="s">
        <v>386</v>
      </c>
      <c r="C101" s="2" t="s">
        <v>135</v>
      </c>
      <c r="D101" s="2" t="s">
        <v>58</v>
      </c>
      <c r="E101" s="2" t="s">
        <v>163</v>
      </c>
      <c r="F101" s="2" t="s">
        <v>164</v>
      </c>
      <c r="G101" s="2">
        <v>11</v>
      </c>
      <c r="H101" s="2">
        <v>73780</v>
      </c>
      <c r="I101" s="2">
        <v>15</v>
      </c>
      <c r="J101" s="2">
        <v>689843</v>
      </c>
      <c r="K101" s="2" t="s">
        <v>94</v>
      </c>
      <c r="L101" s="2" t="s">
        <v>387</v>
      </c>
      <c r="M101" s="2" t="s">
        <v>140</v>
      </c>
    </row>
    <row r="102" spans="1:13" x14ac:dyDescent="0.25">
      <c r="A102" s="2" t="s">
        <v>388</v>
      </c>
      <c r="B102" s="2" t="s">
        <v>389</v>
      </c>
      <c r="C102" s="2" t="s">
        <v>64</v>
      </c>
      <c r="D102" s="2" t="s">
        <v>51</v>
      </c>
      <c r="E102" s="2" t="s">
        <v>43</v>
      </c>
      <c r="F102" s="2" t="s">
        <v>248</v>
      </c>
      <c r="G102" s="2">
        <v>7</v>
      </c>
      <c r="H102" s="2">
        <v>4800</v>
      </c>
      <c r="I102" s="2" t="s">
        <v>152</v>
      </c>
      <c r="J102" s="2">
        <v>33600</v>
      </c>
      <c r="K102" s="2" t="s">
        <v>133</v>
      </c>
      <c r="L102" s="2" t="s">
        <v>37</v>
      </c>
      <c r="M102" s="2" t="s">
        <v>215</v>
      </c>
    </row>
    <row r="103" spans="1:13" x14ac:dyDescent="0.25">
      <c r="A103" s="2" t="s">
        <v>390</v>
      </c>
      <c r="B103" s="2" t="s">
        <v>391</v>
      </c>
      <c r="C103" s="2" t="s">
        <v>238</v>
      </c>
      <c r="D103" s="2" t="s">
        <v>51</v>
      </c>
      <c r="E103" s="2" t="s">
        <v>195</v>
      </c>
      <c r="F103" s="2" t="s">
        <v>18</v>
      </c>
      <c r="G103" s="2">
        <v>8</v>
      </c>
      <c r="H103" s="2">
        <v>16270</v>
      </c>
      <c r="I103" s="2">
        <v>0</v>
      </c>
      <c r="J103" s="2">
        <v>130160</v>
      </c>
      <c r="K103" s="2" t="s">
        <v>127</v>
      </c>
      <c r="L103" s="2" t="s">
        <v>37</v>
      </c>
      <c r="M103" s="2" t="s">
        <v>140</v>
      </c>
    </row>
    <row r="104" spans="1:13" x14ac:dyDescent="0.25">
      <c r="A104" s="2" t="s">
        <v>392</v>
      </c>
      <c r="B104" s="2" t="s">
        <v>346</v>
      </c>
      <c r="C104" s="2" t="s">
        <v>76</v>
      </c>
      <c r="D104" s="2" t="s">
        <v>33</v>
      </c>
      <c r="E104" s="2" t="s">
        <v>284</v>
      </c>
      <c r="F104" s="2" t="s">
        <v>167</v>
      </c>
      <c r="G104" s="2">
        <v>6</v>
      </c>
      <c r="H104" s="2">
        <v>10110</v>
      </c>
      <c r="I104" s="2">
        <v>0</v>
      </c>
      <c r="J104" s="2">
        <v>60660</v>
      </c>
      <c r="K104" s="2" t="s">
        <v>94</v>
      </c>
      <c r="L104" s="2" t="s">
        <v>173</v>
      </c>
      <c r="M104" s="2" t="s">
        <v>47</v>
      </c>
    </row>
    <row r="105" spans="1:13" x14ac:dyDescent="0.25">
      <c r="A105" s="2" t="s">
        <v>393</v>
      </c>
      <c r="B105" s="2" t="s">
        <v>394</v>
      </c>
      <c r="C105" s="2" t="s">
        <v>198</v>
      </c>
      <c r="D105" s="2" t="s">
        <v>42</v>
      </c>
      <c r="E105" s="2" t="s">
        <v>77</v>
      </c>
      <c r="F105" s="2" t="s">
        <v>224</v>
      </c>
      <c r="G105" s="2">
        <v>10</v>
      </c>
      <c r="H105" s="2">
        <v>49320</v>
      </c>
      <c r="I105" s="2">
        <v>0</v>
      </c>
      <c r="J105" s="2">
        <v>493200</v>
      </c>
      <c r="K105" s="2" t="s">
        <v>19</v>
      </c>
      <c r="L105" s="2" t="s">
        <v>395</v>
      </c>
      <c r="M105" s="2" t="s">
        <v>47</v>
      </c>
    </row>
    <row r="106" spans="1:13" x14ac:dyDescent="0.25">
      <c r="A106" s="2" t="s">
        <v>396</v>
      </c>
      <c r="B106" s="2" t="s">
        <v>397</v>
      </c>
      <c r="C106" s="2" t="s">
        <v>238</v>
      </c>
      <c r="D106" s="2" t="s">
        <v>51</v>
      </c>
      <c r="E106" s="2" t="s">
        <v>92</v>
      </c>
      <c r="F106" s="2" t="s">
        <v>106</v>
      </c>
      <c r="G106" s="2">
        <v>6</v>
      </c>
      <c r="H106" s="2">
        <v>3680</v>
      </c>
      <c r="I106" s="2">
        <v>5</v>
      </c>
      <c r="J106" s="2">
        <v>20976</v>
      </c>
      <c r="K106" s="2" t="s">
        <v>72</v>
      </c>
      <c r="L106" s="2" t="s">
        <v>168</v>
      </c>
      <c r="M106" s="2" t="s">
        <v>38</v>
      </c>
    </row>
    <row r="107" spans="1:13" x14ac:dyDescent="0.25">
      <c r="A107" s="2" t="s">
        <v>398</v>
      </c>
      <c r="B107" s="2" t="s">
        <v>399</v>
      </c>
      <c r="C107" s="2" t="s">
        <v>400</v>
      </c>
      <c r="D107" s="2" t="s">
        <v>33</v>
      </c>
      <c r="E107" s="2" t="s">
        <v>125</v>
      </c>
      <c r="F107" s="2" t="s">
        <v>314</v>
      </c>
      <c r="G107" s="2">
        <v>1</v>
      </c>
      <c r="H107" s="2">
        <v>460</v>
      </c>
      <c r="I107" s="2"/>
      <c r="J107" s="2">
        <v>460</v>
      </c>
      <c r="K107" s="2" t="s">
        <v>19</v>
      </c>
      <c r="L107" s="2" t="s">
        <v>339</v>
      </c>
      <c r="M107" s="2" t="s">
        <v>47</v>
      </c>
    </row>
    <row r="108" spans="1:13" x14ac:dyDescent="0.25">
      <c r="A108" s="2" t="s">
        <v>401</v>
      </c>
      <c r="B108" s="2" t="s">
        <v>402</v>
      </c>
      <c r="C108" s="2" t="s">
        <v>110</v>
      </c>
      <c r="D108" s="2" t="s">
        <v>33</v>
      </c>
      <c r="E108" s="2" t="s">
        <v>295</v>
      </c>
      <c r="F108" s="2" t="s">
        <v>126</v>
      </c>
      <c r="G108" s="2">
        <v>4</v>
      </c>
      <c r="H108" s="2">
        <v>470</v>
      </c>
      <c r="I108" s="2">
        <v>10</v>
      </c>
      <c r="J108" s="2">
        <v>1692</v>
      </c>
      <c r="K108" s="2" t="s">
        <v>102</v>
      </c>
      <c r="L108" s="2" t="s">
        <v>266</v>
      </c>
      <c r="M108" s="2" t="s">
        <v>29</v>
      </c>
    </row>
    <row r="109" spans="1:13" x14ac:dyDescent="0.25">
      <c r="A109" s="2" t="s">
        <v>403</v>
      </c>
      <c r="B109" s="2" t="s">
        <v>159</v>
      </c>
      <c r="C109" s="2" t="s">
        <v>135</v>
      </c>
      <c r="D109" s="2" t="s">
        <v>58</v>
      </c>
      <c r="E109" s="2" t="s">
        <v>152</v>
      </c>
      <c r="F109" s="2" t="s">
        <v>143</v>
      </c>
      <c r="G109" s="2">
        <v>8</v>
      </c>
      <c r="H109" s="2">
        <v>9450</v>
      </c>
      <c r="I109" s="2">
        <v>0</v>
      </c>
      <c r="J109" s="2">
        <v>75600</v>
      </c>
      <c r="K109" s="2" t="s">
        <v>205</v>
      </c>
      <c r="L109" s="2" t="s">
        <v>200</v>
      </c>
      <c r="M109" s="2" t="s">
        <v>47</v>
      </c>
    </row>
    <row r="110" spans="1:13" x14ac:dyDescent="0.25">
      <c r="A110" s="2" t="s">
        <v>404</v>
      </c>
      <c r="B110" s="2" t="s">
        <v>405</v>
      </c>
      <c r="C110" s="2" t="s">
        <v>41</v>
      </c>
      <c r="D110" s="2" t="s">
        <v>42</v>
      </c>
      <c r="E110" s="2" t="s">
        <v>65</v>
      </c>
      <c r="F110" s="2" t="s">
        <v>101</v>
      </c>
      <c r="G110" s="2">
        <v>12</v>
      </c>
      <c r="H110" s="2">
        <v>460</v>
      </c>
      <c r="I110" s="2" t="s">
        <v>138</v>
      </c>
      <c r="J110" s="2">
        <v>5244</v>
      </c>
      <c r="K110" s="2" t="s">
        <v>72</v>
      </c>
      <c r="L110" s="2" t="s">
        <v>406</v>
      </c>
      <c r="M110" s="2" t="s">
        <v>140</v>
      </c>
    </row>
    <row r="111" spans="1:13" x14ac:dyDescent="0.25">
      <c r="A111" s="2" t="s">
        <v>407</v>
      </c>
      <c r="B111" s="2" t="s">
        <v>408</v>
      </c>
      <c r="C111" s="2" t="s">
        <v>76</v>
      </c>
      <c r="D111" s="2" t="s">
        <v>33</v>
      </c>
      <c r="E111" s="2" t="s">
        <v>34</v>
      </c>
      <c r="F111" s="2" t="s">
        <v>71</v>
      </c>
      <c r="G111" s="2" t="s">
        <v>152</v>
      </c>
      <c r="H111" s="2">
        <v>2630</v>
      </c>
      <c r="I111" s="2"/>
      <c r="J111" s="2">
        <v>28930</v>
      </c>
      <c r="K111" s="2" t="s">
        <v>139</v>
      </c>
      <c r="L111" s="2" t="s">
        <v>79</v>
      </c>
      <c r="M111" s="2" t="s">
        <v>21</v>
      </c>
    </row>
    <row r="112" spans="1:13" x14ac:dyDescent="0.25">
      <c r="A112" s="2" t="s">
        <v>409</v>
      </c>
      <c r="B112" s="2" t="s">
        <v>410</v>
      </c>
      <c r="C112" s="2" t="s">
        <v>135</v>
      </c>
      <c r="D112" s="2" t="s">
        <v>58</v>
      </c>
      <c r="E112" s="2" t="s">
        <v>231</v>
      </c>
      <c r="F112" s="2" t="s">
        <v>232</v>
      </c>
      <c r="G112" s="2">
        <v>7</v>
      </c>
      <c r="H112" s="2" t="s">
        <v>138</v>
      </c>
      <c r="I112" s="2" t="s">
        <v>107</v>
      </c>
      <c r="J112" s="2">
        <v>3500</v>
      </c>
      <c r="K112" s="2"/>
      <c r="L112" s="2" t="s">
        <v>411</v>
      </c>
      <c r="M112" s="2" t="s">
        <v>21</v>
      </c>
    </row>
    <row r="113" spans="1:13" x14ac:dyDescent="0.25">
      <c r="A113" s="2" t="s">
        <v>412</v>
      </c>
      <c r="B113" s="2" t="s">
        <v>413</v>
      </c>
      <c r="C113" s="2" t="s">
        <v>238</v>
      </c>
      <c r="D113" s="2" t="s">
        <v>51</v>
      </c>
      <c r="E113" s="2" t="s">
        <v>77</v>
      </c>
      <c r="F113" s="2" t="s">
        <v>143</v>
      </c>
      <c r="G113" s="2">
        <v>2</v>
      </c>
      <c r="H113" s="2">
        <v>13180</v>
      </c>
      <c r="I113" s="2">
        <v>10</v>
      </c>
      <c r="J113" s="2">
        <v>23724</v>
      </c>
      <c r="K113" s="2" t="s">
        <v>87</v>
      </c>
      <c r="L113" s="2" t="s">
        <v>344</v>
      </c>
      <c r="M113" s="2" t="s">
        <v>136</v>
      </c>
    </row>
    <row r="114" spans="1:13" x14ac:dyDescent="0.25">
      <c r="A114" s="2" t="s">
        <v>414</v>
      </c>
      <c r="B114" s="2" t="s">
        <v>415</v>
      </c>
      <c r="C114" s="2" t="s">
        <v>416</v>
      </c>
      <c r="D114" s="2" t="s">
        <v>33</v>
      </c>
      <c r="E114" s="2" t="s">
        <v>119</v>
      </c>
      <c r="F114" s="2" t="s">
        <v>93</v>
      </c>
      <c r="G114" s="2">
        <v>1</v>
      </c>
      <c r="H114" s="2">
        <v>20380</v>
      </c>
      <c r="I114" s="2">
        <v>0</v>
      </c>
      <c r="J114" s="2"/>
      <c r="K114" s="2" t="s">
        <v>67</v>
      </c>
      <c r="L114" s="2" t="s">
        <v>173</v>
      </c>
      <c r="M114" s="2" t="s">
        <v>215</v>
      </c>
    </row>
    <row r="115" spans="1:13" x14ac:dyDescent="0.25">
      <c r="A115" s="2" t="s">
        <v>417</v>
      </c>
      <c r="B115" s="2" t="s">
        <v>418</v>
      </c>
      <c r="C115" s="2" t="s">
        <v>156</v>
      </c>
      <c r="D115" s="2" t="s">
        <v>51</v>
      </c>
      <c r="E115" s="2" t="s">
        <v>179</v>
      </c>
      <c r="F115" s="2" t="s">
        <v>143</v>
      </c>
      <c r="G115" s="2">
        <v>7</v>
      </c>
      <c r="H115" s="2">
        <v>8590</v>
      </c>
      <c r="I115" s="2">
        <v>0</v>
      </c>
      <c r="J115" s="2">
        <v>60130</v>
      </c>
      <c r="K115" s="2" t="s">
        <v>102</v>
      </c>
      <c r="L115" s="2" t="s">
        <v>73</v>
      </c>
      <c r="M115" s="2"/>
    </row>
    <row r="116" spans="1:13" x14ac:dyDescent="0.25">
      <c r="A116" s="2" t="s">
        <v>419</v>
      </c>
      <c r="B116" s="2" t="s">
        <v>420</v>
      </c>
      <c r="C116" s="2" t="s">
        <v>227</v>
      </c>
      <c r="D116" s="2" t="s">
        <v>33</v>
      </c>
      <c r="E116" s="2" t="s">
        <v>17</v>
      </c>
      <c r="F116" s="2" t="s">
        <v>35</v>
      </c>
      <c r="G116" s="2">
        <v>4</v>
      </c>
      <c r="H116" s="2">
        <v>8370</v>
      </c>
      <c r="I116" s="2">
        <v>0</v>
      </c>
      <c r="J116" s="2">
        <v>33480</v>
      </c>
      <c r="K116" s="2" t="s">
        <v>67</v>
      </c>
      <c r="L116" s="2" t="s">
        <v>387</v>
      </c>
      <c r="M116" s="2" t="s">
        <v>47</v>
      </c>
    </row>
    <row r="117" spans="1:13" x14ac:dyDescent="0.25">
      <c r="A117" s="2" t="s">
        <v>421</v>
      </c>
      <c r="B117" s="2" t="s">
        <v>422</v>
      </c>
      <c r="C117" s="2" t="s">
        <v>24</v>
      </c>
      <c r="D117" s="2" t="s">
        <v>16</v>
      </c>
      <c r="E117" s="2" t="s">
        <v>322</v>
      </c>
      <c r="F117" s="2" t="s">
        <v>78</v>
      </c>
      <c r="G117" s="2">
        <v>9</v>
      </c>
      <c r="H117" s="2">
        <v>20130</v>
      </c>
      <c r="I117" s="2">
        <v>0</v>
      </c>
      <c r="J117" s="2">
        <v>181170</v>
      </c>
      <c r="K117" s="2" t="s">
        <v>67</v>
      </c>
      <c r="L117" s="2" t="s">
        <v>214</v>
      </c>
      <c r="M117" s="2" t="s">
        <v>128</v>
      </c>
    </row>
    <row r="118" spans="1:13" x14ac:dyDescent="0.25">
      <c r="A118" s="2" t="s">
        <v>423</v>
      </c>
      <c r="B118" s="2" t="s">
        <v>424</v>
      </c>
      <c r="C118" s="2" t="s">
        <v>213</v>
      </c>
      <c r="D118" s="2" t="s">
        <v>58</v>
      </c>
      <c r="E118" s="2" t="s">
        <v>59</v>
      </c>
      <c r="F118" s="2" t="s">
        <v>167</v>
      </c>
      <c r="G118" s="2">
        <v>8</v>
      </c>
      <c r="H118" s="2">
        <v>540</v>
      </c>
      <c r="I118" s="2"/>
      <c r="J118" s="2">
        <v>4320</v>
      </c>
      <c r="K118" s="2" t="s">
        <v>139</v>
      </c>
      <c r="L118" s="2" t="s">
        <v>107</v>
      </c>
      <c r="M118" s="2" t="s">
        <v>425</v>
      </c>
    </row>
    <row r="119" spans="1:13" x14ac:dyDescent="0.25">
      <c r="A119" s="2" t="s">
        <v>426</v>
      </c>
      <c r="B119" s="2" t="s">
        <v>427</v>
      </c>
      <c r="C119" s="2" t="s">
        <v>64</v>
      </c>
      <c r="D119" s="2" t="s">
        <v>51</v>
      </c>
      <c r="E119" s="2" t="s">
        <v>322</v>
      </c>
      <c r="F119" s="2" t="s">
        <v>239</v>
      </c>
      <c r="G119" s="2">
        <v>12</v>
      </c>
      <c r="H119" s="2">
        <v>45890</v>
      </c>
      <c r="I119" s="2">
        <v>0</v>
      </c>
      <c r="J119" s="2">
        <v>550680</v>
      </c>
      <c r="K119" s="2" t="s">
        <v>19</v>
      </c>
      <c r="L119" s="2" t="s">
        <v>428</v>
      </c>
      <c r="M119" s="2" t="s">
        <v>47</v>
      </c>
    </row>
    <row r="120" spans="1:13" x14ac:dyDescent="0.25">
      <c r="A120" s="2" t="s">
        <v>429</v>
      </c>
      <c r="B120" s="2" t="s">
        <v>430</v>
      </c>
      <c r="C120" s="2" t="s">
        <v>378</v>
      </c>
      <c r="D120" s="2" t="s">
        <v>51</v>
      </c>
      <c r="E120" s="2" t="s">
        <v>77</v>
      </c>
      <c r="F120" s="2" t="s">
        <v>143</v>
      </c>
      <c r="G120" s="2">
        <v>2</v>
      </c>
      <c r="H120" s="2">
        <v>8550</v>
      </c>
      <c r="I120" s="2">
        <v>15</v>
      </c>
      <c r="J120" s="2">
        <v>14535</v>
      </c>
      <c r="K120" s="2" t="s">
        <v>144</v>
      </c>
      <c r="L120" s="2" t="s">
        <v>308</v>
      </c>
      <c r="M120" s="2" t="s">
        <v>140</v>
      </c>
    </row>
    <row r="121" spans="1:13" x14ac:dyDescent="0.25">
      <c r="A121" s="2" t="s">
        <v>431</v>
      </c>
      <c r="B121" s="2" t="s">
        <v>432</v>
      </c>
      <c r="C121" s="2" t="s">
        <v>57</v>
      </c>
      <c r="D121" s="2" t="s">
        <v>58</v>
      </c>
      <c r="E121" s="2" t="s">
        <v>92</v>
      </c>
      <c r="F121" s="2" t="s">
        <v>332</v>
      </c>
      <c r="G121" s="2">
        <v>3</v>
      </c>
      <c r="H121" s="2">
        <v>8530</v>
      </c>
      <c r="I121" s="2">
        <v>0</v>
      </c>
      <c r="J121" s="2">
        <v>25590</v>
      </c>
      <c r="K121" s="2" t="s">
        <v>144</v>
      </c>
      <c r="L121" s="2" t="s">
        <v>61</v>
      </c>
      <c r="M121" s="2" t="s">
        <v>47</v>
      </c>
    </row>
    <row r="122" spans="1:13" x14ac:dyDescent="0.25">
      <c r="A122" s="2" t="s">
        <v>433</v>
      </c>
      <c r="B122" s="2" t="s">
        <v>434</v>
      </c>
      <c r="C122" s="2" t="s">
        <v>41</v>
      </c>
      <c r="D122" s="2" t="s">
        <v>42</v>
      </c>
      <c r="E122" s="2" t="s">
        <v>82</v>
      </c>
      <c r="F122" s="2" t="s">
        <v>435</v>
      </c>
      <c r="G122" s="2">
        <v>6</v>
      </c>
      <c r="H122" s="2">
        <v>23210</v>
      </c>
      <c r="I122" s="2">
        <v>0</v>
      </c>
      <c r="J122" s="2">
        <v>139260</v>
      </c>
      <c r="K122" s="2" t="s">
        <v>127</v>
      </c>
      <c r="L122" s="2" t="s">
        <v>271</v>
      </c>
      <c r="M122" s="2" t="s">
        <v>128</v>
      </c>
    </row>
    <row r="123" spans="1:13" x14ac:dyDescent="0.25">
      <c r="A123" s="2" t="s">
        <v>436</v>
      </c>
      <c r="B123" s="2" t="s">
        <v>437</v>
      </c>
      <c r="C123" s="2" t="s">
        <v>156</v>
      </c>
      <c r="D123" s="2" t="s">
        <v>51</v>
      </c>
      <c r="E123" s="2" t="s">
        <v>25</v>
      </c>
      <c r="F123" s="2" t="s">
        <v>332</v>
      </c>
      <c r="G123" s="2">
        <v>6</v>
      </c>
      <c r="H123" s="2">
        <v>1330</v>
      </c>
      <c r="I123" s="2">
        <v>0</v>
      </c>
      <c r="J123" s="2">
        <v>7980</v>
      </c>
      <c r="K123" s="2" t="s">
        <v>120</v>
      </c>
      <c r="L123" s="2" t="s">
        <v>271</v>
      </c>
      <c r="M123" s="2" t="s">
        <v>21</v>
      </c>
    </row>
    <row r="124" spans="1:13" x14ac:dyDescent="0.25">
      <c r="A124" s="2" t="s">
        <v>438</v>
      </c>
      <c r="B124" s="2" t="s">
        <v>439</v>
      </c>
      <c r="C124" s="2" t="s">
        <v>162</v>
      </c>
      <c r="D124" s="2" t="s">
        <v>33</v>
      </c>
      <c r="E124" s="2" t="s">
        <v>65</v>
      </c>
      <c r="F124" s="2" t="s">
        <v>101</v>
      </c>
      <c r="G124" s="2">
        <v>6</v>
      </c>
      <c r="H124" s="2">
        <v>12760</v>
      </c>
      <c r="I124" s="2">
        <v>5</v>
      </c>
      <c r="J124" s="2">
        <v>72732</v>
      </c>
      <c r="K124" s="2" t="s">
        <v>107</v>
      </c>
      <c r="L124" s="2" t="s">
        <v>440</v>
      </c>
      <c r="M124" s="2" t="s">
        <v>47</v>
      </c>
    </row>
    <row r="125" spans="1:13" x14ac:dyDescent="0.25">
      <c r="A125" s="2" t="s">
        <v>441</v>
      </c>
      <c r="B125" s="2" t="s">
        <v>442</v>
      </c>
      <c r="C125" s="2" t="s">
        <v>124</v>
      </c>
      <c r="D125" s="2" t="s">
        <v>51</v>
      </c>
      <c r="E125" s="2" t="s">
        <v>107</v>
      </c>
      <c r="F125" s="2" t="s">
        <v>296</v>
      </c>
      <c r="G125" s="2">
        <v>8</v>
      </c>
      <c r="H125" s="2">
        <v>2290</v>
      </c>
      <c r="I125" s="2">
        <v>0</v>
      </c>
      <c r="J125" s="2">
        <v>18320</v>
      </c>
      <c r="K125" s="2" t="s">
        <v>172</v>
      </c>
      <c r="L125" s="2" t="s">
        <v>136</v>
      </c>
      <c r="M125" s="2" t="s">
        <v>223</v>
      </c>
    </row>
    <row r="126" spans="1:13" x14ac:dyDescent="0.25">
      <c r="A126" s="2" t="s">
        <v>443</v>
      </c>
      <c r="B126" s="2" t="s">
        <v>444</v>
      </c>
      <c r="C126" s="2" t="s">
        <v>41</v>
      </c>
      <c r="D126" s="2" t="s">
        <v>42</v>
      </c>
      <c r="E126" s="2" t="s">
        <v>111</v>
      </c>
      <c r="F126" s="2" t="s">
        <v>239</v>
      </c>
      <c r="G126" s="2">
        <v>1</v>
      </c>
      <c r="H126" s="2">
        <v>3510</v>
      </c>
      <c r="I126" s="2">
        <v>0</v>
      </c>
      <c r="J126" s="2">
        <v>3510</v>
      </c>
      <c r="K126" s="2" t="s">
        <v>205</v>
      </c>
      <c r="L126" s="2" t="s">
        <v>266</v>
      </c>
      <c r="M126" s="2" t="s">
        <v>215</v>
      </c>
    </row>
    <row r="127" spans="1:13" x14ac:dyDescent="0.25">
      <c r="A127" s="2" t="s">
        <v>445</v>
      </c>
      <c r="B127" s="2" t="s">
        <v>446</v>
      </c>
      <c r="C127" s="2" t="s">
        <v>294</v>
      </c>
      <c r="D127" s="2" t="s">
        <v>42</v>
      </c>
      <c r="E127" s="2" t="s">
        <v>231</v>
      </c>
      <c r="F127" s="2" t="s">
        <v>143</v>
      </c>
      <c r="G127" s="2">
        <v>2</v>
      </c>
      <c r="H127" s="2">
        <v>12920</v>
      </c>
      <c r="I127" s="2">
        <v>0</v>
      </c>
      <c r="J127" s="2">
        <v>25840</v>
      </c>
      <c r="K127" s="2" t="s">
        <v>107</v>
      </c>
      <c r="L127" s="2" t="s">
        <v>344</v>
      </c>
      <c r="M127" s="2" t="s">
        <v>38</v>
      </c>
    </row>
    <row r="128" spans="1:13" x14ac:dyDescent="0.25">
      <c r="A128" s="2" t="s">
        <v>447</v>
      </c>
      <c r="B128" s="2" t="s">
        <v>448</v>
      </c>
      <c r="C128" s="2" t="s">
        <v>449</v>
      </c>
      <c r="D128" s="2" t="s">
        <v>42</v>
      </c>
      <c r="E128" s="2" t="s">
        <v>195</v>
      </c>
      <c r="F128" s="2" t="s">
        <v>71</v>
      </c>
      <c r="G128" s="2">
        <v>2</v>
      </c>
      <c r="H128" s="2">
        <v>2750</v>
      </c>
      <c r="I128" s="2">
        <v>0</v>
      </c>
      <c r="J128" s="2">
        <v>5500</v>
      </c>
      <c r="K128" s="2" t="s">
        <v>72</v>
      </c>
      <c r="L128" s="2" t="s">
        <v>266</v>
      </c>
      <c r="M128" s="2" t="s">
        <v>47</v>
      </c>
    </row>
    <row r="129" spans="1:13" x14ac:dyDescent="0.25">
      <c r="A129" s="2" t="s">
        <v>450</v>
      </c>
      <c r="B129" s="2" t="s">
        <v>451</v>
      </c>
      <c r="C129" s="2" t="s">
        <v>452</v>
      </c>
      <c r="D129" s="2" t="s">
        <v>51</v>
      </c>
      <c r="E129" s="2" t="s">
        <v>59</v>
      </c>
      <c r="F129" s="2" t="s">
        <v>149</v>
      </c>
      <c r="G129" s="2">
        <v>12</v>
      </c>
      <c r="H129" s="2">
        <v>67500</v>
      </c>
      <c r="I129" s="2">
        <v>10</v>
      </c>
      <c r="J129" s="2">
        <v>729000</v>
      </c>
      <c r="K129" s="2" t="s">
        <v>144</v>
      </c>
      <c r="L129" s="2" t="s">
        <v>380</v>
      </c>
      <c r="M129" s="2" t="s">
        <v>128</v>
      </c>
    </row>
    <row r="130" spans="1:13" x14ac:dyDescent="0.25">
      <c r="A130" s="2" t="s">
        <v>453</v>
      </c>
      <c r="B130" s="2" t="s">
        <v>454</v>
      </c>
      <c r="C130" s="2" t="s">
        <v>238</v>
      </c>
      <c r="D130" s="2" t="s">
        <v>51</v>
      </c>
      <c r="E130" s="2" t="s">
        <v>231</v>
      </c>
      <c r="F130" s="2" t="s">
        <v>180</v>
      </c>
      <c r="G130" s="2">
        <v>9</v>
      </c>
      <c r="H130" s="2">
        <v>17990</v>
      </c>
      <c r="I130" s="2">
        <v>0</v>
      </c>
      <c r="J130" s="2">
        <v>161910</v>
      </c>
      <c r="K130" s="2" t="s">
        <v>172</v>
      </c>
      <c r="L130" s="2" t="s">
        <v>339</v>
      </c>
      <c r="M130" s="2" t="s">
        <v>38</v>
      </c>
    </row>
    <row r="131" spans="1:13" x14ac:dyDescent="0.25">
      <c r="A131" s="2" t="s">
        <v>455</v>
      </c>
      <c r="B131" s="2" t="s">
        <v>456</v>
      </c>
      <c r="C131" s="2" t="s">
        <v>41</v>
      </c>
      <c r="D131" s="2" t="s">
        <v>42</v>
      </c>
      <c r="E131" s="2" t="s">
        <v>52</v>
      </c>
      <c r="F131" s="2" t="s">
        <v>248</v>
      </c>
      <c r="G131" s="2">
        <v>6</v>
      </c>
      <c r="H131" s="2">
        <v>65700</v>
      </c>
      <c r="I131" s="2">
        <v>10</v>
      </c>
      <c r="J131" s="2">
        <v>354780</v>
      </c>
      <c r="K131" s="2" t="s">
        <v>45</v>
      </c>
      <c r="L131" s="2" t="s">
        <v>266</v>
      </c>
      <c r="M131" s="2" t="s">
        <v>47</v>
      </c>
    </row>
    <row r="132" spans="1:13" x14ac:dyDescent="0.25">
      <c r="A132" s="2" t="s">
        <v>457</v>
      </c>
      <c r="B132" s="2" t="s">
        <v>458</v>
      </c>
      <c r="C132" s="2" t="s">
        <v>156</v>
      </c>
      <c r="D132" s="2" t="s">
        <v>51</v>
      </c>
      <c r="E132" s="2" t="s">
        <v>77</v>
      </c>
      <c r="F132" s="2" t="s">
        <v>180</v>
      </c>
      <c r="G132" s="2">
        <v>6</v>
      </c>
      <c r="H132" s="2">
        <v>3190</v>
      </c>
      <c r="I132" s="2">
        <v>0</v>
      </c>
      <c r="J132" s="2">
        <v>19140</v>
      </c>
      <c r="K132" s="2" t="s">
        <v>144</v>
      </c>
      <c r="L132" s="2" t="s">
        <v>28</v>
      </c>
      <c r="M132" s="2" t="s">
        <v>21</v>
      </c>
    </row>
    <row r="133" spans="1:13" x14ac:dyDescent="0.25">
      <c r="A133" s="2" t="s">
        <v>459</v>
      </c>
      <c r="B133" s="2" t="s">
        <v>460</v>
      </c>
      <c r="C133" s="2" t="s">
        <v>227</v>
      </c>
      <c r="D133" s="2" t="s">
        <v>33</v>
      </c>
      <c r="E133" s="2" t="s">
        <v>179</v>
      </c>
      <c r="F133" s="2" t="s">
        <v>232</v>
      </c>
      <c r="G133" s="2">
        <v>5</v>
      </c>
      <c r="H133" s="2">
        <v>2500</v>
      </c>
      <c r="I133" s="2">
        <v>5</v>
      </c>
      <c r="J133" s="2">
        <v>11875</v>
      </c>
      <c r="K133" s="2"/>
      <c r="L133" s="2" t="s">
        <v>46</v>
      </c>
      <c r="M133" s="2"/>
    </row>
    <row r="134" spans="1:13" x14ac:dyDescent="0.25">
      <c r="A134" s="2" t="s">
        <v>461</v>
      </c>
      <c r="B134" s="2" t="s">
        <v>462</v>
      </c>
      <c r="C134" s="2" t="s">
        <v>76</v>
      </c>
      <c r="D134" s="2" t="s">
        <v>33</v>
      </c>
      <c r="E134" s="2" t="s">
        <v>322</v>
      </c>
      <c r="F134" s="2" t="s">
        <v>224</v>
      </c>
      <c r="G134" s="2">
        <v>12</v>
      </c>
      <c r="H134" s="2">
        <v>3760</v>
      </c>
      <c r="I134" s="2">
        <v>5</v>
      </c>
      <c r="J134" s="2">
        <v>42864</v>
      </c>
      <c r="K134" s="2" t="s">
        <v>19</v>
      </c>
      <c r="L134" s="2" t="s">
        <v>249</v>
      </c>
      <c r="M134" s="2" t="s">
        <v>107</v>
      </c>
    </row>
    <row r="135" spans="1:13" x14ac:dyDescent="0.25">
      <c r="A135" s="2" t="s">
        <v>463</v>
      </c>
      <c r="B135" s="2" t="s">
        <v>464</v>
      </c>
      <c r="C135" s="2" t="s">
        <v>238</v>
      </c>
      <c r="D135" s="2" t="s">
        <v>51</v>
      </c>
      <c r="E135" s="2" t="s">
        <v>284</v>
      </c>
      <c r="F135" s="2" t="s">
        <v>209</v>
      </c>
      <c r="G135" s="2">
        <v>9</v>
      </c>
      <c r="H135" s="2">
        <v>28350</v>
      </c>
      <c r="I135" s="2">
        <v>15</v>
      </c>
      <c r="J135" s="2">
        <v>216877.5</v>
      </c>
      <c r="K135" s="2" t="s">
        <v>120</v>
      </c>
      <c r="L135" s="2" t="s">
        <v>68</v>
      </c>
      <c r="M135" s="2" t="s">
        <v>29</v>
      </c>
    </row>
    <row r="136" spans="1:13" x14ac:dyDescent="0.25">
      <c r="A136" s="2" t="s">
        <v>465</v>
      </c>
      <c r="B136" s="2" t="s">
        <v>466</v>
      </c>
      <c r="C136" s="2" t="s">
        <v>107</v>
      </c>
      <c r="D136" s="2" t="s">
        <v>16</v>
      </c>
      <c r="E136" s="2" t="s">
        <v>148</v>
      </c>
      <c r="F136" s="2" t="s">
        <v>252</v>
      </c>
      <c r="G136" s="2">
        <v>1</v>
      </c>
      <c r="H136" s="2">
        <v>8430</v>
      </c>
      <c r="I136" s="2">
        <v>0</v>
      </c>
      <c r="J136" s="2">
        <v>8430</v>
      </c>
      <c r="K136" s="2" t="s">
        <v>157</v>
      </c>
      <c r="L136" s="2" t="s">
        <v>406</v>
      </c>
      <c r="M136" s="2" t="s">
        <v>38</v>
      </c>
    </row>
    <row r="137" spans="1:13" x14ac:dyDescent="0.25">
      <c r="A137" s="2" t="s">
        <v>467</v>
      </c>
      <c r="B137" s="2" t="s">
        <v>468</v>
      </c>
      <c r="C137" s="2" t="s">
        <v>469</v>
      </c>
      <c r="D137" s="2" t="s">
        <v>51</v>
      </c>
      <c r="E137" s="2" t="s">
        <v>59</v>
      </c>
      <c r="F137" s="2" t="s">
        <v>167</v>
      </c>
      <c r="G137" s="2">
        <v>4</v>
      </c>
      <c r="H137" s="2">
        <v>1230</v>
      </c>
      <c r="I137" s="2">
        <v>0</v>
      </c>
      <c r="J137" s="2">
        <v>4920</v>
      </c>
      <c r="K137" s="2" t="s">
        <v>72</v>
      </c>
      <c r="L137" s="2" t="s">
        <v>266</v>
      </c>
      <c r="M137" s="2" t="s">
        <v>253</v>
      </c>
    </row>
    <row r="138" spans="1:13" x14ac:dyDescent="0.25">
      <c r="A138" s="2" t="s">
        <v>470</v>
      </c>
      <c r="B138" s="2" t="s">
        <v>471</v>
      </c>
      <c r="C138" s="2" t="s">
        <v>472</v>
      </c>
      <c r="D138" s="2" t="s">
        <v>16</v>
      </c>
      <c r="E138" s="2" t="s">
        <v>65</v>
      </c>
      <c r="F138" s="2" t="s">
        <v>219</v>
      </c>
      <c r="G138" s="2">
        <v>1</v>
      </c>
      <c r="H138" s="2">
        <v>19020</v>
      </c>
      <c r="I138" s="2">
        <v>5</v>
      </c>
      <c r="J138" s="2">
        <v>18069</v>
      </c>
      <c r="K138" s="2" t="s">
        <v>205</v>
      </c>
      <c r="L138" s="2" t="s">
        <v>473</v>
      </c>
      <c r="M138" s="2" t="s">
        <v>29</v>
      </c>
    </row>
    <row r="139" spans="1:13" x14ac:dyDescent="0.25">
      <c r="A139" s="2" t="s">
        <v>474</v>
      </c>
      <c r="B139" s="2" t="s">
        <v>475</v>
      </c>
      <c r="C139" s="2" t="s">
        <v>76</v>
      </c>
      <c r="D139" s="2" t="s">
        <v>33</v>
      </c>
      <c r="E139" s="2" t="s">
        <v>17</v>
      </c>
      <c r="F139" s="2" t="s">
        <v>164</v>
      </c>
      <c r="G139" s="2">
        <v>3</v>
      </c>
      <c r="H139" s="2">
        <v>9680</v>
      </c>
      <c r="I139" s="2">
        <v>0</v>
      </c>
      <c r="J139" s="2">
        <v>29040</v>
      </c>
      <c r="K139" s="2" t="s">
        <v>36</v>
      </c>
      <c r="L139" s="2" t="s">
        <v>266</v>
      </c>
      <c r="M139" s="2" t="s">
        <v>29</v>
      </c>
    </row>
    <row r="140" spans="1:13" x14ac:dyDescent="0.25">
      <c r="A140" s="2" t="s">
        <v>476</v>
      </c>
      <c r="B140" s="2" t="s">
        <v>477</v>
      </c>
      <c r="C140" s="2" t="s">
        <v>135</v>
      </c>
      <c r="D140" s="2" t="s">
        <v>152</v>
      </c>
      <c r="E140" s="2" t="s">
        <v>77</v>
      </c>
      <c r="F140" s="2" t="s">
        <v>232</v>
      </c>
      <c r="G140" s="2">
        <v>11</v>
      </c>
      <c r="H140" s="2">
        <v>2660</v>
      </c>
      <c r="I140" s="2">
        <v>0</v>
      </c>
      <c r="J140" s="2">
        <v>29260</v>
      </c>
      <c r="K140" s="2" t="s">
        <v>127</v>
      </c>
      <c r="L140" s="2" t="s">
        <v>188</v>
      </c>
      <c r="M140" s="2" t="s">
        <v>223</v>
      </c>
    </row>
    <row r="141" spans="1:13" x14ac:dyDescent="0.25">
      <c r="A141" s="2" t="s">
        <v>478</v>
      </c>
      <c r="B141" s="2" t="s">
        <v>479</v>
      </c>
      <c r="C141" s="2" t="s">
        <v>64</v>
      </c>
      <c r="D141" s="2" t="s">
        <v>51</v>
      </c>
      <c r="E141" s="2" t="s">
        <v>82</v>
      </c>
      <c r="F141" s="2" t="s">
        <v>435</v>
      </c>
      <c r="G141" s="2">
        <v>7</v>
      </c>
      <c r="H141" s="2">
        <v>6760</v>
      </c>
      <c r="I141" s="2">
        <v>0</v>
      </c>
      <c r="J141" s="2">
        <v>47320</v>
      </c>
      <c r="K141" s="2" t="s">
        <v>127</v>
      </c>
      <c r="L141" s="2"/>
      <c r="M141" s="2" t="s">
        <v>352</v>
      </c>
    </row>
    <row r="142" spans="1:13" x14ac:dyDescent="0.25">
      <c r="A142" s="2" t="s">
        <v>480</v>
      </c>
      <c r="B142" s="2" t="s">
        <v>481</v>
      </c>
      <c r="C142" s="2" t="s">
        <v>227</v>
      </c>
      <c r="D142" s="2" t="s">
        <v>33</v>
      </c>
      <c r="E142" s="2" t="s">
        <v>34</v>
      </c>
      <c r="F142" s="2" t="s">
        <v>171</v>
      </c>
      <c r="G142" s="2" t="s">
        <v>138</v>
      </c>
      <c r="H142" s="2">
        <v>8490</v>
      </c>
      <c r="I142" s="2">
        <v>0</v>
      </c>
      <c r="J142" s="2">
        <v>8490</v>
      </c>
      <c r="K142" s="2" t="s">
        <v>120</v>
      </c>
      <c r="L142" s="2" t="s">
        <v>387</v>
      </c>
      <c r="M142" s="2" t="s">
        <v>21</v>
      </c>
    </row>
    <row r="143" spans="1:13" x14ac:dyDescent="0.25">
      <c r="A143" s="2" t="s">
        <v>482</v>
      </c>
      <c r="B143" s="2" t="s">
        <v>483</v>
      </c>
      <c r="C143" s="2" t="s">
        <v>135</v>
      </c>
      <c r="D143" s="2" t="s">
        <v>58</v>
      </c>
      <c r="E143" s="2" t="s">
        <v>195</v>
      </c>
      <c r="F143" s="2" t="s">
        <v>290</v>
      </c>
      <c r="G143" s="2">
        <v>9</v>
      </c>
      <c r="H143" s="2">
        <v>8420</v>
      </c>
      <c r="I143" s="2">
        <v>15</v>
      </c>
      <c r="J143" s="2">
        <v>64413</v>
      </c>
      <c r="K143" s="2" t="s">
        <v>144</v>
      </c>
      <c r="L143" s="2" t="s">
        <v>37</v>
      </c>
      <c r="M143" s="2" t="s">
        <v>21</v>
      </c>
    </row>
    <row r="144" spans="1:13" x14ac:dyDescent="0.25">
      <c r="A144" s="2" t="s">
        <v>484</v>
      </c>
      <c r="B144" s="2" t="s">
        <v>485</v>
      </c>
      <c r="C144" s="2" t="s">
        <v>110</v>
      </c>
      <c r="D144" s="2" t="s">
        <v>33</v>
      </c>
      <c r="E144" s="2" t="s">
        <v>59</v>
      </c>
      <c r="F144" s="2" t="s">
        <v>60</v>
      </c>
      <c r="G144" s="2">
        <v>6</v>
      </c>
      <c r="H144" s="2">
        <v>1320</v>
      </c>
      <c r="I144" s="2">
        <v>5</v>
      </c>
      <c r="J144" s="2">
        <v>7524</v>
      </c>
      <c r="K144" s="2" t="s">
        <v>94</v>
      </c>
      <c r="L144" s="2" t="s">
        <v>473</v>
      </c>
      <c r="M144" s="2" t="s">
        <v>152</v>
      </c>
    </row>
    <row r="145" spans="1:13" x14ac:dyDescent="0.25">
      <c r="A145" s="2" t="s">
        <v>486</v>
      </c>
      <c r="B145" s="2" t="s">
        <v>487</v>
      </c>
      <c r="C145" s="2" t="s">
        <v>32</v>
      </c>
      <c r="D145" s="2" t="s">
        <v>33</v>
      </c>
      <c r="E145" s="2" t="s">
        <v>284</v>
      </c>
      <c r="F145" s="2" t="s">
        <v>60</v>
      </c>
      <c r="G145" s="2">
        <v>6</v>
      </c>
      <c r="H145" s="2">
        <v>10840</v>
      </c>
      <c r="I145" s="2">
        <v>10</v>
      </c>
      <c r="J145" s="2">
        <v>58536</v>
      </c>
      <c r="K145" s="2" t="s">
        <v>94</v>
      </c>
      <c r="L145" s="2" t="s">
        <v>61</v>
      </c>
      <c r="M145" s="2" t="s">
        <v>96</v>
      </c>
    </row>
    <row r="146" spans="1:13" x14ac:dyDescent="0.25">
      <c r="A146" s="2" t="s">
        <v>488</v>
      </c>
      <c r="B146" s="2" t="s">
        <v>489</v>
      </c>
      <c r="C146" s="2" t="s">
        <v>490</v>
      </c>
      <c r="D146" s="2" t="s">
        <v>33</v>
      </c>
      <c r="E146" s="2" t="s">
        <v>105</v>
      </c>
      <c r="F146" s="2" t="s">
        <v>93</v>
      </c>
      <c r="G146" s="2" t="s">
        <v>223</v>
      </c>
      <c r="H146" s="2">
        <v>2660</v>
      </c>
      <c r="I146" s="2">
        <v>0</v>
      </c>
      <c r="J146" s="2">
        <v>29260</v>
      </c>
      <c r="K146" s="2" t="s">
        <v>127</v>
      </c>
      <c r="L146" s="2" t="s">
        <v>491</v>
      </c>
      <c r="M146" s="2" t="s">
        <v>21</v>
      </c>
    </row>
    <row r="147" spans="1:13" x14ac:dyDescent="0.25">
      <c r="A147" s="2" t="s">
        <v>492</v>
      </c>
      <c r="B147" s="2" t="s">
        <v>493</v>
      </c>
      <c r="C147" s="2" t="s">
        <v>110</v>
      </c>
      <c r="D147" s="2" t="s">
        <v>136</v>
      </c>
      <c r="E147" s="2" t="s">
        <v>111</v>
      </c>
      <c r="F147" s="2" t="s">
        <v>224</v>
      </c>
      <c r="G147" s="2">
        <v>1</v>
      </c>
      <c r="H147" s="2">
        <v>16710</v>
      </c>
      <c r="I147" s="2">
        <v>10</v>
      </c>
      <c r="J147" s="2">
        <v>15039</v>
      </c>
      <c r="K147" s="2" t="s">
        <v>120</v>
      </c>
      <c r="L147" s="2" t="s">
        <v>440</v>
      </c>
      <c r="M147" s="2" t="s">
        <v>47</v>
      </c>
    </row>
    <row r="148" spans="1:13" x14ac:dyDescent="0.25">
      <c r="A148" s="2" t="s">
        <v>494</v>
      </c>
      <c r="B148" s="2" t="s">
        <v>495</v>
      </c>
      <c r="C148" s="2" t="s">
        <v>135</v>
      </c>
      <c r="D148" s="2" t="s">
        <v>58</v>
      </c>
      <c r="E148" s="2" t="s">
        <v>59</v>
      </c>
      <c r="F148" s="2" t="s">
        <v>379</v>
      </c>
      <c r="G148" s="2">
        <v>8</v>
      </c>
      <c r="H148" s="2">
        <v>13350</v>
      </c>
      <c r="I148" s="2">
        <v>0</v>
      </c>
      <c r="J148" s="2">
        <v>106800</v>
      </c>
      <c r="K148" s="2" t="s">
        <v>72</v>
      </c>
      <c r="L148" s="2" t="s">
        <v>188</v>
      </c>
      <c r="M148" s="2" t="s">
        <v>291</v>
      </c>
    </row>
    <row r="149" spans="1:13" x14ac:dyDescent="0.25">
      <c r="A149" s="2" t="s">
        <v>496</v>
      </c>
      <c r="B149" s="2" t="s">
        <v>81</v>
      </c>
      <c r="C149" s="2" t="s">
        <v>50</v>
      </c>
      <c r="D149" s="2" t="s">
        <v>51</v>
      </c>
      <c r="E149" s="2" t="s">
        <v>231</v>
      </c>
      <c r="F149" s="2" t="s">
        <v>184</v>
      </c>
      <c r="G149" s="2">
        <v>4</v>
      </c>
      <c r="H149" s="2">
        <v>8110</v>
      </c>
      <c r="I149" s="2">
        <v>10</v>
      </c>
      <c r="J149" s="2">
        <v>29196</v>
      </c>
      <c r="K149" s="2" t="s">
        <v>67</v>
      </c>
      <c r="L149" s="2" t="s">
        <v>274</v>
      </c>
      <c r="M149" s="2" t="s">
        <v>47</v>
      </c>
    </row>
    <row r="150" spans="1:13" x14ac:dyDescent="0.25">
      <c r="A150" s="2" t="s">
        <v>497</v>
      </c>
      <c r="B150" s="2" t="s">
        <v>498</v>
      </c>
      <c r="C150" s="2" t="s">
        <v>15</v>
      </c>
      <c r="D150" s="2" t="s">
        <v>16</v>
      </c>
      <c r="E150" s="2" t="s">
        <v>131</v>
      </c>
      <c r="F150" s="2" t="s">
        <v>132</v>
      </c>
      <c r="G150" s="2">
        <v>10</v>
      </c>
      <c r="H150" s="2">
        <v>26160</v>
      </c>
      <c r="I150" s="2">
        <v>15</v>
      </c>
      <c r="J150" s="2">
        <v>222360</v>
      </c>
      <c r="K150" s="2" t="s">
        <v>144</v>
      </c>
      <c r="L150" s="2" t="s">
        <v>28</v>
      </c>
      <c r="M150" s="2" t="s">
        <v>140</v>
      </c>
    </row>
    <row r="151" spans="1:13" x14ac:dyDescent="0.25">
      <c r="A151" s="2" t="s">
        <v>499</v>
      </c>
      <c r="B151" s="2" t="s">
        <v>500</v>
      </c>
      <c r="C151" s="2" t="s">
        <v>449</v>
      </c>
      <c r="D151" s="2" t="s">
        <v>42</v>
      </c>
      <c r="E151" s="2" t="s">
        <v>34</v>
      </c>
      <c r="F151" s="2" t="s">
        <v>71</v>
      </c>
      <c r="G151" s="2">
        <v>8</v>
      </c>
      <c r="H151" s="2">
        <v>7710</v>
      </c>
      <c r="I151" s="2">
        <v>0</v>
      </c>
      <c r="J151" s="2">
        <v>61680</v>
      </c>
      <c r="K151" s="2" t="s">
        <v>19</v>
      </c>
      <c r="L151" s="2" t="s">
        <v>68</v>
      </c>
      <c r="M151" s="2" t="s">
        <v>501</v>
      </c>
    </row>
    <row r="152" spans="1:13" x14ac:dyDescent="0.25">
      <c r="A152" s="2" t="s">
        <v>502</v>
      </c>
      <c r="B152" s="2" t="s">
        <v>503</v>
      </c>
      <c r="C152" s="2" t="s">
        <v>32</v>
      </c>
      <c r="D152" s="2" t="s">
        <v>33</v>
      </c>
      <c r="E152" s="2" t="s">
        <v>504</v>
      </c>
      <c r="F152" s="2" t="s">
        <v>209</v>
      </c>
      <c r="G152" s="2">
        <v>8</v>
      </c>
      <c r="H152" s="2">
        <v>1120</v>
      </c>
      <c r="I152" s="2">
        <v>10</v>
      </c>
      <c r="J152" s="2">
        <v>8064</v>
      </c>
      <c r="K152" s="2" t="s">
        <v>139</v>
      </c>
      <c r="L152" s="2" t="s">
        <v>491</v>
      </c>
      <c r="M152" s="2" t="s">
        <v>47</v>
      </c>
    </row>
    <row r="153" spans="1:13" x14ac:dyDescent="0.25">
      <c r="A153" s="2" t="s">
        <v>505</v>
      </c>
      <c r="B153" s="2" t="s">
        <v>506</v>
      </c>
      <c r="C153" s="2" t="s">
        <v>118</v>
      </c>
      <c r="D153" s="2" t="s">
        <v>51</v>
      </c>
      <c r="E153" s="2" t="s">
        <v>322</v>
      </c>
      <c r="F153" s="2" t="s">
        <v>232</v>
      </c>
      <c r="G153" s="2">
        <v>1</v>
      </c>
      <c r="H153" s="2">
        <v>16220</v>
      </c>
      <c r="I153" s="2">
        <v>15</v>
      </c>
      <c r="J153" s="2">
        <v>13787</v>
      </c>
      <c r="K153" s="2" t="s">
        <v>133</v>
      </c>
      <c r="L153" s="2" t="s">
        <v>138</v>
      </c>
      <c r="M153" s="2" t="s">
        <v>47</v>
      </c>
    </row>
    <row r="154" spans="1:13" x14ac:dyDescent="0.25">
      <c r="A154" s="2" t="s">
        <v>507</v>
      </c>
      <c r="B154" s="2" t="s">
        <v>508</v>
      </c>
      <c r="C154" s="2" t="s">
        <v>135</v>
      </c>
      <c r="D154" s="2" t="s">
        <v>58</v>
      </c>
      <c r="E154" s="2" t="s">
        <v>111</v>
      </c>
      <c r="F154" s="2" t="s">
        <v>143</v>
      </c>
      <c r="G154" s="2">
        <v>9</v>
      </c>
      <c r="H154" s="2">
        <v>7370</v>
      </c>
      <c r="I154" s="2">
        <v>0</v>
      </c>
      <c r="J154" s="2">
        <v>66330</v>
      </c>
      <c r="K154" s="2" t="s">
        <v>144</v>
      </c>
      <c r="L154" s="2" t="s">
        <v>54</v>
      </c>
      <c r="M154" s="2" t="s">
        <v>38</v>
      </c>
    </row>
    <row r="155" spans="1:13" x14ac:dyDescent="0.25">
      <c r="A155" s="2" t="s">
        <v>509</v>
      </c>
      <c r="B155" s="2" t="s">
        <v>510</v>
      </c>
      <c r="C155" s="2" t="s">
        <v>41</v>
      </c>
      <c r="D155" s="2" t="s">
        <v>42</v>
      </c>
      <c r="E155" s="2" t="s">
        <v>17</v>
      </c>
      <c r="F155" s="2" t="s">
        <v>18</v>
      </c>
      <c r="G155" s="2">
        <v>1</v>
      </c>
      <c r="H155" s="2" t="s">
        <v>136</v>
      </c>
      <c r="I155" s="2">
        <v>15</v>
      </c>
      <c r="J155" s="2">
        <v>16949</v>
      </c>
      <c r="K155" s="2" t="s">
        <v>94</v>
      </c>
      <c r="L155" s="2" t="s">
        <v>440</v>
      </c>
      <c r="M155" s="2" t="s">
        <v>128</v>
      </c>
    </row>
    <row r="156" spans="1:13" x14ac:dyDescent="0.25">
      <c r="A156" s="2" t="s">
        <v>511</v>
      </c>
      <c r="B156" s="2" t="s">
        <v>56</v>
      </c>
      <c r="C156" s="2" t="s">
        <v>472</v>
      </c>
      <c r="D156" s="2" t="s">
        <v>16</v>
      </c>
      <c r="E156" s="2" t="s">
        <v>65</v>
      </c>
      <c r="F156" s="2" t="s">
        <v>101</v>
      </c>
      <c r="G156" s="2">
        <v>6</v>
      </c>
      <c r="H156" s="2">
        <v>3240</v>
      </c>
      <c r="I156" s="2">
        <v>10</v>
      </c>
      <c r="J156" s="2">
        <v>17496</v>
      </c>
      <c r="K156" s="2" t="s">
        <v>53</v>
      </c>
      <c r="L156" s="2" t="s">
        <v>79</v>
      </c>
      <c r="M156" s="2" t="s">
        <v>140</v>
      </c>
    </row>
    <row r="157" spans="1:13" x14ac:dyDescent="0.25">
      <c r="A157" s="2" t="s">
        <v>512</v>
      </c>
      <c r="B157" s="2" t="s">
        <v>513</v>
      </c>
      <c r="C157" s="2" t="s">
        <v>91</v>
      </c>
      <c r="D157" s="2" t="s">
        <v>51</v>
      </c>
      <c r="E157" s="2" t="s">
        <v>111</v>
      </c>
      <c r="F157" s="2" t="s">
        <v>239</v>
      </c>
      <c r="G157" s="2">
        <v>7</v>
      </c>
      <c r="H157" s="2">
        <v>47440</v>
      </c>
      <c r="I157" s="2">
        <v>0</v>
      </c>
      <c r="J157" s="2">
        <v>332080</v>
      </c>
      <c r="K157" s="2" t="s">
        <v>133</v>
      </c>
      <c r="L157" s="2" t="s">
        <v>168</v>
      </c>
      <c r="M157" s="2" t="s">
        <v>47</v>
      </c>
    </row>
    <row r="158" spans="1:13" x14ac:dyDescent="0.25">
      <c r="A158" s="2" t="s">
        <v>514</v>
      </c>
      <c r="B158" s="2" t="s">
        <v>515</v>
      </c>
      <c r="C158" s="2" t="s">
        <v>91</v>
      </c>
      <c r="D158" s="2" t="s">
        <v>51</v>
      </c>
      <c r="E158" s="2" t="s">
        <v>284</v>
      </c>
      <c r="F158" s="2" t="s">
        <v>209</v>
      </c>
      <c r="G158" s="2">
        <v>9</v>
      </c>
      <c r="H158" s="2">
        <v>2520</v>
      </c>
      <c r="I158" s="2">
        <v>0</v>
      </c>
      <c r="J158" s="2">
        <v>22680</v>
      </c>
      <c r="K158" s="2" t="s">
        <v>87</v>
      </c>
      <c r="L158" s="2" t="s">
        <v>121</v>
      </c>
      <c r="M158" s="2" t="s">
        <v>21</v>
      </c>
    </row>
    <row r="159" spans="1:13" x14ac:dyDescent="0.25">
      <c r="A159" s="2" t="s">
        <v>516</v>
      </c>
      <c r="B159" s="2" t="s">
        <v>517</v>
      </c>
      <c r="C159" s="2" t="s">
        <v>156</v>
      </c>
      <c r="D159" s="2" t="s">
        <v>51</v>
      </c>
      <c r="E159" s="2" t="s">
        <v>82</v>
      </c>
      <c r="F159" s="2" t="s">
        <v>379</v>
      </c>
      <c r="G159" s="2">
        <v>2</v>
      </c>
      <c r="H159" s="2">
        <v>13420</v>
      </c>
      <c r="I159" s="2">
        <v>5</v>
      </c>
      <c r="J159" s="2">
        <v>25498</v>
      </c>
      <c r="K159" s="2" t="s">
        <v>157</v>
      </c>
      <c r="L159" s="2" t="s">
        <v>68</v>
      </c>
      <c r="M159" s="2" t="s">
        <v>47</v>
      </c>
    </row>
    <row r="160" spans="1:13" x14ac:dyDescent="0.25">
      <c r="A160" s="2" t="s">
        <v>518</v>
      </c>
      <c r="B160" s="2" t="s">
        <v>519</v>
      </c>
      <c r="C160" s="2"/>
      <c r="D160" s="2" t="s">
        <v>51</v>
      </c>
      <c r="E160" s="2" t="s">
        <v>295</v>
      </c>
      <c r="F160" s="2" t="s">
        <v>66</v>
      </c>
      <c r="G160" s="2">
        <v>-3</v>
      </c>
      <c r="H160" s="2">
        <v>470</v>
      </c>
      <c r="I160" s="2">
        <v>0</v>
      </c>
      <c r="J160" s="2" t="s">
        <v>107</v>
      </c>
      <c r="K160" s="2" t="s">
        <v>45</v>
      </c>
      <c r="L160" s="2" t="s">
        <v>88</v>
      </c>
      <c r="M160" s="2" t="s">
        <v>21</v>
      </c>
    </row>
    <row r="161" spans="1:13" x14ac:dyDescent="0.25">
      <c r="A161" s="2" t="s">
        <v>520</v>
      </c>
      <c r="B161" s="2" t="s">
        <v>521</v>
      </c>
      <c r="C161" s="2" t="s">
        <v>238</v>
      </c>
      <c r="D161" s="2" t="s">
        <v>51</v>
      </c>
      <c r="E161" s="2" t="s">
        <v>34</v>
      </c>
      <c r="F161" s="2" t="s">
        <v>18</v>
      </c>
      <c r="G161" s="2">
        <v>1</v>
      </c>
      <c r="H161" s="2">
        <v>42070</v>
      </c>
      <c r="I161" s="2">
        <v>0</v>
      </c>
      <c r="J161" s="2">
        <v>42070</v>
      </c>
      <c r="K161" s="2" t="s">
        <v>139</v>
      </c>
      <c r="L161" s="2" t="s">
        <v>344</v>
      </c>
      <c r="M161" s="2" t="s">
        <v>47</v>
      </c>
    </row>
    <row r="162" spans="1:13" x14ac:dyDescent="0.25">
      <c r="A162" s="2" t="s">
        <v>522</v>
      </c>
      <c r="B162" s="2" t="s">
        <v>523</v>
      </c>
      <c r="C162" s="2" t="s">
        <v>213</v>
      </c>
      <c r="D162" s="2" t="s">
        <v>58</v>
      </c>
      <c r="E162" s="2" t="s">
        <v>25</v>
      </c>
      <c r="F162" s="2" t="s">
        <v>248</v>
      </c>
      <c r="G162" s="2">
        <v>11</v>
      </c>
      <c r="H162" s="2">
        <v>60090</v>
      </c>
      <c r="I162" s="2">
        <v>10</v>
      </c>
      <c r="J162" s="2">
        <v>594891</v>
      </c>
      <c r="K162" s="2" t="s">
        <v>72</v>
      </c>
      <c r="L162" s="2" t="s">
        <v>524</v>
      </c>
      <c r="M162" s="2" t="s">
        <v>21</v>
      </c>
    </row>
    <row r="163" spans="1:13" x14ac:dyDescent="0.25">
      <c r="A163" s="2" t="s">
        <v>525</v>
      </c>
      <c r="B163" s="2" t="s">
        <v>526</v>
      </c>
      <c r="C163" s="2" t="s">
        <v>194</v>
      </c>
      <c r="D163" s="2" t="s">
        <v>51</v>
      </c>
      <c r="E163" s="2" t="s">
        <v>105</v>
      </c>
      <c r="F163" s="2" t="s">
        <v>106</v>
      </c>
      <c r="G163" s="2">
        <v>8</v>
      </c>
      <c r="H163" s="2">
        <v>26620</v>
      </c>
      <c r="I163" s="2">
        <v>0</v>
      </c>
      <c r="J163" s="2">
        <v>212960</v>
      </c>
      <c r="K163" s="2" t="s">
        <v>205</v>
      </c>
      <c r="L163" s="2" t="s">
        <v>46</v>
      </c>
      <c r="M163" s="2" t="s">
        <v>29</v>
      </c>
    </row>
    <row r="164" spans="1:13" x14ac:dyDescent="0.25">
      <c r="A164" s="2" t="s">
        <v>527</v>
      </c>
      <c r="B164" s="2" t="s">
        <v>528</v>
      </c>
      <c r="C164" s="2" t="s">
        <v>32</v>
      </c>
      <c r="D164" s="2" t="s">
        <v>33</v>
      </c>
      <c r="E164" s="2" t="s">
        <v>65</v>
      </c>
      <c r="F164" s="2" t="s">
        <v>219</v>
      </c>
      <c r="G164" s="2">
        <v>3</v>
      </c>
      <c r="H164" s="2">
        <v>48410</v>
      </c>
      <c r="I164" s="2">
        <v>0</v>
      </c>
      <c r="J164" s="2" t="s">
        <v>152</v>
      </c>
      <c r="K164" s="2" t="s">
        <v>205</v>
      </c>
      <c r="L164" s="2" t="s">
        <v>341</v>
      </c>
      <c r="M164" s="2" t="s">
        <v>21</v>
      </c>
    </row>
    <row r="165" spans="1:13" x14ac:dyDescent="0.25">
      <c r="A165" s="2" t="s">
        <v>529</v>
      </c>
      <c r="B165" s="2" t="s">
        <v>530</v>
      </c>
      <c r="C165" s="2" t="s">
        <v>531</v>
      </c>
      <c r="D165" s="2" t="s">
        <v>33</v>
      </c>
      <c r="E165" s="2" t="s">
        <v>52</v>
      </c>
      <c r="F165" s="2" t="s">
        <v>248</v>
      </c>
      <c r="G165" s="2">
        <v>2</v>
      </c>
      <c r="H165" s="2">
        <v>8380</v>
      </c>
      <c r="I165" s="2">
        <v>5</v>
      </c>
      <c r="J165" s="2">
        <v>15922</v>
      </c>
      <c r="K165" s="2" t="s">
        <v>144</v>
      </c>
      <c r="L165" s="2" t="s">
        <v>266</v>
      </c>
      <c r="M165" s="2" t="s">
        <v>138</v>
      </c>
    </row>
    <row r="166" spans="1:13" x14ac:dyDescent="0.25">
      <c r="A166" s="2" t="s">
        <v>532</v>
      </c>
      <c r="B166" s="2" t="s">
        <v>356</v>
      </c>
      <c r="C166" s="2" t="s">
        <v>91</v>
      </c>
      <c r="D166" s="2" t="s">
        <v>51</v>
      </c>
      <c r="E166" s="2" t="s">
        <v>107</v>
      </c>
      <c r="F166" s="2" t="s">
        <v>255</v>
      </c>
      <c r="G166" s="2">
        <v>1</v>
      </c>
      <c r="H166" s="2"/>
      <c r="I166" s="2">
        <v>5</v>
      </c>
      <c r="J166" s="2">
        <v>63574</v>
      </c>
      <c r="K166" s="2" t="s">
        <v>87</v>
      </c>
      <c r="L166" s="2" t="s">
        <v>46</v>
      </c>
      <c r="M166" s="2" t="s">
        <v>21</v>
      </c>
    </row>
    <row r="167" spans="1:13" x14ac:dyDescent="0.25">
      <c r="A167" s="2" t="s">
        <v>533</v>
      </c>
      <c r="B167" s="2" t="s">
        <v>534</v>
      </c>
      <c r="C167" s="2" t="s">
        <v>64</v>
      </c>
      <c r="D167" s="2" t="s">
        <v>51</v>
      </c>
      <c r="E167" s="2" t="s">
        <v>119</v>
      </c>
      <c r="F167" s="2" t="s">
        <v>255</v>
      </c>
      <c r="G167" s="2">
        <v>11</v>
      </c>
      <c r="H167" s="2">
        <v>13200</v>
      </c>
      <c r="I167" s="2">
        <v>0</v>
      </c>
      <c r="J167" s="2">
        <v>145200</v>
      </c>
      <c r="K167" s="2" t="s">
        <v>67</v>
      </c>
      <c r="L167" s="2" t="s">
        <v>37</v>
      </c>
      <c r="M167" s="2" t="s">
        <v>47</v>
      </c>
    </row>
    <row r="168" spans="1:13" x14ac:dyDescent="0.25">
      <c r="A168" s="2" t="s">
        <v>535</v>
      </c>
      <c r="B168" s="2" t="s">
        <v>536</v>
      </c>
      <c r="C168" s="2" t="s">
        <v>218</v>
      </c>
      <c r="D168" s="2" t="s">
        <v>33</v>
      </c>
      <c r="E168" s="2" t="s">
        <v>137</v>
      </c>
      <c r="F168" s="2" t="s">
        <v>290</v>
      </c>
      <c r="G168" s="2">
        <v>12</v>
      </c>
      <c r="H168" s="2">
        <v>4530</v>
      </c>
      <c r="I168" s="2">
        <v>5</v>
      </c>
      <c r="J168" s="2">
        <v>51642</v>
      </c>
      <c r="K168" s="2" t="s">
        <v>36</v>
      </c>
      <c r="L168" s="2" t="s">
        <v>20</v>
      </c>
      <c r="M168" s="2" t="s">
        <v>96</v>
      </c>
    </row>
    <row r="169" spans="1:13" x14ac:dyDescent="0.25">
      <c r="A169" s="2" t="s">
        <v>537</v>
      </c>
      <c r="B169" s="2" t="s">
        <v>538</v>
      </c>
      <c r="C169" s="2" t="s">
        <v>64</v>
      </c>
      <c r="D169" s="2" t="s">
        <v>51</v>
      </c>
      <c r="E169" s="2" t="s">
        <v>119</v>
      </c>
      <c r="F169" s="2" t="s">
        <v>255</v>
      </c>
      <c r="G169" s="2">
        <v>11</v>
      </c>
      <c r="H169" s="2">
        <v>50090</v>
      </c>
      <c r="I169" s="2">
        <v>15</v>
      </c>
      <c r="J169" s="2">
        <v>468341.5</v>
      </c>
      <c r="K169" s="2" t="s">
        <v>157</v>
      </c>
      <c r="L169" s="2" t="s">
        <v>344</v>
      </c>
      <c r="M169" s="2" t="s">
        <v>47</v>
      </c>
    </row>
    <row r="170" spans="1:13" x14ac:dyDescent="0.25">
      <c r="A170" s="2" t="s">
        <v>539</v>
      </c>
      <c r="B170" s="2" t="s">
        <v>540</v>
      </c>
      <c r="C170" s="2" t="s">
        <v>41</v>
      </c>
      <c r="D170" s="2" t="s">
        <v>42</v>
      </c>
      <c r="E170" s="2" t="s">
        <v>77</v>
      </c>
      <c r="F170" s="2" t="s">
        <v>184</v>
      </c>
      <c r="G170" s="2">
        <v>5</v>
      </c>
      <c r="H170" s="2">
        <v>8510</v>
      </c>
      <c r="I170" s="2">
        <v>0</v>
      </c>
      <c r="J170" s="2">
        <v>42550</v>
      </c>
      <c r="K170" s="2" t="s">
        <v>94</v>
      </c>
      <c r="L170" s="2" t="s">
        <v>95</v>
      </c>
      <c r="M170" s="2" t="s">
        <v>29</v>
      </c>
    </row>
    <row r="171" spans="1:13" x14ac:dyDescent="0.25">
      <c r="A171" s="2" t="s">
        <v>541</v>
      </c>
      <c r="B171" s="2" t="s">
        <v>542</v>
      </c>
      <c r="C171" s="2" t="s">
        <v>64</v>
      </c>
      <c r="D171" s="2" t="s">
        <v>51</v>
      </c>
      <c r="E171" s="2" t="s">
        <v>111</v>
      </c>
      <c r="F171" s="2" t="s">
        <v>543</v>
      </c>
      <c r="G171" s="2">
        <v>9</v>
      </c>
      <c r="H171" s="2">
        <v>1170</v>
      </c>
      <c r="I171" s="2">
        <v>0</v>
      </c>
      <c r="J171" s="2">
        <v>10530</v>
      </c>
      <c r="K171" s="2" t="s">
        <v>36</v>
      </c>
      <c r="L171" s="2" t="s">
        <v>344</v>
      </c>
      <c r="M171" s="2" t="s">
        <v>29</v>
      </c>
    </row>
    <row r="172" spans="1:13" x14ac:dyDescent="0.25">
      <c r="A172" s="2" t="s">
        <v>544</v>
      </c>
      <c r="B172" s="2" t="s">
        <v>545</v>
      </c>
      <c r="C172" s="2" t="s">
        <v>24</v>
      </c>
      <c r="D172" s="2" t="s">
        <v>16</v>
      </c>
      <c r="E172" s="2" t="s">
        <v>125</v>
      </c>
      <c r="F172" s="2" t="s">
        <v>132</v>
      </c>
      <c r="G172" s="2">
        <v>11</v>
      </c>
      <c r="H172" s="2">
        <v>490</v>
      </c>
      <c r="I172" s="2">
        <v>0</v>
      </c>
      <c r="J172" s="2">
        <v>5390</v>
      </c>
      <c r="K172" s="2" t="s">
        <v>133</v>
      </c>
      <c r="L172" s="2" t="s">
        <v>176</v>
      </c>
      <c r="M172" s="2" t="s">
        <v>21</v>
      </c>
    </row>
    <row r="173" spans="1:13" x14ac:dyDescent="0.25">
      <c r="A173" s="2" t="s">
        <v>546</v>
      </c>
      <c r="B173" s="2" t="s">
        <v>547</v>
      </c>
      <c r="C173" s="2" t="s">
        <v>449</v>
      </c>
      <c r="D173" s="2" t="s">
        <v>42</v>
      </c>
      <c r="E173" s="2" t="s">
        <v>100</v>
      </c>
      <c r="F173" s="2" t="s">
        <v>126</v>
      </c>
      <c r="G173" s="2">
        <v>12</v>
      </c>
      <c r="H173" s="2">
        <v>67900</v>
      </c>
      <c r="I173" s="2">
        <v>10</v>
      </c>
      <c r="J173" s="2">
        <v>733320</v>
      </c>
      <c r="K173" s="2" t="s">
        <v>144</v>
      </c>
      <c r="L173" s="2" t="s">
        <v>168</v>
      </c>
      <c r="M173" s="2" t="s">
        <v>38</v>
      </c>
    </row>
    <row r="174" spans="1:13" x14ac:dyDescent="0.25">
      <c r="A174" s="2" t="s">
        <v>548</v>
      </c>
      <c r="B174" s="2" t="s">
        <v>549</v>
      </c>
      <c r="C174" s="2" t="s">
        <v>194</v>
      </c>
      <c r="D174" s="2" t="s">
        <v>51</v>
      </c>
      <c r="E174" s="2" t="s">
        <v>17</v>
      </c>
      <c r="F174" s="2" t="s">
        <v>374</v>
      </c>
      <c r="G174" s="2">
        <v>1</v>
      </c>
      <c r="H174" s="2">
        <v>46020</v>
      </c>
      <c r="I174" s="2">
        <v>0</v>
      </c>
      <c r="J174" s="2">
        <v>46020</v>
      </c>
      <c r="K174" s="2" t="s">
        <v>102</v>
      </c>
      <c r="L174" s="2" t="s">
        <v>88</v>
      </c>
      <c r="M174" s="2"/>
    </row>
    <row r="175" spans="1:13" x14ac:dyDescent="0.25">
      <c r="A175" s="2" t="s">
        <v>550</v>
      </c>
      <c r="B175" s="2" t="s">
        <v>551</v>
      </c>
      <c r="C175" s="2" t="s">
        <v>162</v>
      </c>
      <c r="D175" s="2" t="s">
        <v>33</v>
      </c>
      <c r="E175" s="2" t="s">
        <v>100</v>
      </c>
      <c r="F175" s="2" t="s">
        <v>101</v>
      </c>
      <c r="G175" s="2">
        <v>3</v>
      </c>
      <c r="H175" s="2">
        <v>5570</v>
      </c>
      <c r="I175" s="2">
        <v>0</v>
      </c>
      <c r="J175" s="2">
        <v>16710</v>
      </c>
      <c r="K175" s="2" t="s">
        <v>157</v>
      </c>
      <c r="L175" s="2" t="s">
        <v>428</v>
      </c>
      <c r="M175" s="2" t="s">
        <v>21</v>
      </c>
    </row>
    <row r="176" spans="1:13" x14ac:dyDescent="0.25">
      <c r="A176" s="2" t="s">
        <v>552</v>
      </c>
      <c r="B176" s="2" t="s">
        <v>553</v>
      </c>
      <c r="C176" s="2" t="s">
        <v>490</v>
      </c>
      <c r="D176" s="2" t="s">
        <v>33</v>
      </c>
      <c r="E176" s="2" t="s">
        <v>111</v>
      </c>
      <c r="F176" s="2" t="s">
        <v>232</v>
      </c>
      <c r="G176" s="2">
        <v>3</v>
      </c>
      <c r="H176" s="2">
        <v>11880</v>
      </c>
      <c r="I176" s="2">
        <v>0</v>
      </c>
      <c r="J176" s="2">
        <v>35640</v>
      </c>
      <c r="K176" s="2" t="s">
        <v>67</v>
      </c>
      <c r="L176" s="2" t="s">
        <v>554</v>
      </c>
      <c r="M176" s="2" t="s">
        <v>38</v>
      </c>
    </row>
    <row r="177" spans="1:13" x14ac:dyDescent="0.25">
      <c r="A177" s="2" t="s">
        <v>555</v>
      </c>
      <c r="B177" s="2" t="s">
        <v>556</v>
      </c>
      <c r="C177" s="2" t="s">
        <v>557</v>
      </c>
      <c r="D177" s="2" t="s">
        <v>16</v>
      </c>
      <c r="E177" s="2" t="s">
        <v>92</v>
      </c>
      <c r="F177" s="2" t="s">
        <v>106</v>
      </c>
      <c r="G177" s="2">
        <v>1</v>
      </c>
      <c r="H177" s="2">
        <v>8240</v>
      </c>
      <c r="I177" s="2">
        <v>15</v>
      </c>
      <c r="J177" s="2">
        <v>7004</v>
      </c>
      <c r="K177" s="2" t="s">
        <v>67</v>
      </c>
      <c r="L177" s="2" t="s">
        <v>558</v>
      </c>
      <c r="M177" s="2" t="s">
        <v>21</v>
      </c>
    </row>
    <row r="178" spans="1:13" x14ac:dyDescent="0.25">
      <c r="A178" s="2" t="s">
        <v>559</v>
      </c>
      <c r="B178" s="2" t="s">
        <v>560</v>
      </c>
      <c r="C178" s="2" t="s">
        <v>50</v>
      </c>
      <c r="D178" s="2" t="s">
        <v>51</v>
      </c>
      <c r="E178" s="2" t="s">
        <v>125</v>
      </c>
      <c r="F178" s="2" t="s">
        <v>66</v>
      </c>
      <c r="G178" s="2">
        <v>7</v>
      </c>
      <c r="H178" s="2">
        <v>3930</v>
      </c>
      <c r="I178" s="2">
        <v>0</v>
      </c>
      <c r="J178" s="2">
        <v>27510</v>
      </c>
      <c r="K178" s="2" t="s">
        <v>36</v>
      </c>
      <c r="L178" s="2" t="s">
        <v>68</v>
      </c>
      <c r="M178" s="2" t="s">
        <v>29</v>
      </c>
    </row>
    <row r="179" spans="1:13" x14ac:dyDescent="0.25">
      <c r="A179" s="2" t="s">
        <v>561</v>
      </c>
      <c r="B179" s="2" t="s">
        <v>562</v>
      </c>
      <c r="C179" s="2" t="s">
        <v>24</v>
      </c>
      <c r="D179" s="2" t="s">
        <v>16</v>
      </c>
      <c r="E179" s="2" t="s">
        <v>322</v>
      </c>
      <c r="F179" s="2" t="s">
        <v>543</v>
      </c>
      <c r="G179" s="2">
        <v>12</v>
      </c>
      <c r="H179" s="2">
        <v>7820</v>
      </c>
      <c r="I179" s="2">
        <v>15</v>
      </c>
      <c r="J179" s="2">
        <v>79764</v>
      </c>
      <c r="K179" s="2" t="s">
        <v>102</v>
      </c>
      <c r="L179" s="2" t="s">
        <v>176</v>
      </c>
      <c r="M179" s="2" t="s">
        <v>128</v>
      </c>
    </row>
    <row r="180" spans="1:13" x14ac:dyDescent="0.25">
      <c r="A180" s="2" t="s">
        <v>563</v>
      </c>
      <c r="B180" s="2" t="s">
        <v>564</v>
      </c>
      <c r="C180" s="2" t="s">
        <v>76</v>
      </c>
      <c r="D180" s="2"/>
      <c r="E180" s="2" t="s">
        <v>295</v>
      </c>
      <c r="F180" s="2" t="s">
        <v>219</v>
      </c>
      <c r="G180" s="2">
        <v>3</v>
      </c>
      <c r="H180" s="2">
        <v>5360</v>
      </c>
      <c r="I180" s="2">
        <v>5</v>
      </c>
      <c r="J180" s="2">
        <v>15276</v>
      </c>
      <c r="K180" s="2" t="s">
        <v>36</v>
      </c>
      <c r="L180" s="2" t="s">
        <v>491</v>
      </c>
      <c r="M180" s="2" t="s">
        <v>140</v>
      </c>
    </row>
    <row r="181" spans="1:13" x14ac:dyDescent="0.25">
      <c r="A181" s="2" t="s">
        <v>565</v>
      </c>
      <c r="B181" s="2" t="s">
        <v>566</v>
      </c>
      <c r="C181" s="2" t="s">
        <v>15</v>
      </c>
      <c r="D181" s="2" t="s">
        <v>16</v>
      </c>
      <c r="E181" s="2" t="s">
        <v>231</v>
      </c>
      <c r="F181" s="2" t="s">
        <v>239</v>
      </c>
      <c r="G181" s="2">
        <v>8</v>
      </c>
      <c r="H181" s="2">
        <v>27140</v>
      </c>
      <c r="I181" s="2">
        <v>0</v>
      </c>
      <c r="J181" s="2">
        <v>217120</v>
      </c>
      <c r="K181" s="2" t="s">
        <v>67</v>
      </c>
      <c r="L181" s="2" t="s">
        <v>266</v>
      </c>
      <c r="M181" s="2" t="s">
        <v>223</v>
      </c>
    </row>
    <row r="182" spans="1:13" x14ac:dyDescent="0.25">
      <c r="A182" s="2" t="s">
        <v>567</v>
      </c>
      <c r="B182" s="2" t="s">
        <v>568</v>
      </c>
      <c r="C182" s="2" t="s">
        <v>32</v>
      </c>
      <c r="D182" s="2" t="s">
        <v>33</v>
      </c>
      <c r="E182" s="2" t="s">
        <v>34</v>
      </c>
      <c r="F182" s="2" t="s">
        <v>164</v>
      </c>
      <c r="G182" s="2">
        <v>9</v>
      </c>
      <c r="H182" s="2">
        <v>22530</v>
      </c>
      <c r="I182" s="2">
        <v>0</v>
      </c>
      <c r="J182" s="2">
        <v>202770</v>
      </c>
      <c r="K182" s="2" t="s">
        <v>120</v>
      </c>
      <c r="L182" s="2" t="s">
        <v>54</v>
      </c>
      <c r="M182" s="2" t="s">
        <v>107</v>
      </c>
    </row>
    <row r="183" spans="1:13" x14ac:dyDescent="0.25">
      <c r="A183" s="2" t="s">
        <v>569</v>
      </c>
      <c r="B183" s="2" t="s">
        <v>178</v>
      </c>
      <c r="C183" s="2" t="s">
        <v>156</v>
      </c>
      <c r="D183" s="2" t="s">
        <v>51</v>
      </c>
      <c r="E183" s="2" t="s">
        <v>137</v>
      </c>
      <c r="F183" s="2" t="s">
        <v>35</v>
      </c>
      <c r="G183" s="2">
        <v>3</v>
      </c>
      <c r="H183" s="2">
        <v>27450</v>
      </c>
      <c r="I183" s="2">
        <v>0</v>
      </c>
      <c r="J183" s="2">
        <v>82350</v>
      </c>
      <c r="K183" s="2" t="s">
        <v>53</v>
      </c>
      <c r="L183" s="2" t="s">
        <v>411</v>
      </c>
      <c r="M183" s="2" t="s">
        <v>38</v>
      </c>
    </row>
    <row r="184" spans="1:13" x14ac:dyDescent="0.25">
      <c r="A184" s="2" t="s">
        <v>570</v>
      </c>
      <c r="B184" s="2" t="s">
        <v>571</v>
      </c>
      <c r="C184" s="2" t="s">
        <v>213</v>
      </c>
      <c r="D184" s="2" t="s">
        <v>58</v>
      </c>
      <c r="E184" s="2" t="s">
        <v>59</v>
      </c>
      <c r="F184" s="2" t="s">
        <v>252</v>
      </c>
      <c r="G184" s="2">
        <v>3</v>
      </c>
      <c r="H184" s="2">
        <v>47900</v>
      </c>
      <c r="I184" s="2">
        <v>15</v>
      </c>
      <c r="J184" s="2">
        <v>122145</v>
      </c>
      <c r="K184" s="2" t="s">
        <v>19</v>
      </c>
      <c r="L184" s="2" t="s">
        <v>411</v>
      </c>
      <c r="M184" s="2" t="s">
        <v>38</v>
      </c>
    </row>
    <row r="185" spans="1:13" x14ac:dyDescent="0.25">
      <c r="A185" s="2" t="s">
        <v>572</v>
      </c>
      <c r="B185" s="2" t="s">
        <v>573</v>
      </c>
      <c r="C185" s="2" t="s">
        <v>91</v>
      </c>
      <c r="D185" s="2" t="s">
        <v>51</v>
      </c>
      <c r="E185" s="2" t="s">
        <v>148</v>
      </c>
      <c r="F185" s="2" t="s">
        <v>83</v>
      </c>
      <c r="G185" s="2">
        <v>4</v>
      </c>
      <c r="H185" s="2">
        <v>1230</v>
      </c>
      <c r="I185" s="2">
        <v>15</v>
      </c>
      <c r="J185" s="2">
        <v>4182</v>
      </c>
      <c r="K185" s="2" t="s">
        <v>53</v>
      </c>
      <c r="L185" s="2" t="s">
        <v>188</v>
      </c>
      <c r="M185" s="2" t="s">
        <v>291</v>
      </c>
    </row>
    <row r="186" spans="1:13" x14ac:dyDescent="0.25">
      <c r="A186" s="2" t="s">
        <v>574</v>
      </c>
      <c r="B186" s="2" t="s">
        <v>575</v>
      </c>
      <c r="C186" s="2" t="s">
        <v>576</v>
      </c>
      <c r="D186" s="2" t="s">
        <v>33</v>
      </c>
      <c r="E186" s="2" t="s">
        <v>504</v>
      </c>
      <c r="F186" s="2" t="s">
        <v>209</v>
      </c>
      <c r="G186" s="2">
        <v>3</v>
      </c>
      <c r="H186" s="2">
        <v>1100</v>
      </c>
      <c r="I186" s="2">
        <v>10</v>
      </c>
      <c r="J186" s="2">
        <v>2970</v>
      </c>
      <c r="K186" s="2" t="s">
        <v>144</v>
      </c>
      <c r="L186" s="2" t="s">
        <v>46</v>
      </c>
      <c r="M186" s="2" t="s">
        <v>47</v>
      </c>
    </row>
    <row r="187" spans="1:13" x14ac:dyDescent="0.25">
      <c r="A187" s="2" t="s">
        <v>577</v>
      </c>
      <c r="B187" s="2" t="s">
        <v>578</v>
      </c>
      <c r="C187" s="2" t="s">
        <v>579</v>
      </c>
      <c r="D187" s="2" t="s">
        <v>58</v>
      </c>
      <c r="E187" s="2" t="s">
        <v>284</v>
      </c>
      <c r="F187" s="2" t="s">
        <v>379</v>
      </c>
      <c r="G187" s="2">
        <v>10</v>
      </c>
      <c r="H187" s="2">
        <v>71830</v>
      </c>
      <c r="I187" s="2">
        <v>0</v>
      </c>
      <c r="J187" s="2">
        <v>718300</v>
      </c>
      <c r="K187" s="2" t="s">
        <v>67</v>
      </c>
      <c r="L187" s="2" t="s">
        <v>79</v>
      </c>
      <c r="M187" s="2" t="s">
        <v>140</v>
      </c>
    </row>
    <row r="188" spans="1:13" x14ac:dyDescent="0.25">
      <c r="A188" s="2" t="s">
        <v>580</v>
      </c>
      <c r="B188" s="2" t="s">
        <v>581</v>
      </c>
      <c r="C188" s="2" t="s">
        <v>57</v>
      </c>
      <c r="D188" s="2" t="s">
        <v>58</v>
      </c>
      <c r="E188" s="2" t="s">
        <v>34</v>
      </c>
      <c r="F188" s="2" t="s">
        <v>199</v>
      </c>
      <c r="G188" s="2" t="s">
        <v>152</v>
      </c>
      <c r="H188" s="2">
        <v>13120</v>
      </c>
      <c r="I188" s="2">
        <v>10</v>
      </c>
      <c r="J188" s="2">
        <v>59040</v>
      </c>
      <c r="K188" s="2" t="s">
        <v>102</v>
      </c>
      <c r="L188" s="2" t="s">
        <v>37</v>
      </c>
      <c r="M188" s="2" t="s">
        <v>128</v>
      </c>
    </row>
    <row r="189" spans="1:13" x14ac:dyDescent="0.25">
      <c r="A189" s="2" t="s">
        <v>582</v>
      </c>
      <c r="B189" s="2" t="s">
        <v>583</v>
      </c>
      <c r="C189" s="2" t="s">
        <v>32</v>
      </c>
      <c r="D189" s="2" t="s">
        <v>33</v>
      </c>
      <c r="E189" s="2" t="s">
        <v>131</v>
      </c>
      <c r="F189" s="2" t="s">
        <v>126</v>
      </c>
      <c r="G189" s="2">
        <v>12</v>
      </c>
      <c r="H189" s="2">
        <v>2560</v>
      </c>
      <c r="I189" s="2">
        <v>5</v>
      </c>
      <c r="J189" s="2">
        <v>29184</v>
      </c>
      <c r="K189" s="2" t="s">
        <v>144</v>
      </c>
      <c r="L189" s="2" t="s">
        <v>584</v>
      </c>
      <c r="M189" s="2" t="s">
        <v>47</v>
      </c>
    </row>
    <row r="190" spans="1:13" x14ac:dyDescent="0.25">
      <c r="A190" s="2" t="s">
        <v>585</v>
      </c>
      <c r="B190" s="2" t="s">
        <v>586</v>
      </c>
      <c r="C190" s="2" t="s">
        <v>57</v>
      </c>
      <c r="D190" s="2" t="s">
        <v>136</v>
      </c>
      <c r="E190" s="2" t="s">
        <v>295</v>
      </c>
      <c r="F190" s="2" t="s">
        <v>219</v>
      </c>
      <c r="G190" s="2">
        <v>2</v>
      </c>
      <c r="H190" s="2">
        <v>3540</v>
      </c>
      <c r="I190" s="2">
        <v>10</v>
      </c>
      <c r="J190" s="2">
        <v>6372</v>
      </c>
      <c r="K190" s="2" t="s">
        <v>127</v>
      </c>
      <c r="L190" s="2" t="s">
        <v>587</v>
      </c>
      <c r="M190" s="2" t="s">
        <v>21</v>
      </c>
    </row>
    <row r="191" spans="1:13" x14ac:dyDescent="0.25">
      <c r="A191" s="2" t="s">
        <v>588</v>
      </c>
      <c r="B191" s="2" t="s">
        <v>589</v>
      </c>
      <c r="C191" s="2" t="s">
        <v>238</v>
      </c>
      <c r="D191" s="2" t="s">
        <v>51</v>
      </c>
      <c r="E191" s="2" t="s">
        <v>179</v>
      </c>
      <c r="F191" s="2" t="s">
        <v>180</v>
      </c>
      <c r="G191" s="2">
        <v>6</v>
      </c>
      <c r="H191" s="2">
        <v>8250</v>
      </c>
      <c r="I191" s="2">
        <v>0</v>
      </c>
      <c r="J191" s="2">
        <v>49500</v>
      </c>
      <c r="K191" s="2"/>
      <c r="L191" s="2"/>
      <c r="M191" s="2" t="s">
        <v>47</v>
      </c>
    </row>
    <row r="192" spans="1:13" x14ac:dyDescent="0.25">
      <c r="A192" s="2" t="s">
        <v>590</v>
      </c>
      <c r="B192" s="2" t="s">
        <v>591</v>
      </c>
      <c r="C192" s="2" t="s">
        <v>156</v>
      </c>
      <c r="D192" s="2" t="s">
        <v>51</v>
      </c>
      <c r="E192" s="2" t="s">
        <v>148</v>
      </c>
      <c r="F192" s="2" t="s">
        <v>60</v>
      </c>
      <c r="G192" s="2">
        <v>-1</v>
      </c>
      <c r="H192" s="2">
        <v>5570</v>
      </c>
      <c r="I192" s="2">
        <v>0</v>
      </c>
      <c r="J192" s="2">
        <v>61270</v>
      </c>
      <c r="K192" s="2" t="s">
        <v>139</v>
      </c>
      <c r="L192" s="2" t="s">
        <v>121</v>
      </c>
      <c r="M192" s="2" t="s">
        <v>47</v>
      </c>
    </row>
    <row r="193" spans="1:13" x14ac:dyDescent="0.25">
      <c r="A193" s="2" t="s">
        <v>592</v>
      </c>
      <c r="B193" s="2" t="s">
        <v>593</v>
      </c>
      <c r="C193" s="2" t="s">
        <v>135</v>
      </c>
      <c r="D193" s="2" t="s">
        <v>58</v>
      </c>
      <c r="E193" s="2" t="s">
        <v>34</v>
      </c>
      <c r="F193" s="2" t="s">
        <v>35</v>
      </c>
      <c r="G193" s="2">
        <v>8</v>
      </c>
      <c r="H193" s="2">
        <v>9190</v>
      </c>
      <c r="I193" s="2">
        <v>5</v>
      </c>
      <c r="J193" s="2">
        <v>69844</v>
      </c>
      <c r="K193" s="2" t="s">
        <v>133</v>
      </c>
      <c r="L193" s="2" t="s">
        <v>46</v>
      </c>
      <c r="M193" s="2" t="s">
        <v>21</v>
      </c>
    </row>
    <row r="194" spans="1:13" x14ac:dyDescent="0.25">
      <c r="A194" s="2" t="s">
        <v>594</v>
      </c>
      <c r="B194" s="2" t="s">
        <v>595</v>
      </c>
      <c r="C194" s="2" t="s">
        <v>32</v>
      </c>
      <c r="D194" s="2" t="s">
        <v>33</v>
      </c>
      <c r="E194" s="2" t="s">
        <v>136</v>
      </c>
      <c r="F194" s="2" t="s">
        <v>379</v>
      </c>
      <c r="G194" s="2">
        <v>7</v>
      </c>
      <c r="H194" s="2">
        <v>1190</v>
      </c>
      <c r="I194" s="2">
        <v>0</v>
      </c>
      <c r="J194" s="2">
        <v>8330</v>
      </c>
      <c r="K194" s="2" t="s">
        <v>102</v>
      </c>
      <c r="L194" s="2" t="s">
        <v>61</v>
      </c>
      <c r="M194" s="2" t="s">
        <v>47</v>
      </c>
    </row>
    <row r="195" spans="1:13" x14ac:dyDescent="0.25">
      <c r="A195" s="2" t="s">
        <v>596</v>
      </c>
      <c r="B195" s="2" t="s">
        <v>597</v>
      </c>
      <c r="C195" s="2" t="s">
        <v>598</v>
      </c>
      <c r="D195" s="2" t="s">
        <v>42</v>
      </c>
      <c r="E195" s="2" t="s">
        <v>100</v>
      </c>
      <c r="F195" s="2" t="s">
        <v>126</v>
      </c>
      <c r="G195" s="2">
        <v>1</v>
      </c>
      <c r="H195" s="2">
        <v>17180</v>
      </c>
      <c r="I195" s="2">
        <v>15</v>
      </c>
      <c r="J195" s="2">
        <v>14603</v>
      </c>
      <c r="K195" s="2" t="s">
        <v>19</v>
      </c>
      <c r="L195" s="2" t="s">
        <v>599</v>
      </c>
      <c r="M195" s="2" t="s">
        <v>47</v>
      </c>
    </row>
    <row r="196" spans="1:13" x14ac:dyDescent="0.25">
      <c r="A196" s="2" t="s">
        <v>600</v>
      </c>
      <c r="B196" s="2" t="s">
        <v>601</v>
      </c>
      <c r="C196" s="2" t="s">
        <v>602</v>
      </c>
      <c r="D196" s="2" t="s">
        <v>16</v>
      </c>
      <c r="E196" s="2" t="s">
        <v>17</v>
      </c>
      <c r="F196" s="2" t="s">
        <v>164</v>
      </c>
      <c r="G196" s="2">
        <v>8</v>
      </c>
      <c r="H196" s="2">
        <v>47500</v>
      </c>
      <c r="I196" s="2">
        <v>15</v>
      </c>
      <c r="J196" s="2">
        <v>323000</v>
      </c>
      <c r="K196" s="2" t="s">
        <v>53</v>
      </c>
      <c r="L196" s="2" t="s">
        <v>68</v>
      </c>
      <c r="M196" s="2" t="s">
        <v>201</v>
      </c>
    </row>
    <row r="197" spans="1:13" x14ac:dyDescent="0.25">
      <c r="A197" s="2" t="s">
        <v>512</v>
      </c>
      <c r="B197" s="2" t="s">
        <v>513</v>
      </c>
      <c r="C197" s="2" t="s">
        <v>91</v>
      </c>
      <c r="D197" s="2" t="s">
        <v>51</v>
      </c>
      <c r="E197" s="2" t="s">
        <v>111</v>
      </c>
      <c r="F197" s="2" t="s">
        <v>239</v>
      </c>
      <c r="G197" s="2">
        <v>7</v>
      </c>
      <c r="H197" s="2">
        <v>47440</v>
      </c>
      <c r="I197" s="2">
        <v>0</v>
      </c>
      <c r="J197" s="2">
        <v>332080</v>
      </c>
      <c r="K197" s="2" t="s">
        <v>133</v>
      </c>
      <c r="L197" s="2" t="s">
        <v>168</v>
      </c>
      <c r="M197" s="2" t="s">
        <v>47</v>
      </c>
    </row>
    <row r="198" spans="1:13" x14ac:dyDescent="0.25">
      <c r="A198" s="2" t="s">
        <v>603</v>
      </c>
      <c r="B198" s="2" t="s">
        <v>604</v>
      </c>
      <c r="C198" s="2" t="s">
        <v>118</v>
      </c>
      <c r="D198" s="2" t="s">
        <v>51</v>
      </c>
      <c r="E198" s="2" t="s">
        <v>65</v>
      </c>
      <c r="F198" s="2" t="s">
        <v>66</v>
      </c>
      <c r="G198" s="2">
        <v>1</v>
      </c>
      <c r="H198" s="2">
        <v>25770</v>
      </c>
      <c r="I198" s="2">
        <v>5</v>
      </c>
      <c r="J198" s="2">
        <v>24481.5</v>
      </c>
      <c r="K198" s="2" t="s">
        <v>120</v>
      </c>
      <c r="L198" s="2" t="s">
        <v>54</v>
      </c>
      <c r="M198" s="2" t="s">
        <v>21</v>
      </c>
    </row>
    <row r="199" spans="1:13" x14ac:dyDescent="0.25">
      <c r="A199" s="2" t="s">
        <v>605</v>
      </c>
      <c r="B199" s="2" t="s">
        <v>606</v>
      </c>
      <c r="C199" s="2" t="s">
        <v>32</v>
      </c>
      <c r="D199" s="2" t="s">
        <v>33</v>
      </c>
      <c r="E199" s="2" t="s">
        <v>105</v>
      </c>
      <c r="F199" s="2" t="s">
        <v>332</v>
      </c>
      <c r="G199" s="2" t="s">
        <v>136</v>
      </c>
      <c r="H199" s="2">
        <v>570</v>
      </c>
      <c r="I199" s="2">
        <v>0</v>
      </c>
      <c r="J199" s="2">
        <v>5700</v>
      </c>
      <c r="K199" s="2" t="s">
        <v>157</v>
      </c>
      <c r="L199" s="2" t="s">
        <v>341</v>
      </c>
      <c r="M199" s="2" t="s">
        <v>38</v>
      </c>
    </row>
    <row r="200" spans="1:13" x14ac:dyDescent="0.25">
      <c r="A200" s="2" t="s">
        <v>607</v>
      </c>
      <c r="B200" s="2" t="s">
        <v>608</v>
      </c>
      <c r="C200" s="2" t="s">
        <v>15</v>
      </c>
      <c r="D200" s="2" t="s">
        <v>16</v>
      </c>
      <c r="E200" s="2" t="s">
        <v>231</v>
      </c>
      <c r="F200" s="2" t="s">
        <v>239</v>
      </c>
      <c r="G200" s="2">
        <v>7</v>
      </c>
      <c r="H200" s="2">
        <v>13190</v>
      </c>
      <c r="I200" s="2">
        <v>15</v>
      </c>
      <c r="J200" s="2">
        <v>78480.5</v>
      </c>
      <c r="K200" s="2" t="s">
        <v>45</v>
      </c>
      <c r="L200" s="2" t="s">
        <v>214</v>
      </c>
      <c r="M200" s="2" t="s">
        <v>128</v>
      </c>
    </row>
    <row r="201" spans="1:13" x14ac:dyDescent="0.25">
      <c r="A201" s="2" t="s">
        <v>609</v>
      </c>
      <c r="B201" s="2" t="s">
        <v>610</v>
      </c>
      <c r="C201" s="2" t="s">
        <v>204</v>
      </c>
      <c r="D201" s="2" t="s">
        <v>33</v>
      </c>
      <c r="E201" s="2" t="s">
        <v>100</v>
      </c>
      <c r="F201" s="2" t="s">
        <v>296</v>
      </c>
      <c r="G201" s="2">
        <v>2</v>
      </c>
      <c r="H201" s="2">
        <v>26400</v>
      </c>
      <c r="I201" s="2">
        <v>0</v>
      </c>
      <c r="J201" s="2">
        <v>52800</v>
      </c>
      <c r="K201" s="2" t="s">
        <v>152</v>
      </c>
      <c r="L201" s="2" t="s">
        <v>611</v>
      </c>
      <c r="M201" s="2" t="s">
        <v>47</v>
      </c>
    </row>
    <row r="202" spans="1:13" x14ac:dyDescent="0.25">
      <c r="A202" s="2" t="s">
        <v>612</v>
      </c>
      <c r="B202" s="2" t="s">
        <v>613</v>
      </c>
      <c r="C202" s="2" t="s">
        <v>91</v>
      </c>
      <c r="D202" s="2" t="s">
        <v>51</v>
      </c>
      <c r="E202" s="2" t="s">
        <v>111</v>
      </c>
      <c r="F202" s="2" t="s">
        <v>543</v>
      </c>
      <c r="G202" s="2">
        <v>1</v>
      </c>
      <c r="H202" s="2">
        <v>1370</v>
      </c>
      <c r="I202" s="2">
        <v>5</v>
      </c>
      <c r="J202" s="2">
        <v>1301.5</v>
      </c>
      <c r="K202" s="2" t="s">
        <v>94</v>
      </c>
      <c r="L202" s="2" t="s">
        <v>249</v>
      </c>
      <c r="M202" s="2" t="s">
        <v>21</v>
      </c>
    </row>
    <row r="203" spans="1:13" x14ac:dyDescent="0.25">
      <c r="A203" s="2" t="s">
        <v>614</v>
      </c>
      <c r="B203" s="2" t="s">
        <v>615</v>
      </c>
      <c r="C203" s="2" t="s">
        <v>118</v>
      </c>
      <c r="D203" s="2" t="s">
        <v>51</v>
      </c>
      <c r="E203" s="2" t="s">
        <v>137</v>
      </c>
      <c r="F203" s="2" t="s">
        <v>374</v>
      </c>
      <c r="G203" s="2">
        <v>4</v>
      </c>
      <c r="H203" s="2">
        <v>1300</v>
      </c>
      <c r="I203" s="2">
        <v>0</v>
      </c>
      <c r="J203" s="2">
        <v>5200</v>
      </c>
      <c r="K203" s="2" t="s">
        <v>19</v>
      </c>
      <c r="L203" s="2" t="s">
        <v>611</v>
      </c>
      <c r="M203" s="2" t="s">
        <v>128</v>
      </c>
    </row>
    <row r="204" spans="1:13" x14ac:dyDescent="0.25">
      <c r="A204" s="2" t="s">
        <v>616</v>
      </c>
      <c r="B204" s="2" t="s">
        <v>617</v>
      </c>
      <c r="C204" s="2" t="s">
        <v>238</v>
      </c>
      <c r="D204" s="2" t="s">
        <v>51</v>
      </c>
      <c r="E204" s="2" t="s">
        <v>125</v>
      </c>
      <c r="F204" s="2" t="s">
        <v>66</v>
      </c>
      <c r="G204" s="2">
        <v>2</v>
      </c>
      <c r="H204" s="2">
        <v>61090</v>
      </c>
      <c r="I204" s="2">
        <v>0</v>
      </c>
      <c r="J204" s="2">
        <v>122180</v>
      </c>
      <c r="K204" s="2" t="s">
        <v>127</v>
      </c>
      <c r="L204" s="2" t="s">
        <v>37</v>
      </c>
      <c r="M204" s="2" t="s">
        <v>21</v>
      </c>
    </row>
    <row r="205" spans="1:13" x14ac:dyDescent="0.25">
      <c r="A205" s="2" t="s">
        <v>618</v>
      </c>
      <c r="B205" s="2" t="s">
        <v>619</v>
      </c>
      <c r="C205" s="2" t="s">
        <v>76</v>
      </c>
      <c r="D205" s="2" t="s">
        <v>33</v>
      </c>
      <c r="E205" s="2" t="s">
        <v>179</v>
      </c>
      <c r="F205" s="2" t="s">
        <v>232</v>
      </c>
      <c r="G205" s="2">
        <v>7</v>
      </c>
      <c r="H205" s="2">
        <v>1380</v>
      </c>
      <c r="I205" s="2">
        <v>5</v>
      </c>
      <c r="J205" s="2">
        <v>9177</v>
      </c>
      <c r="K205" s="2" t="s">
        <v>67</v>
      </c>
      <c r="L205" s="2" t="s">
        <v>37</v>
      </c>
      <c r="M205" s="2" t="s">
        <v>47</v>
      </c>
    </row>
    <row r="206" spans="1:13" x14ac:dyDescent="0.25">
      <c r="A206" s="2" t="s">
        <v>620</v>
      </c>
      <c r="B206" s="2" t="s">
        <v>621</v>
      </c>
      <c r="C206" s="2" t="s">
        <v>32</v>
      </c>
      <c r="D206" s="2" t="s">
        <v>33</v>
      </c>
      <c r="E206" s="2" t="s">
        <v>131</v>
      </c>
      <c r="F206" s="2" t="s">
        <v>66</v>
      </c>
      <c r="G206" s="2">
        <v>10</v>
      </c>
      <c r="H206" s="2">
        <v>450</v>
      </c>
      <c r="I206" s="2">
        <v>0</v>
      </c>
      <c r="J206" s="2">
        <v>4500</v>
      </c>
      <c r="K206" s="2" t="s">
        <v>139</v>
      </c>
      <c r="L206" s="2" t="s">
        <v>84</v>
      </c>
      <c r="M206" s="2" t="s">
        <v>29</v>
      </c>
    </row>
    <row r="207" spans="1:13" x14ac:dyDescent="0.25">
      <c r="A207" s="2" t="s">
        <v>622</v>
      </c>
      <c r="B207" s="2" t="s">
        <v>623</v>
      </c>
      <c r="C207" s="2" t="s">
        <v>449</v>
      </c>
      <c r="D207" s="2"/>
      <c r="E207" s="2" t="s">
        <v>92</v>
      </c>
      <c r="F207" s="2" t="s">
        <v>106</v>
      </c>
      <c r="G207" s="2">
        <v>3</v>
      </c>
      <c r="H207" s="2">
        <v>22760</v>
      </c>
      <c r="I207" s="2">
        <v>5</v>
      </c>
      <c r="J207" s="2">
        <v>64866</v>
      </c>
      <c r="K207" s="2" t="s">
        <v>53</v>
      </c>
      <c r="L207" s="2" t="s">
        <v>188</v>
      </c>
      <c r="M207" s="2" t="s">
        <v>253</v>
      </c>
    </row>
    <row r="208" spans="1:13" x14ac:dyDescent="0.25">
      <c r="A208" s="2" t="s">
        <v>624</v>
      </c>
      <c r="B208" s="2" t="s">
        <v>625</v>
      </c>
      <c r="C208" s="2" t="s">
        <v>198</v>
      </c>
      <c r="D208" s="2" t="s">
        <v>42</v>
      </c>
      <c r="E208" s="2" t="s">
        <v>52</v>
      </c>
      <c r="F208" s="2" t="s">
        <v>255</v>
      </c>
      <c r="G208" s="2"/>
      <c r="H208" s="2">
        <v>7460</v>
      </c>
      <c r="I208" s="2">
        <v>0</v>
      </c>
      <c r="J208" s="2">
        <v>59680</v>
      </c>
      <c r="K208" s="2" t="s">
        <v>120</v>
      </c>
      <c r="L208" s="2" t="s">
        <v>406</v>
      </c>
      <c r="M208" s="2" t="s">
        <v>128</v>
      </c>
    </row>
    <row r="209" spans="1:13" x14ac:dyDescent="0.25">
      <c r="A209" s="2" t="s">
        <v>626</v>
      </c>
      <c r="B209" s="2" t="s">
        <v>627</v>
      </c>
      <c r="C209" s="2" t="s">
        <v>162</v>
      </c>
      <c r="D209" s="2" t="s">
        <v>33</v>
      </c>
      <c r="E209" s="2" t="s">
        <v>284</v>
      </c>
      <c r="F209" s="2" t="s">
        <v>149</v>
      </c>
      <c r="G209" s="2">
        <v>9</v>
      </c>
      <c r="H209" s="2">
        <v>43450</v>
      </c>
      <c r="I209" s="2">
        <v>0</v>
      </c>
      <c r="J209" s="2">
        <v>391050</v>
      </c>
      <c r="K209" s="2" t="s">
        <v>87</v>
      </c>
      <c r="L209" s="2" t="s">
        <v>214</v>
      </c>
      <c r="M209" s="2" t="s">
        <v>140</v>
      </c>
    </row>
    <row r="210" spans="1:13" x14ac:dyDescent="0.25">
      <c r="A210" s="2" t="s">
        <v>628</v>
      </c>
      <c r="B210" s="2" t="s">
        <v>629</v>
      </c>
      <c r="C210" s="2" t="s">
        <v>24</v>
      </c>
      <c r="D210" s="2" t="s">
        <v>16</v>
      </c>
      <c r="E210" s="2" t="s">
        <v>231</v>
      </c>
      <c r="F210" s="2" t="s">
        <v>184</v>
      </c>
      <c r="G210" s="2">
        <v>9</v>
      </c>
      <c r="H210" s="2" t="s">
        <v>136</v>
      </c>
      <c r="I210" s="2">
        <v>5</v>
      </c>
      <c r="J210" s="2">
        <v>358074</v>
      </c>
      <c r="K210" s="2" t="s">
        <v>144</v>
      </c>
      <c r="L210" s="2" t="s">
        <v>95</v>
      </c>
      <c r="M210" s="2" t="s">
        <v>47</v>
      </c>
    </row>
    <row r="211" spans="1:13" x14ac:dyDescent="0.25">
      <c r="A211" s="2" t="s">
        <v>630</v>
      </c>
      <c r="B211" s="2" t="s">
        <v>631</v>
      </c>
      <c r="C211" s="2" t="s">
        <v>135</v>
      </c>
      <c r="D211" s="2" t="s">
        <v>58</v>
      </c>
      <c r="E211" s="2" t="s">
        <v>111</v>
      </c>
      <c r="F211" s="2" t="s">
        <v>239</v>
      </c>
      <c r="G211" s="2">
        <v>9</v>
      </c>
      <c r="H211" s="2">
        <v>530</v>
      </c>
      <c r="I211" s="2">
        <v>10</v>
      </c>
      <c r="J211" s="2">
        <v>4293</v>
      </c>
      <c r="K211" s="2" t="s">
        <v>19</v>
      </c>
      <c r="L211" s="2" t="s">
        <v>176</v>
      </c>
      <c r="M211" s="2" t="s">
        <v>47</v>
      </c>
    </row>
    <row r="212" spans="1:13" x14ac:dyDescent="0.25">
      <c r="A212" s="2" t="s">
        <v>632</v>
      </c>
      <c r="B212" s="2" t="s">
        <v>633</v>
      </c>
      <c r="C212" s="2" t="s">
        <v>135</v>
      </c>
      <c r="D212" s="2" t="s">
        <v>223</v>
      </c>
      <c r="E212" s="2" t="s">
        <v>148</v>
      </c>
      <c r="F212" s="2" t="s">
        <v>379</v>
      </c>
      <c r="G212" s="2">
        <v>9</v>
      </c>
      <c r="H212" s="2">
        <v>550</v>
      </c>
      <c r="I212" s="2">
        <v>10</v>
      </c>
      <c r="J212" s="2">
        <v>4455</v>
      </c>
      <c r="K212" s="2" t="s">
        <v>67</v>
      </c>
      <c r="L212" s="2" t="s">
        <v>176</v>
      </c>
      <c r="M212" s="2" t="s">
        <v>47</v>
      </c>
    </row>
    <row r="213" spans="1:13" x14ac:dyDescent="0.25">
      <c r="A213" s="2" t="s">
        <v>634</v>
      </c>
      <c r="B213" s="2" t="s">
        <v>635</v>
      </c>
      <c r="C213" s="2" t="s">
        <v>198</v>
      </c>
      <c r="D213" s="2" t="s">
        <v>42</v>
      </c>
      <c r="E213" s="2" t="s">
        <v>295</v>
      </c>
      <c r="F213" s="2" t="s">
        <v>126</v>
      </c>
      <c r="G213" s="2">
        <v>4</v>
      </c>
      <c r="H213" s="2">
        <v>11710</v>
      </c>
      <c r="I213" s="2">
        <v>0</v>
      </c>
      <c r="J213" s="2">
        <v>46840</v>
      </c>
      <c r="K213" s="2" t="s">
        <v>139</v>
      </c>
      <c r="L213" s="2" t="s">
        <v>188</v>
      </c>
      <c r="M213" s="2" t="s">
        <v>47</v>
      </c>
    </row>
    <row r="214" spans="1:13" x14ac:dyDescent="0.25">
      <c r="A214" s="2" t="s">
        <v>636</v>
      </c>
      <c r="B214" s="2" t="s">
        <v>637</v>
      </c>
      <c r="C214" s="2" t="s">
        <v>136</v>
      </c>
      <c r="D214" s="2" t="s">
        <v>33</v>
      </c>
      <c r="E214" s="2" t="s">
        <v>322</v>
      </c>
      <c r="F214" s="2" t="s">
        <v>239</v>
      </c>
      <c r="G214" s="2">
        <v>10</v>
      </c>
      <c r="H214" s="2">
        <v>1360</v>
      </c>
      <c r="I214" s="2">
        <v>0</v>
      </c>
      <c r="J214" s="2">
        <v>13600</v>
      </c>
      <c r="K214" s="2" t="s">
        <v>157</v>
      </c>
      <c r="L214" s="2" t="s">
        <v>79</v>
      </c>
      <c r="M214" s="2" t="s">
        <v>128</v>
      </c>
    </row>
    <row r="215" spans="1:13" x14ac:dyDescent="0.25">
      <c r="A215" s="2" t="s">
        <v>638</v>
      </c>
      <c r="B215" s="2" t="s">
        <v>346</v>
      </c>
      <c r="C215" s="2" t="s">
        <v>156</v>
      </c>
      <c r="D215" s="2" t="s">
        <v>51</v>
      </c>
      <c r="E215" s="2" t="s">
        <v>322</v>
      </c>
      <c r="F215" s="2" t="s">
        <v>184</v>
      </c>
      <c r="G215" s="2">
        <v>5</v>
      </c>
      <c r="H215" s="2">
        <v>480</v>
      </c>
      <c r="I215" s="2">
        <v>10</v>
      </c>
      <c r="J215" s="2">
        <v>2160</v>
      </c>
      <c r="K215" s="2" t="s">
        <v>19</v>
      </c>
      <c r="L215" s="2" t="s">
        <v>68</v>
      </c>
      <c r="M215" s="2" t="s">
        <v>21</v>
      </c>
    </row>
    <row r="216" spans="1:13" x14ac:dyDescent="0.25">
      <c r="A216" s="2" t="s">
        <v>639</v>
      </c>
      <c r="B216" s="2" t="s">
        <v>621</v>
      </c>
      <c r="C216" s="2" t="s">
        <v>198</v>
      </c>
      <c r="D216" s="2" t="s">
        <v>42</v>
      </c>
      <c r="E216" s="2" t="s">
        <v>125</v>
      </c>
      <c r="F216" s="2" t="s">
        <v>101</v>
      </c>
      <c r="G216" s="2">
        <v>10</v>
      </c>
      <c r="H216" s="2">
        <v>64570</v>
      </c>
      <c r="I216" s="2">
        <v>15</v>
      </c>
      <c r="J216" s="2">
        <v>548845</v>
      </c>
      <c r="K216" s="2" t="s">
        <v>157</v>
      </c>
      <c r="L216" s="2" t="s">
        <v>311</v>
      </c>
      <c r="M216" s="2" t="s">
        <v>21</v>
      </c>
    </row>
    <row r="217" spans="1:13" x14ac:dyDescent="0.25">
      <c r="A217" s="2" t="s">
        <v>640</v>
      </c>
      <c r="B217" s="2" t="s">
        <v>641</v>
      </c>
      <c r="C217" s="2" t="s">
        <v>156</v>
      </c>
      <c r="D217" s="2" t="s">
        <v>51</v>
      </c>
      <c r="E217" s="2" t="s">
        <v>105</v>
      </c>
      <c r="F217" s="2" t="s">
        <v>44</v>
      </c>
      <c r="G217" s="2">
        <v>12</v>
      </c>
      <c r="H217" s="2">
        <v>1260</v>
      </c>
      <c r="I217" s="2">
        <v>0</v>
      </c>
      <c r="J217" s="2">
        <v>15120</v>
      </c>
      <c r="K217" s="2" t="s">
        <v>127</v>
      </c>
      <c r="L217" s="2" t="s">
        <v>152</v>
      </c>
      <c r="M217" s="2" t="s">
        <v>128</v>
      </c>
    </row>
    <row r="218" spans="1:13" x14ac:dyDescent="0.25">
      <c r="A218" s="2" t="s">
        <v>642</v>
      </c>
      <c r="B218" s="2" t="s">
        <v>643</v>
      </c>
      <c r="C218" s="2" t="s">
        <v>227</v>
      </c>
      <c r="D218" s="2" t="s">
        <v>33</v>
      </c>
      <c r="E218" s="2" t="s">
        <v>100</v>
      </c>
      <c r="F218" s="2" t="s">
        <v>219</v>
      </c>
      <c r="G218" s="2" t="s">
        <v>136</v>
      </c>
      <c r="H218" s="2">
        <v>3450</v>
      </c>
      <c r="I218" s="2">
        <v>0</v>
      </c>
      <c r="J218" s="2">
        <v>13800</v>
      </c>
      <c r="K218" s="2" t="s">
        <v>67</v>
      </c>
      <c r="L218" s="2" t="s">
        <v>406</v>
      </c>
      <c r="M218" s="2" t="s">
        <v>38</v>
      </c>
    </row>
    <row r="219" spans="1:13" x14ac:dyDescent="0.25">
      <c r="A219" s="2" t="s">
        <v>644</v>
      </c>
      <c r="B219" s="2" t="s">
        <v>645</v>
      </c>
      <c r="C219" s="2" t="s">
        <v>449</v>
      </c>
      <c r="D219" s="2" t="s">
        <v>42</v>
      </c>
      <c r="E219" s="2" t="s">
        <v>100</v>
      </c>
      <c r="F219" s="2" t="s">
        <v>314</v>
      </c>
      <c r="G219" s="2">
        <v>6</v>
      </c>
      <c r="H219" s="2">
        <v>2670</v>
      </c>
      <c r="I219" s="2">
        <v>0</v>
      </c>
      <c r="J219" s="2">
        <v>16020</v>
      </c>
      <c r="K219" s="2" t="s">
        <v>127</v>
      </c>
      <c r="L219" s="2" t="s">
        <v>646</v>
      </c>
      <c r="M219" s="2"/>
    </row>
    <row r="220" spans="1:13" x14ac:dyDescent="0.25">
      <c r="A220" s="2" t="s">
        <v>647</v>
      </c>
      <c r="B220" s="2" t="s">
        <v>648</v>
      </c>
      <c r="C220" s="2" t="s">
        <v>124</v>
      </c>
      <c r="D220" s="2" t="s">
        <v>51</v>
      </c>
      <c r="E220" s="2" t="s">
        <v>284</v>
      </c>
      <c r="F220" s="2" t="s">
        <v>435</v>
      </c>
      <c r="G220" s="2">
        <v>10</v>
      </c>
      <c r="H220" s="2">
        <v>5390</v>
      </c>
      <c r="I220" s="2">
        <v>0</v>
      </c>
      <c r="J220" s="2">
        <v>53900</v>
      </c>
      <c r="K220" s="2" t="s">
        <v>139</v>
      </c>
      <c r="L220" s="2" t="s">
        <v>20</v>
      </c>
      <c r="M220" s="2" t="s">
        <v>21</v>
      </c>
    </row>
    <row r="221" spans="1:13" x14ac:dyDescent="0.25">
      <c r="A221" s="2" t="s">
        <v>649</v>
      </c>
      <c r="B221" s="2" t="s">
        <v>650</v>
      </c>
      <c r="C221" s="2" t="s">
        <v>110</v>
      </c>
      <c r="D221" s="2" t="s">
        <v>33</v>
      </c>
      <c r="E221" s="2" t="s">
        <v>111</v>
      </c>
      <c r="F221" s="2" t="s">
        <v>239</v>
      </c>
      <c r="G221" s="2">
        <v>7</v>
      </c>
      <c r="H221" s="2">
        <v>5530</v>
      </c>
      <c r="I221" s="2">
        <v>0</v>
      </c>
      <c r="J221" s="2">
        <v>38710</v>
      </c>
      <c r="K221" s="2" t="s">
        <v>144</v>
      </c>
      <c r="L221" s="2" t="s">
        <v>200</v>
      </c>
      <c r="M221" s="2" t="s">
        <v>47</v>
      </c>
    </row>
    <row r="222" spans="1:13" x14ac:dyDescent="0.25">
      <c r="A222" s="2" t="s">
        <v>651</v>
      </c>
      <c r="B222" s="2" t="s">
        <v>652</v>
      </c>
      <c r="C222" s="2" t="s">
        <v>156</v>
      </c>
      <c r="D222" s="2" t="s">
        <v>51</v>
      </c>
      <c r="E222" s="2" t="s">
        <v>111</v>
      </c>
      <c r="F222" s="2" t="s">
        <v>78</v>
      </c>
      <c r="G222" s="2">
        <v>1</v>
      </c>
      <c r="H222" s="2">
        <v>520</v>
      </c>
      <c r="I222" s="2">
        <v>15</v>
      </c>
      <c r="J222" s="2">
        <v>442</v>
      </c>
      <c r="K222" s="2" t="s">
        <v>144</v>
      </c>
      <c r="L222" s="2" t="s">
        <v>61</v>
      </c>
      <c r="M222" s="2" t="s">
        <v>47</v>
      </c>
    </row>
    <row r="223" spans="1:13" x14ac:dyDescent="0.25">
      <c r="A223" s="2" t="s">
        <v>653</v>
      </c>
      <c r="B223" s="2" t="s">
        <v>654</v>
      </c>
      <c r="C223" s="2" t="s">
        <v>24</v>
      </c>
      <c r="D223" s="2" t="s">
        <v>16</v>
      </c>
      <c r="E223" s="2" t="s">
        <v>17</v>
      </c>
      <c r="F223" s="2" t="s">
        <v>35</v>
      </c>
      <c r="G223" s="2" t="s">
        <v>138</v>
      </c>
      <c r="H223" s="2">
        <v>5180</v>
      </c>
      <c r="I223" s="2">
        <v>0</v>
      </c>
      <c r="J223" s="2">
        <v>15540</v>
      </c>
      <c r="K223" s="2" t="s">
        <v>144</v>
      </c>
      <c r="L223" s="2" t="s">
        <v>168</v>
      </c>
      <c r="M223" s="2" t="s">
        <v>128</v>
      </c>
    </row>
    <row r="224" spans="1:13" x14ac:dyDescent="0.25">
      <c r="A224" s="2" t="s">
        <v>655</v>
      </c>
      <c r="B224" s="2" t="s">
        <v>656</v>
      </c>
      <c r="C224" s="2" t="s">
        <v>657</v>
      </c>
      <c r="D224" s="2" t="s">
        <v>58</v>
      </c>
      <c r="E224" s="2" t="s">
        <v>504</v>
      </c>
      <c r="F224" s="2" t="s">
        <v>149</v>
      </c>
      <c r="G224" s="2">
        <v>6</v>
      </c>
      <c r="H224" s="2">
        <v>12980</v>
      </c>
      <c r="I224" s="2">
        <v>0</v>
      </c>
      <c r="J224" s="2"/>
      <c r="K224" s="2" t="s">
        <v>19</v>
      </c>
      <c r="L224" s="2" t="s">
        <v>658</v>
      </c>
      <c r="M224" s="2" t="s">
        <v>352</v>
      </c>
    </row>
    <row r="225" spans="1:13" x14ac:dyDescent="0.25">
      <c r="A225" s="2" t="s">
        <v>659</v>
      </c>
      <c r="B225" s="2" t="s">
        <v>660</v>
      </c>
      <c r="C225" s="2" t="s">
        <v>76</v>
      </c>
      <c r="D225" s="2" t="s">
        <v>33</v>
      </c>
      <c r="E225" s="2" t="s">
        <v>148</v>
      </c>
      <c r="F225" s="2" t="s">
        <v>379</v>
      </c>
      <c r="G225" s="2">
        <v>12</v>
      </c>
      <c r="H225" s="2">
        <v>1160</v>
      </c>
      <c r="I225" s="2">
        <v>0</v>
      </c>
      <c r="J225" s="2">
        <v>13920</v>
      </c>
      <c r="K225" s="2" t="s">
        <v>45</v>
      </c>
      <c r="L225" s="2" t="s">
        <v>37</v>
      </c>
      <c r="M225" s="2" t="s">
        <v>128</v>
      </c>
    </row>
    <row r="226" spans="1:13" x14ac:dyDescent="0.25">
      <c r="A226" s="2" t="s">
        <v>661</v>
      </c>
      <c r="B226" s="2" t="s">
        <v>662</v>
      </c>
      <c r="C226" s="2" t="s">
        <v>663</v>
      </c>
      <c r="D226" s="2" t="s">
        <v>51</v>
      </c>
      <c r="E226" s="2"/>
      <c r="F226" s="2" t="s">
        <v>83</v>
      </c>
      <c r="G226" s="2">
        <v>6</v>
      </c>
      <c r="H226" s="2">
        <v>4880</v>
      </c>
      <c r="I226" s="2">
        <v>10</v>
      </c>
      <c r="J226" s="2">
        <v>26352</v>
      </c>
      <c r="K226" s="2" t="s">
        <v>102</v>
      </c>
      <c r="L226" s="2" t="s">
        <v>200</v>
      </c>
      <c r="M226" s="2" t="s">
        <v>47</v>
      </c>
    </row>
    <row r="227" spans="1:13" x14ac:dyDescent="0.25">
      <c r="A227" s="2" t="s">
        <v>664</v>
      </c>
      <c r="B227" s="2" t="s">
        <v>665</v>
      </c>
      <c r="C227" s="2" t="s">
        <v>135</v>
      </c>
      <c r="D227" s="2" t="s">
        <v>58</v>
      </c>
      <c r="E227" s="2" t="s">
        <v>59</v>
      </c>
      <c r="F227" s="2" t="s">
        <v>83</v>
      </c>
      <c r="G227" s="2">
        <v>11</v>
      </c>
      <c r="H227" s="2">
        <v>4520</v>
      </c>
      <c r="I227" s="2">
        <v>0</v>
      </c>
      <c r="J227" s="2">
        <v>49720</v>
      </c>
      <c r="K227" s="2" t="s">
        <v>139</v>
      </c>
      <c r="L227" s="2" t="s">
        <v>285</v>
      </c>
      <c r="M227" s="2" t="s">
        <v>47</v>
      </c>
    </row>
    <row r="228" spans="1:13" x14ac:dyDescent="0.25">
      <c r="A228" s="2" t="s">
        <v>666</v>
      </c>
      <c r="B228" s="2" t="s">
        <v>667</v>
      </c>
      <c r="C228" s="2" t="s">
        <v>91</v>
      </c>
      <c r="D228" s="2" t="s">
        <v>152</v>
      </c>
      <c r="E228" s="2" t="s">
        <v>125</v>
      </c>
      <c r="F228" s="2" t="s">
        <v>219</v>
      </c>
      <c r="G228" s="2">
        <v>3</v>
      </c>
      <c r="H228" s="2">
        <v>460</v>
      </c>
      <c r="I228" s="2">
        <v>0</v>
      </c>
      <c r="J228" s="2" t="s">
        <v>223</v>
      </c>
      <c r="K228" s="2" t="s">
        <v>139</v>
      </c>
      <c r="L228" s="2" t="s">
        <v>79</v>
      </c>
      <c r="M228" s="2" t="s">
        <v>253</v>
      </c>
    </row>
    <row r="229" spans="1:13" x14ac:dyDescent="0.25">
      <c r="A229" s="2" t="s">
        <v>668</v>
      </c>
      <c r="B229" s="2" t="s">
        <v>669</v>
      </c>
      <c r="C229" s="2" t="s">
        <v>76</v>
      </c>
      <c r="D229" s="2" t="s">
        <v>33</v>
      </c>
      <c r="E229" s="2" t="s">
        <v>82</v>
      </c>
      <c r="F229" s="2" t="s">
        <v>167</v>
      </c>
      <c r="G229" s="2">
        <v>2</v>
      </c>
      <c r="H229" s="2">
        <v>11230</v>
      </c>
      <c r="I229" s="2">
        <v>0</v>
      </c>
      <c r="J229" s="2">
        <v>22460</v>
      </c>
      <c r="K229" s="2" t="s">
        <v>107</v>
      </c>
      <c r="L229" s="2" t="s">
        <v>176</v>
      </c>
      <c r="M229" s="2" t="s">
        <v>47</v>
      </c>
    </row>
    <row r="230" spans="1:13" x14ac:dyDescent="0.25">
      <c r="A230" s="2" t="s">
        <v>670</v>
      </c>
      <c r="B230" s="2" t="s">
        <v>671</v>
      </c>
      <c r="C230" s="2" t="s">
        <v>64</v>
      </c>
      <c r="D230" s="2" t="s">
        <v>51</v>
      </c>
      <c r="E230" s="2" t="s">
        <v>163</v>
      </c>
      <c r="F230" s="2" t="s">
        <v>374</v>
      </c>
      <c r="G230" s="2">
        <v>8</v>
      </c>
      <c r="H230" s="2">
        <v>7020</v>
      </c>
      <c r="I230" s="2">
        <v>5</v>
      </c>
      <c r="J230" s="2">
        <v>53352</v>
      </c>
      <c r="K230" s="2" t="s">
        <v>152</v>
      </c>
      <c r="L230" s="2" t="s">
        <v>311</v>
      </c>
      <c r="M230" s="2" t="s">
        <v>21</v>
      </c>
    </row>
    <row r="231" spans="1:13" x14ac:dyDescent="0.25">
      <c r="A231" s="2" t="s">
        <v>672</v>
      </c>
      <c r="B231" s="2" t="s">
        <v>415</v>
      </c>
      <c r="C231" s="2" t="s">
        <v>400</v>
      </c>
      <c r="D231" s="2" t="s">
        <v>33</v>
      </c>
      <c r="E231" s="2" t="s">
        <v>295</v>
      </c>
      <c r="F231" s="2" t="s">
        <v>319</v>
      </c>
      <c r="G231" s="2">
        <v>6</v>
      </c>
      <c r="H231" s="2">
        <v>24350</v>
      </c>
      <c r="I231" s="2">
        <v>5</v>
      </c>
      <c r="J231" s="2">
        <v>138795</v>
      </c>
      <c r="K231" s="2" t="s">
        <v>45</v>
      </c>
      <c r="L231" s="2" t="s">
        <v>473</v>
      </c>
      <c r="M231" s="2" t="s">
        <v>501</v>
      </c>
    </row>
    <row r="232" spans="1:13" x14ac:dyDescent="0.25">
      <c r="A232" s="2" t="s">
        <v>673</v>
      </c>
      <c r="B232" s="2" t="s">
        <v>243</v>
      </c>
      <c r="C232" s="2" t="s">
        <v>32</v>
      </c>
      <c r="D232" s="2" t="s">
        <v>33</v>
      </c>
      <c r="E232" s="2" t="s">
        <v>284</v>
      </c>
      <c r="F232" s="2" t="s">
        <v>435</v>
      </c>
      <c r="G232" s="2">
        <v>7</v>
      </c>
      <c r="H232" s="2">
        <v>12320</v>
      </c>
      <c r="I232" s="2">
        <v>0</v>
      </c>
      <c r="J232" s="2">
        <v>86240</v>
      </c>
      <c r="K232" s="2" t="s">
        <v>157</v>
      </c>
      <c r="L232" s="2" t="s">
        <v>406</v>
      </c>
      <c r="M232" s="2" t="s">
        <v>38</v>
      </c>
    </row>
    <row r="233" spans="1:13" x14ac:dyDescent="0.25">
      <c r="A233" s="2" t="s">
        <v>674</v>
      </c>
      <c r="B233" s="2" t="s">
        <v>675</v>
      </c>
      <c r="C233" s="2" t="s">
        <v>64</v>
      </c>
      <c r="D233" s="2" t="s">
        <v>51</v>
      </c>
      <c r="E233" s="2" t="s">
        <v>231</v>
      </c>
      <c r="F233" s="2" t="s">
        <v>143</v>
      </c>
      <c r="G233" s="2">
        <v>10</v>
      </c>
      <c r="H233" s="2">
        <v>11410</v>
      </c>
      <c r="I233" s="2">
        <v>0</v>
      </c>
      <c r="J233" s="2">
        <v>114100</v>
      </c>
      <c r="K233" s="2" t="s">
        <v>144</v>
      </c>
      <c r="L233" s="2" t="s">
        <v>411</v>
      </c>
      <c r="M233" s="2" t="s">
        <v>128</v>
      </c>
    </row>
    <row r="234" spans="1:13" x14ac:dyDescent="0.25">
      <c r="A234" s="2" t="s">
        <v>676</v>
      </c>
      <c r="B234" s="2" t="s">
        <v>677</v>
      </c>
      <c r="C234" s="2" t="s">
        <v>135</v>
      </c>
      <c r="D234" s="2" t="s">
        <v>58</v>
      </c>
      <c r="E234" s="2" t="s">
        <v>131</v>
      </c>
      <c r="F234" s="2" t="s">
        <v>296</v>
      </c>
      <c r="G234" s="2" t="s">
        <v>136</v>
      </c>
      <c r="H234" s="2">
        <v>7140</v>
      </c>
      <c r="I234" s="2">
        <v>0</v>
      </c>
      <c r="J234" s="2">
        <v>71400</v>
      </c>
      <c r="K234" s="2" t="s">
        <v>133</v>
      </c>
      <c r="L234" s="2" t="s">
        <v>214</v>
      </c>
      <c r="M234" s="2" t="s">
        <v>21</v>
      </c>
    </row>
    <row r="235" spans="1:13" x14ac:dyDescent="0.25">
      <c r="A235" s="2" t="s">
        <v>678</v>
      </c>
      <c r="B235" s="2" t="s">
        <v>679</v>
      </c>
      <c r="C235" s="2" t="s">
        <v>162</v>
      </c>
      <c r="D235" s="2" t="s">
        <v>33</v>
      </c>
      <c r="E235" s="2" t="s">
        <v>77</v>
      </c>
      <c r="F235" s="2" t="s">
        <v>143</v>
      </c>
      <c r="G235" s="2">
        <v>6</v>
      </c>
      <c r="H235" s="2">
        <v>50240</v>
      </c>
      <c r="I235" s="2">
        <v>0</v>
      </c>
      <c r="J235" s="2">
        <v>301440</v>
      </c>
      <c r="K235" s="2" t="s">
        <v>205</v>
      </c>
      <c r="L235" s="2" t="s">
        <v>188</v>
      </c>
      <c r="M235" s="2" t="s">
        <v>201</v>
      </c>
    </row>
    <row r="236" spans="1:13" x14ac:dyDescent="0.25">
      <c r="A236" s="2" t="s">
        <v>680</v>
      </c>
      <c r="B236" s="2" t="s">
        <v>328</v>
      </c>
      <c r="C236" s="2" t="s">
        <v>50</v>
      </c>
      <c r="D236" s="2" t="s">
        <v>51</v>
      </c>
      <c r="E236" s="2" t="s">
        <v>100</v>
      </c>
      <c r="F236" s="2" t="s">
        <v>66</v>
      </c>
      <c r="G236" s="2">
        <v>6</v>
      </c>
      <c r="H236" s="2">
        <v>48950</v>
      </c>
      <c r="I236" s="2">
        <v>0</v>
      </c>
      <c r="J236" s="2">
        <v>293700</v>
      </c>
      <c r="K236" s="2" t="s">
        <v>45</v>
      </c>
      <c r="L236" s="2" t="s">
        <v>266</v>
      </c>
      <c r="M236" s="2" t="s">
        <v>47</v>
      </c>
    </row>
    <row r="237" spans="1:13" x14ac:dyDescent="0.25">
      <c r="A237" s="2" t="s">
        <v>681</v>
      </c>
      <c r="B237" s="2" t="s">
        <v>682</v>
      </c>
      <c r="C237" s="2" t="s">
        <v>238</v>
      </c>
      <c r="D237" s="2" t="s">
        <v>51</v>
      </c>
      <c r="E237" s="2" t="s">
        <v>284</v>
      </c>
      <c r="F237" s="2" t="s">
        <v>435</v>
      </c>
      <c r="G237" s="2">
        <v>5</v>
      </c>
      <c r="H237" s="2">
        <v>68900</v>
      </c>
      <c r="I237" s="2" t="s">
        <v>138</v>
      </c>
      <c r="J237" s="2">
        <v>344500</v>
      </c>
      <c r="K237" s="2" t="s">
        <v>19</v>
      </c>
      <c r="L237" s="2" t="s">
        <v>220</v>
      </c>
      <c r="M237" s="2" t="s">
        <v>128</v>
      </c>
    </row>
    <row r="238" spans="1:13" x14ac:dyDescent="0.25">
      <c r="A238" s="2" t="s">
        <v>683</v>
      </c>
      <c r="B238" s="2" t="s">
        <v>684</v>
      </c>
      <c r="C238" s="2" t="s">
        <v>685</v>
      </c>
      <c r="D238" s="2" t="s">
        <v>33</v>
      </c>
      <c r="E238" s="2" t="s">
        <v>195</v>
      </c>
      <c r="F238" s="2" t="s">
        <v>35</v>
      </c>
      <c r="G238" s="2">
        <v>6</v>
      </c>
      <c r="H238" s="2">
        <v>-1160</v>
      </c>
      <c r="I238" s="2">
        <v>0</v>
      </c>
      <c r="J238" s="2">
        <v>6960</v>
      </c>
      <c r="K238" s="2" t="s">
        <v>172</v>
      </c>
      <c r="L238" s="2" t="s">
        <v>79</v>
      </c>
      <c r="M238" s="2" t="s">
        <v>128</v>
      </c>
    </row>
    <row r="239" spans="1:13" x14ac:dyDescent="0.25">
      <c r="A239" s="2" t="s">
        <v>686</v>
      </c>
      <c r="B239" s="2" t="s">
        <v>687</v>
      </c>
      <c r="C239" s="2" t="s">
        <v>32</v>
      </c>
      <c r="D239" s="2" t="s">
        <v>33</v>
      </c>
      <c r="E239" s="2" t="s">
        <v>231</v>
      </c>
      <c r="F239" s="2" t="s">
        <v>184</v>
      </c>
      <c r="G239" s="2">
        <v>2</v>
      </c>
      <c r="H239" s="2">
        <v>19430</v>
      </c>
      <c r="I239" s="2">
        <v>10</v>
      </c>
      <c r="J239" s="2">
        <v>34974</v>
      </c>
      <c r="K239" s="2" t="s">
        <v>139</v>
      </c>
      <c r="L239" s="2" t="s">
        <v>168</v>
      </c>
      <c r="M239" s="2" t="s">
        <v>29</v>
      </c>
    </row>
    <row r="240" spans="1:13" x14ac:dyDescent="0.25">
      <c r="A240" s="2" t="s">
        <v>688</v>
      </c>
      <c r="B240" s="2" t="s">
        <v>689</v>
      </c>
      <c r="C240" s="2" t="s">
        <v>657</v>
      </c>
      <c r="D240" s="2" t="s">
        <v>58</v>
      </c>
      <c r="E240" s="2" t="s">
        <v>137</v>
      </c>
      <c r="F240" s="2" t="s">
        <v>71</v>
      </c>
      <c r="G240" s="2">
        <v>9</v>
      </c>
      <c r="H240" s="2">
        <v>13000</v>
      </c>
      <c r="I240" s="2"/>
      <c r="J240" s="2">
        <v>105300</v>
      </c>
      <c r="K240" s="2" t="s">
        <v>133</v>
      </c>
      <c r="L240" s="2" t="s">
        <v>46</v>
      </c>
      <c r="M240" s="2" t="s">
        <v>47</v>
      </c>
    </row>
    <row r="241" spans="1:13" x14ac:dyDescent="0.25">
      <c r="A241" s="2" t="s">
        <v>690</v>
      </c>
      <c r="B241" s="2" t="s">
        <v>691</v>
      </c>
      <c r="C241" s="2" t="s">
        <v>24</v>
      </c>
      <c r="D241" s="2" t="s">
        <v>16</v>
      </c>
      <c r="E241" s="2" t="s">
        <v>131</v>
      </c>
      <c r="F241" s="2" t="s">
        <v>126</v>
      </c>
      <c r="G241" s="2">
        <v>11</v>
      </c>
      <c r="H241" s="2">
        <v>62670</v>
      </c>
      <c r="I241" s="2">
        <v>0</v>
      </c>
      <c r="J241" s="2">
        <v>689370</v>
      </c>
      <c r="K241" s="2" t="s">
        <v>72</v>
      </c>
      <c r="L241" s="2" t="s">
        <v>28</v>
      </c>
      <c r="M241" s="2" t="s">
        <v>21</v>
      </c>
    </row>
    <row r="242" spans="1:13" x14ac:dyDescent="0.25">
      <c r="A242" s="2" t="s">
        <v>692</v>
      </c>
      <c r="B242" s="2" t="s">
        <v>693</v>
      </c>
      <c r="C242" s="2" t="s">
        <v>135</v>
      </c>
      <c r="D242" s="2" t="s">
        <v>58</v>
      </c>
      <c r="E242" s="2" t="s">
        <v>82</v>
      </c>
      <c r="F242" s="2" t="s">
        <v>83</v>
      </c>
      <c r="G242" s="2">
        <v>2</v>
      </c>
      <c r="H242" s="2">
        <v>63010</v>
      </c>
      <c r="I242" s="2">
        <v>0</v>
      </c>
      <c r="J242" s="2">
        <v>126020</v>
      </c>
      <c r="K242" s="2" t="s">
        <v>36</v>
      </c>
      <c r="L242" s="2" t="s">
        <v>95</v>
      </c>
      <c r="M242" s="2"/>
    </row>
    <row r="243" spans="1:13" x14ac:dyDescent="0.25">
      <c r="A243" s="2" t="s">
        <v>694</v>
      </c>
      <c r="B243" s="2" t="s">
        <v>695</v>
      </c>
      <c r="C243" s="2" t="s">
        <v>110</v>
      </c>
      <c r="D243" s="2" t="s">
        <v>33</v>
      </c>
      <c r="E243" s="2"/>
      <c r="F243" s="2" t="s">
        <v>167</v>
      </c>
      <c r="G243" s="2">
        <v>7</v>
      </c>
      <c r="H243" s="2">
        <v>13450</v>
      </c>
      <c r="I243" s="2">
        <v>0</v>
      </c>
      <c r="J243" s="2">
        <v>94150</v>
      </c>
      <c r="K243" s="2" t="s">
        <v>53</v>
      </c>
      <c r="L243" s="2" t="s">
        <v>245</v>
      </c>
      <c r="M243" s="2" t="s">
        <v>38</v>
      </c>
    </row>
    <row r="244" spans="1:13" x14ac:dyDescent="0.25">
      <c r="A244" s="2" t="s">
        <v>696</v>
      </c>
      <c r="B244" s="2" t="s">
        <v>697</v>
      </c>
      <c r="C244" s="2" t="s">
        <v>204</v>
      </c>
      <c r="D244" s="2" t="s">
        <v>33</v>
      </c>
      <c r="E244" s="2" t="s">
        <v>17</v>
      </c>
      <c r="F244" s="2" t="s">
        <v>35</v>
      </c>
      <c r="G244" s="2">
        <v>4</v>
      </c>
      <c r="H244" s="2">
        <v>66100</v>
      </c>
      <c r="I244" s="2">
        <v>0</v>
      </c>
      <c r="J244" s="2">
        <v>264400</v>
      </c>
      <c r="K244" s="2" t="s">
        <v>127</v>
      </c>
      <c r="L244" s="2" t="s">
        <v>698</v>
      </c>
      <c r="M244" s="2" t="s">
        <v>140</v>
      </c>
    </row>
    <row r="245" spans="1:13" x14ac:dyDescent="0.25">
      <c r="A245" s="2" t="s">
        <v>699</v>
      </c>
      <c r="B245" s="2" t="s">
        <v>700</v>
      </c>
      <c r="C245" s="2" t="s">
        <v>204</v>
      </c>
      <c r="D245" s="2" t="s">
        <v>33</v>
      </c>
      <c r="E245" s="2" t="s">
        <v>322</v>
      </c>
      <c r="F245" s="2" t="s">
        <v>184</v>
      </c>
      <c r="G245" s="2">
        <v>6</v>
      </c>
      <c r="H245" s="2">
        <v>25500</v>
      </c>
      <c r="I245" s="2">
        <v>5</v>
      </c>
      <c r="J245" s="2"/>
      <c r="K245" s="2" t="s">
        <v>136</v>
      </c>
      <c r="L245" s="2" t="s">
        <v>339</v>
      </c>
      <c r="M245" s="2" t="s">
        <v>21</v>
      </c>
    </row>
    <row r="246" spans="1:13" x14ac:dyDescent="0.25">
      <c r="A246" s="2" t="s">
        <v>701</v>
      </c>
      <c r="B246" s="2" t="s">
        <v>702</v>
      </c>
      <c r="C246" s="2" t="s">
        <v>118</v>
      </c>
      <c r="D246" s="2" t="s">
        <v>51</v>
      </c>
      <c r="E246" s="2" t="s">
        <v>119</v>
      </c>
      <c r="F246" s="2" t="s">
        <v>93</v>
      </c>
      <c r="G246" s="2">
        <v>0</v>
      </c>
      <c r="H246" s="2">
        <v>7050</v>
      </c>
      <c r="I246" s="2">
        <v>5</v>
      </c>
      <c r="J246" s="2">
        <v>80370</v>
      </c>
      <c r="K246" s="2" t="s">
        <v>138</v>
      </c>
      <c r="L246" s="2" t="s">
        <v>266</v>
      </c>
      <c r="M246" s="2" t="s">
        <v>140</v>
      </c>
    </row>
    <row r="247" spans="1:13" x14ac:dyDescent="0.25">
      <c r="A247" s="2" t="s">
        <v>703</v>
      </c>
      <c r="B247" s="2" t="s">
        <v>704</v>
      </c>
      <c r="C247" s="2" t="s">
        <v>156</v>
      </c>
      <c r="D247" s="2" t="s">
        <v>51</v>
      </c>
      <c r="E247" s="2" t="s">
        <v>131</v>
      </c>
      <c r="F247" s="2" t="s">
        <v>296</v>
      </c>
      <c r="G247" s="2">
        <v>12</v>
      </c>
      <c r="H247" s="2">
        <v>530</v>
      </c>
      <c r="I247" s="2">
        <v>10</v>
      </c>
      <c r="J247" s="2">
        <v>5724</v>
      </c>
      <c r="K247" s="2" t="s">
        <v>94</v>
      </c>
      <c r="L247" s="2" t="s">
        <v>705</v>
      </c>
      <c r="M247" s="2" t="s">
        <v>21</v>
      </c>
    </row>
    <row r="248" spans="1:13" x14ac:dyDescent="0.25">
      <c r="A248" s="2" t="s">
        <v>706</v>
      </c>
      <c r="B248" s="2" t="s">
        <v>707</v>
      </c>
      <c r="C248" s="2" t="s">
        <v>32</v>
      </c>
      <c r="D248" s="2" t="s">
        <v>33</v>
      </c>
      <c r="E248" s="2" t="s">
        <v>131</v>
      </c>
      <c r="F248" s="2" t="s">
        <v>132</v>
      </c>
      <c r="G248" s="2">
        <v>5</v>
      </c>
      <c r="H248" s="2">
        <v>16450</v>
      </c>
      <c r="I248" s="2">
        <v>0</v>
      </c>
      <c r="J248" s="2">
        <v>82250</v>
      </c>
      <c r="K248" s="2" t="s">
        <v>53</v>
      </c>
      <c r="L248" s="2" t="s">
        <v>395</v>
      </c>
      <c r="M248" s="2" t="s">
        <v>21</v>
      </c>
    </row>
    <row r="249" spans="1:13" x14ac:dyDescent="0.25">
      <c r="A249" s="2" t="s">
        <v>708</v>
      </c>
      <c r="B249" s="2" t="s">
        <v>709</v>
      </c>
      <c r="C249" s="2" t="s">
        <v>710</v>
      </c>
      <c r="D249" s="2" t="s">
        <v>33</v>
      </c>
      <c r="E249" s="2" t="s">
        <v>295</v>
      </c>
      <c r="F249" s="2" t="s">
        <v>66</v>
      </c>
      <c r="G249" s="2">
        <v>5</v>
      </c>
      <c r="H249" s="2">
        <v>26750</v>
      </c>
      <c r="I249" s="2">
        <v>5</v>
      </c>
      <c r="J249" s="2">
        <v>127062.5</v>
      </c>
      <c r="K249" s="2" t="s">
        <v>172</v>
      </c>
      <c r="L249" s="2" t="s">
        <v>37</v>
      </c>
      <c r="M249" s="2" t="s">
        <v>21</v>
      </c>
    </row>
    <row r="250" spans="1:13" x14ac:dyDescent="0.25">
      <c r="A250" s="2" t="s">
        <v>711</v>
      </c>
      <c r="B250" s="2" t="s">
        <v>712</v>
      </c>
      <c r="C250" s="2" t="s">
        <v>41</v>
      </c>
      <c r="D250" s="2" t="s">
        <v>42</v>
      </c>
      <c r="E250" s="2" t="s">
        <v>59</v>
      </c>
      <c r="F250" s="2" t="s">
        <v>60</v>
      </c>
      <c r="G250" s="2">
        <v>2</v>
      </c>
      <c r="H250" s="2">
        <v>8130</v>
      </c>
      <c r="I250" s="2">
        <v>0</v>
      </c>
      <c r="J250" s="2">
        <v>16260</v>
      </c>
      <c r="K250" s="2" t="s">
        <v>120</v>
      </c>
      <c r="L250" s="2" t="s">
        <v>168</v>
      </c>
      <c r="M250" s="2" t="s">
        <v>29</v>
      </c>
    </row>
    <row r="251" spans="1:13" x14ac:dyDescent="0.25">
      <c r="A251" s="2" t="s">
        <v>713</v>
      </c>
      <c r="B251" s="2" t="s">
        <v>714</v>
      </c>
      <c r="C251" s="2" t="s">
        <v>162</v>
      </c>
      <c r="D251" s="2" t="s">
        <v>33</v>
      </c>
      <c r="E251" s="2" t="s">
        <v>25</v>
      </c>
      <c r="F251" s="2" t="s">
        <v>26</v>
      </c>
      <c r="G251" s="2">
        <v>1</v>
      </c>
      <c r="H251" s="2">
        <v>44540</v>
      </c>
      <c r="I251" s="2">
        <v>0</v>
      </c>
      <c r="J251" s="2">
        <v>44540</v>
      </c>
      <c r="K251" s="2" t="s">
        <v>139</v>
      </c>
      <c r="L251" s="2" t="s">
        <v>249</v>
      </c>
      <c r="M251" s="2" t="s">
        <v>210</v>
      </c>
    </row>
    <row r="252" spans="1:13" x14ac:dyDescent="0.25">
      <c r="A252" s="2" t="s">
        <v>715</v>
      </c>
      <c r="B252" s="2" t="s">
        <v>716</v>
      </c>
      <c r="C252" s="2" t="s">
        <v>41</v>
      </c>
      <c r="D252" s="2" t="s">
        <v>42</v>
      </c>
      <c r="E252" s="2" t="s">
        <v>17</v>
      </c>
      <c r="F252" s="2" t="s">
        <v>374</v>
      </c>
      <c r="G252" s="2">
        <v>4</v>
      </c>
      <c r="H252" s="2">
        <v>62280</v>
      </c>
      <c r="I252" s="2">
        <v>0</v>
      </c>
      <c r="J252" s="2">
        <v>249120</v>
      </c>
      <c r="K252" s="2" t="s">
        <v>107</v>
      </c>
      <c r="L252" s="2" t="s">
        <v>61</v>
      </c>
      <c r="M252" s="2" t="s">
        <v>29</v>
      </c>
    </row>
    <row r="253" spans="1:13" x14ac:dyDescent="0.25">
      <c r="A253" s="2" t="s">
        <v>717</v>
      </c>
      <c r="B253" s="2" t="s">
        <v>718</v>
      </c>
      <c r="C253" s="2" t="s">
        <v>76</v>
      </c>
      <c r="D253" s="2" t="s">
        <v>33</v>
      </c>
      <c r="E253" s="2" t="s">
        <v>17</v>
      </c>
      <c r="F253" s="2" t="s">
        <v>71</v>
      </c>
      <c r="G253" s="2">
        <v>1</v>
      </c>
      <c r="H253" s="2">
        <v>16900</v>
      </c>
      <c r="I253" s="2">
        <v>10</v>
      </c>
      <c r="J253" s="2">
        <v>15210</v>
      </c>
      <c r="K253" s="2" t="s">
        <v>53</v>
      </c>
      <c r="L253" s="2" t="s">
        <v>145</v>
      </c>
      <c r="M253" s="2" t="s">
        <v>21</v>
      </c>
    </row>
    <row r="254" spans="1:13" x14ac:dyDescent="0.25">
      <c r="A254" s="2" t="s">
        <v>719</v>
      </c>
      <c r="B254" s="2" t="s">
        <v>540</v>
      </c>
      <c r="C254" s="2" t="s">
        <v>238</v>
      </c>
      <c r="D254" s="2" t="s">
        <v>51</v>
      </c>
      <c r="E254" s="2" t="s">
        <v>295</v>
      </c>
      <c r="F254" s="2" t="s">
        <v>219</v>
      </c>
      <c r="G254" s="2">
        <v>5</v>
      </c>
      <c r="H254" s="2">
        <v>510</v>
      </c>
      <c r="I254" s="2">
        <v>0</v>
      </c>
      <c r="J254" s="2">
        <v>2550</v>
      </c>
      <c r="K254" s="2" t="s">
        <v>27</v>
      </c>
      <c r="L254" s="2" t="s">
        <v>720</v>
      </c>
      <c r="M254" s="2" t="s">
        <v>140</v>
      </c>
    </row>
    <row r="255" spans="1:13" x14ac:dyDescent="0.25">
      <c r="A255" s="2" t="s">
        <v>721</v>
      </c>
      <c r="B255" s="2" t="s">
        <v>722</v>
      </c>
      <c r="C255" s="2" t="s">
        <v>57</v>
      </c>
      <c r="D255" s="2" t="s">
        <v>58</v>
      </c>
      <c r="E255" s="2" t="s">
        <v>163</v>
      </c>
      <c r="F255" s="2" t="s">
        <v>164</v>
      </c>
      <c r="G255" s="2">
        <v>3</v>
      </c>
      <c r="H255" s="2">
        <v>66900</v>
      </c>
      <c r="I255" s="2">
        <v>0</v>
      </c>
      <c r="J255" s="2">
        <v>200700</v>
      </c>
      <c r="K255" s="2" t="s">
        <v>127</v>
      </c>
      <c r="L255" s="2" t="s">
        <v>558</v>
      </c>
      <c r="M255" s="2" t="s">
        <v>21</v>
      </c>
    </row>
    <row r="256" spans="1:13" x14ac:dyDescent="0.25">
      <c r="A256" s="2" t="s">
        <v>723</v>
      </c>
      <c r="B256" s="2" t="s">
        <v>724</v>
      </c>
      <c r="C256" s="2" t="s">
        <v>156</v>
      </c>
      <c r="D256" s="2" t="s">
        <v>51</v>
      </c>
      <c r="E256" s="2" t="s">
        <v>284</v>
      </c>
      <c r="F256" s="2" t="s">
        <v>83</v>
      </c>
      <c r="G256" s="2">
        <v>2</v>
      </c>
      <c r="H256" s="2">
        <v>10100</v>
      </c>
      <c r="I256" s="2">
        <v>0</v>
      </c>
      <c r="J256" s="2">
        <v>20200</v>
      </c>
      <c r="K256" s="2" t="s">
        <v>157</v>
      </c>
      <c r="L256" s="2" t="s">
        <v>341</v>
      </c>
      <c r="M256" s="2"/>
    </row>
    <row r="257" spans="1:13" x14ac:dyDescent="0.25">
      <c r="A257" s="2" t="s">
        <v>725</v>
      </c>
      <c r="B257" s="2" t="s">
        <v>726</v>
      </c>
      <c r="C257" s="2" t="s">
        <v>76</v>
      </c>
      <c r="D257" s="2" t="s">
        <v>33</v>
      </c>
      <c r="E257" s="2" t="s">
        <v>148</v>
      </c>
      <c r="F257" s="2" t="s">
        <v>60</v>
      </c>
      <c r="G257" s="2">
        <v>6</v>
      </c>
      <c r="H257" s="2">
        <v>2630</v>
      </c>
      <c r="I257" s="2">
        <v>0</v>
      </c>
      <c r="J257" s="2">
        <v>15780</v>
      </c>
      <c r="K257" s="2" t="s">
        <v>139</v>
      </c>
      <c r="L257" s="2" t="s">
        <v>112</v>
      </c>
      <c r="M257" s="2" t="s">
        <v>47</v>
      </c>
    </row>
    <row r="258" spans="1:13" x14ac:dyDescent="0.25">
      <c r="A258" s="2" t="s">
        <v>727</v>
      </c>
      <c r="B258" s="2" t="s">
        <v>728</v>
      </c>
      <c r="C258" s="2" t="s">
        <v>378</v>
      </c>
      <c r="D258" s="2" t="s">
        <v>51</v>
      </c>
      <c r="E258" s="2" t="s">
        <v>179</v>
      </c>
      <c r="F258" s="2" t="s">
        <v>232</v>
      </c>
      <c r="G258" s="2">
        <v>12</v>
      </c>
      <c r="H258" s="2">
        <v>18600</v>
      </c>
      <c r="I258" s="2">
        <v>0</v>
      </c>
      <c r="J258" s="2">
        <v>223200</v>
      </c>
      <c r="K258" s="2" t="s">
        <v>87</v>
      </c>
      <c r="L258" s="2" t="s">
        <v>68</v>
      </c>
      <c r="M258" s="2" t="s">
        <v>21</v>
      </c>
    </row>
    <row r="259" spans="1:13" x14ac:dyDescent="0.25">
      <c r="A259" s="2" t="s">
        <v>729</v>
      </c>
      <c r="B259" s="2" t="s">
        <v>410</v>
      </c>
      <c r="C259" s="2" t="s">
        <v>238</v>
      </c>
      <c r="D259" s="2"/>
      <c r="E259" s="2" t="s">
        <v>137</v>
      </c>
      <c r="F259" s="2" t="s">
        <v>18</v>
      </c>
      <c r="G259" s="2">
        <v>5</v>
      </c>
      <c r="H259" s="2">
        <v>3860</v>
      </c>
      <c r="I259" s="2">
        <v>0</v>
      </c>
      <c r="J259" s="2">
        <v>19300</v>
      </c>
      <c r="K259" s="2" t="s">
        <v>144</v>
      </c>
      <c r="L259" s="2" t="s">
        <v>28</v>
      </c>
      <c r="M259" s="2" t="s">
        <v>21</v>
      </c>
    </row>
    <row r="260" spans="1:13" x14ac:dyDescent="0.25">
      <c r="A260" s="2" t="s">
        <v>730</v>
      </c>
      <c r="B260" s="2" t="s">
        <v>731</v>
      </c>
      <c r="C260" s="2" t="s">
        <v>64</v>
      </c>
      <c r="D260" s="2" t="s">
        <v>51</v>
      </c>
      <c r="E260" s="2" t="s">
        <v>111</v>
      </c>
      <c r="F260" s="2" t="s">
        <v>239</v>
      </c>
      <c r="G260" s="2">
        <v>9</v>
      </c>
      <c r="H260" s="2">
        <v>520</v>
      </c>
      <c r="I260" s="2">
        <v>0</v>
      </c>
      <c r="J260" s="2">
        <v>4680</v>
      </c>
      <c r="K260" s="2" t="s">
        <v>127</v>
      </c>
      <c r="L260" s="2" t="s">
        <v>228</v>
      </c>
      <c r="M260" s="2" t="s">
        <v>47</v>
      </c>
    </row>
    <row r="261" spans="1:13" x14ac:dyDescent="0.25">
      <c r="A261" s="2" t="s">
        <v>732</v>
      </c>
      <c r="B261" s="2" t="s">
        <v>733</v>
      </c>
      <c r="C261" s="2" t="s">
        <v>57</v>
      </c>
      <c r="D261" s="2" t="s">
        <v>58</v>
      </c>
      <c r="E261" s="2" t="s">
        <v>295</v>
      </c>
      <c r="F261" s="2" t="s">
        <v>101</v>
      </c>
      <c r="G261" s="2">
        <v>1</v>
      </c>
      <c r="H261" s="2">
        <v>7290</v>
      </c>
      <c r="I261" s="2">
        <v>0</v>
      </c>
      <c r="J261" s="2" t="s">
        <v>138</v>
      </c>
      <c r="K261" s="2" t="s">
        <v>152</v>
      </c>
      <c r="L261" s="2" t="s">
        <v>176</v>
      </c>
      <c r="M261" s="2" t="s">
        <v>47</v>
      </c>
    </row>
    <row r="262" spans="1:13" x14ac:dyDescent="0.25">
      <c r="A262" s="2" t="s">
        <v>734</v>
      </c>
      <c r="B262" s="2" t="s">
        <v>735</v>
      </c>
      <c r="C262" s="2" t="s">
        <v>156</v>
      </c>
      <c r="D262" s="2" t="s">
        <v>51</v>
      </c>
      <c r="E262" s="2" t="s">
        <v>148</v>
      </c>
      <c r="F262" s="2" t="s">
        <v>60</v>
      </c>
      <c r="G262" s="2">
        <v>10</v>
      </c>
      <c r="H262" s="2">
        <v>11080</v>
      </c>
      <c r="I262" s="2">
        <v>0</v>
      </c>
      <c r="J262" s="2">
        <v>110800</v>
      </c>
      <c r="K262" s="2" t="s">
        <v>19</v>
      </c>
      <c r="L262" s="2" t="s">
        <v>168</v>
      </c>
      <c r="M262" s="2" t="s">
        <v>47</v>
      </c>
    </row>
    <row r="263" spans="1:13" x14ac:dyDescent="0.25">
      <c r="A263" s="2" t="s">
        <v>736</v>
      </c>
      <c r="B263" s="2" t="s">
        <v>737</v>
      </c>
      <c r="C263" s="2" t="s">
        <v>41</v>
      </c>
      <c r="D263" s="2" t="s">
        <v>42</v>
      </c>
      <c r="E263" s="2" t="s">
        <v>119</v>
      </c>
      <c r="F263" s="2" t="s">
        <v>248</v>
      </c>
      <c r="G263" s="2">
        <v>2</v>
      </c>
      <c r="H263" s="2">
        <v>480</v>
      </c>
      <c r="I263" s="2">
        <v>0</v>
      </c>
      <c r="J263" s="2">
        <v>960</v>
      </c>
      <c r="K263" s="2" t="s">
        <v>19</v>
      </c>
      <c r="L263" s="2" t="s">
        <v>249</v>
      </c>
      <c r="M263" s="2" t="s">
        <v>47</v>
      </c>
    </row>
    <row r="264" spans="1:13" x14ac:dyDescent="0.25">
      <c r="A264" s="2" t="s">
        <v>738</v>
      </c>
      <c r="B264" s="2" t="s">
        <v>739</v>
      </c>
      <c r="C264" s="2" t="s">
        <v>469</v>
      </c>
      <c r="D264" s="2" t="s">
        <v>51</v>
      </c>
      <c r="E264" s="2" t="s">
        <v>65</v>
      </c>
      <c r="F264" s="2" t="s">
        <v>132</v>
      </c>
      <c r="G264" s="2">
        <v>6</v>
      </c>
      <c r="H264" s="2">
        <v>2630</v>
      </c>
      <c r="I264" s="2">
        <v>0</v>
      </c>
      <c r="J264" s="2">
        <v>15780</v>
      </c>
      <c r="K264" s="2" t="s">
        <v>67</v>
      </c>
      <c r="L264" s="2" t="s">
        <v>740</v>
      </c>
      <c r="M264" s="2" t="s">
        <v>215</v>
      </c>
    </row>
    <row r="265" spans="1:13" x14ac:dyDescent="0.25">
      <c r="A265" s="2" t="s">
        <v>741</v>
      </c>
      <c r="B265" s="2" t="s">
        <v>742</v>
      </c>
      <c r="C265" s="2" t="s">
        <v>238</v>
      </c>
      <c r="D265" s="2" t="s">
        <v>51</v>
      </c>
      <c r="E265" s="2" t="s">
        <v>59</v>
      </c>
      <c r="F265" s="2" t="s">
        <v>83</v>
      </c>
      <c r="G265" s="2">
        <v>2</v>
      </c>
      <c r="H265" s="2">
        <v>5110</v>
      </c>
      <c r="I265" s="2">
        <v>0</v>
      </c>
      <c r="J265" s="2">
        <v>10220</v>
      </c>
      <c r="K265" s="2" t="s">
        <v>87</v>
      </c>
      <c r="L265" s="2" t="s">
        <v>743</v>
      </c>
      <c r="M265" s="2" t="s">
        <v>21</v>
      </c>
    </row>
    <row r="266" spans="1:13" x14ac:dyDescent="0.25">
      <c r="A266" s="2" t="s">
        <v>744</v>
      </c>
      <c r="B266" s="2" t="s">
        <v>745</v>
      </c>
      <c r="C266" s="2" t="s">
        <v>400</v>
      </c>
      <c r="D266" s="2" t="s">
        <v>33</v>
      </c>
      <c r="E266" s="2" t="s">
        <v>295</v>
      </c>
      <c r="F266" s="2" t="s">
        <v>319</v>
      </c>
      <c r="G266" s="2">
        <v>12</v>
      </c>
      <c r="H266" s="2">
        <v>9910</v>
      </c>
      <c r="I266" s="2">
        <v>5</v>
      </c>
      <c r="J266" s="2">
        <v>112974</v>
      </c>
      <c r="K266" s="2" t="s">
        <v>144</v>
      </c>
      <c r="L266" s="2" t="s">
        <v>121</v>
      </c>
      <c r="M266" s="2" t="s">
        <v>38</v>
      </c>
    </row>
    <row r="267" spans="1:13" x14ac:dyDescent="0.25">
      <c r="A267" s="2" t="s">
        <v>746</v>
      </c>
      <c r="B267" s="2" t="s">
        <v>747</v>
      </c>
      <c r="C267" s="2" t="s">
        <v>107</v>
      </c>
      <c r="D267" s="2" t="s">
        <v>16</v>
      </c>
      <c r="E267" s="2" t="s">
        <v>137</v>
      </c>
      <c r="F267" s="2" t="s">
        <v>171</v>
      </c>
      <c r="G267" s="2">
        <v>12</v>
      </c>
      <c r="H267" s="2">
        <v>9430</v>
      </c>
      <c r="I267" s="2">
        <v>10</v>
      </c>
      <c r="J267" s="2">
        <v>101844</v>
      </c>
      <c r="K267" s="2" t="s">
        <v>127</v>
      </c>
      <c r="L267" s="2" t="s">
        <v>748</v>
      </c>
      <c r="M267" s="2" t="s">
        <v>21</v>
      </c>
    </row>
    <row r="268" spans="1:13" x14ac:dyDescent="0.25">
      <c r="A268" s="2" t="s">
        <v>749</v>
      </c>
      <c r="B268" s="2" t="s">
        <v>750</v>
      </c>
      <c r="C268" s="2" t="s">
        <v>124</v>
      </c>
      <c r="D268" s="2" t="s">
        <v>51</v>
      </c>
      <c r="E268" s="2" t="s">
        <v>295</v>
      </c>
      <c r="F268" s="2" t="s">
        <v>319</v>
      </c>
      <c r="G268" s="2">
        <v>6</v>
      </c>
      <c r="H268" s="2">
        <v>73660</v>
      </c>
      <c r="I268" s="2">
        <v>0</v>
      </c>
      <c r="J268" s="2">
        <v>441960</v>
      </c>
      <c r="K268" s="2" t="s">
        <v>67</v>
      </c>
      <c r="L268" s="2" t="s">
        <v>584</v>
      </c>
      <c r="M268" s="2" t="s">
        <v>29</v>
      </c>
    </row>
    <row r="269" spans="1:13" x14ac:dyDescent="0.25">
      <c r="A269" s="2" t="s">
        <v>751</v>
      </c>
      <c r="B269" s="2" t="s">
        <v>752</v>
      </c>
      <c r="C269" s="2" t="s">
        <v>227</v>
      </c>
      <c r="D269" s="2" t="s">
        <v>33</v>
      </c>
      <c r="E269" s="2" t="s">
        <v>43</v>
      </c>
      <c r="F269" s="2" t="s">
        <v>255</v>
      </c>
      <c r="G269" s="2">
        <v>5</v>
      </c>
      <c r="H269" s="2">
        <v>4540</v>
      </c>
      <c r="I269" s="2">
        <v>10</v>
      </c>
      <c r="J269" s="2"/>
      <c r="K269" s="2" t="s">
        <v>157</v>
      </c>
      <c r="L269" s="2" t="s">
        <v>84</v>
      </c>
      <c r="M269" s="2" t="s">
        <v>128</v>
      </c>
    </row>
    <row r="270" spans="1:13" x14ac:dyDescent="0.25">
      <c r="A270" s="2" t="s">
        <v>753</v>
      </c>
      <c r="B270" s="2" t="s">
        <v>754</v>
      </c>
      <c r="C270" s="2" t="s">
        <v>531</v>
      </c>
      <c r="D270" s="2" t="s">
        <v>33</v>
      </c>
      <c r="E270" s="2" t="s">
        <v>111</v>
      </c>
      <c r="F270" s="2" t="s">
        <v>224</v>
      </c>
      <c r="G270" s="2">
        <v>4</v>
      </c>
      <c r="H270" s="2">
        <v>18510</v>
      </c>
      <c r="I270" s="2">
        <v>0</v>
      </c>
      <c r="J270" s="2">
        <v>74040</v>
      </c>
      <c r="K270" s="2" t="s">
        <v>102</v>
      </c>
      <c r="L270" s="2" t="s">
        <v>755</v>
      </c>
      <c r="M270" s="2" t="s">
        <v>47</v>
      </c>
    </row>
    <row r="271" spans="1:13" x14ac:dyDescent="0.25">
      <c r="A271" s="2" t="s">
        <v>756</v>
      </c>
      <c r="B271" s="2" t="s">
        <v>757</v>
      </c>
      <c r="C271" s="2" t="s">
        <v>136</v>
      </c>
      <c r="D271" s="2" t="s">
        <v>33</v>
      </c>
      <c r="E271" s="2" t="s">
        <v>92</v>
      </c>
      <c r="F271" s="2" t="s">
        <v>93</v>
      </c>
      <c r="G271" s="2">
        <v>9</v>
      </c>
      <c r="H271" s="2">
        <v>11050</v>
      </c>
      <c r="I271" s="2">
        <v>0</v>
      </c>
      <c r="J271" s="2">
        <v>99450</v>
      </c>
      <c r="K271" s="2" t="s">
        <v>139</v>
      </c>
      <c r="L271" s="2" t="s">
        <v>758</v>
      </c>
      <c r="M271" s="2" t="s">
        <v>21</v>
      </c>
    </row>
    <row r="272" spans="1:13" x14ac:dyDescent="0.25">
      <c r="A272" s="2" t="s">
        <v>759</v>
      </c>
      <c r="B272" s="2" t="s">
        <v>760</v>
      </c>
      <c r="C272" s="2" t="s">
        <v>24</v>
      </c>
      <c r="D272" s="2" t="s">
        <v>16</v>
      </c>
      <c r="E272" s="2" t="s">
        <v>322</v>
      </c>
      <c r="F272" s="2" t="s">
        <v>543</v>
      </c>
      <c r="G272" s="2">
        <v>12</v>
      </c>
      <c r="H272" s="2">
        <v>5680</v>
      </c>
      <c r="I272" s="2">
        <v>0</v>
      </c>
      <c r="J272" s="2">
        <v>68160</v>
      </c>
      <c r="K272" s="2" t="s">
        <v>172</v>
      </c>
      <c r="L272" s="2" t="s">
        <v>168</v>
      </c>
      <c r="M272" s="2" t="s">
        <v>21</v>
      </c>
    </row>
    <row r="273" spans="1:13" x14ac:dyDescent="0.25">
      <c r="A273" s="2" t="s">
        <v>761</v>
      </c>
      <c r="B273" s="2" t="s">
        <v>762</v>
      </c>
      <c r="C273" s="2" t="s">
        <v>135</v>
      </c>
      <c r="D273" s="2" t="s">
        <v>58</v>
      </c>
      <c r="E273" s="2" t="s">
        <v>65</v>
      </c>
      <c r="F273" s="2" t="s">
        <v>314</v>
      </c>
      <c r="G273" s="2">
        <v>4</v>
      </c>
      <c r="H273" s="2">
        <v>3470</v>
      </c>
      <c r="I273" s="2">
        <v>0</v>
      </c>
      <c r="J273" s="2">
        <v>13880</v>
      </c>
      <c r="K273" s="2" t="s">
        <v>45</v>
      </c>
      <c r="L273" s="2" t="s">
        <v>153</v>
      </c>
      <c r="M273" s="2" t="s">
        <v>138</v>
      </c>
    </row>
    <row r="274" spans="1:13" x14ac:dyDescent="0.25">
      <c r="A274" s="2" t="s">
        <v>763</v>
      </c>
      <c r="B274" s="2" t="s">
        <v>764</v>
      </c>
      <c r="C274" s="2" t="s">
        <v>50</v>
      </c>
      <c r="D274" s="2" t="s">
        <v>51</v>
      </c>
      <c r="E274" s="2"/>
      <c r="F274" s="2" t="s">
        <v>71</v>
      </c>
      <c r="G274" s="2">
        <v>3</v>
      </c>
      <c r="H274" s="2">
        <v>1310</v>
      </c>
      <c r="I274" s="2" t="s">
        <v>223</v>
      </c>
      <c r="J274" s="2">
        <v>3733.5</v>
      </c>
      <c r="K274" s="2" t="s">
        <v>94</v>
      </c>
      <c r="L274" s="2" t="s">
        <v>491</v>
      </c>
      <c r="M274" s="2" t="s">
        <v>47</v>
      </c>
    </row>
    <row r="275" spans="1:13" x14ac:dyDescent="0.25">
      <c r="A275" s="2" t="s">
        <v>765</v>
      </c>
      <c r="B275" s="2" t="s">
        <v>766</v>
      </c>
      <c r="C275" s="2" t="s">
        <v>64</v>
      </c>
      <c r="D275" s="2" t="s">
        <v>51</v>
      </c>
      <c r="E275" s="2" t="s">
        <v>34</v>
      </c>
      <c r="F275" s="2" t="s">
        <v>290</v>
      </c>
      <c r="G275" s="2">
        <v>3</v>
      </c>
      <c r="H275" s="2">
        <v>25900</v>
      </c>
      <c r="I275" s="2">
        <v>0</v>
      </c>
      <c r="J275" s="2">
        <v>77700</v>
      </c>
      <c r="K275" s="2" t="s">
        <v>87</v>
      </c>
      <c r="L275" s="2" t="s">
        <v>168</v>
      </c>
      <c r="M275" s="2" t="s">
        <v>38</v>
      </c>
    </row>
    <row r="276" spans="1:13" x14ac:dyDescent="0.25">
      <c r="A276" s="2" t="s">
        <v>767</v>
      </c>
      <c r="B276" s="2" t="s">
        <v>768</v>
      </c>
      <c r="C276" s="2" t="s">
        <v>156</v>
      </c>
      <c r="D276" s="2" t="s">
        <v>51</v>
      </c>
      <c r="E276" s="2" t="s">
        <v>82</v>
      </c>
      <c r="F276" s="2" t="s">
        <v>149</v>
      </c>
      <c r="G276" s="2">
        <v>1</v>
      </c>
      <c r="H276" s="2">
        <v>4770</v>
      </c>
      <c r="I276" s="2">
        <v>0</v>
      </c>
      <c r="J276" s="2">
        <v>4770</v>
      </c>
      <c r="K276" s="2" t="s">
        <v>19</v>
      </c>
      <c r="L276" s="2" t="s">
        <v>79</v>
      </c>
      <c r="M276" s="2" t="s">
        <v>128</v>
      </c>
    </row>
    <row r="277" spans="1:13" x14ac:dyDescent="0.25">
      <c r="A277" s="2" t="s">
        <v>769</v>
      </c>
      <c r="B277" s="2" t="s">
        <v>86</v>
      </c>
      <c r="C277" s="2" t="s">
        <v>76</v>
      </c>
      <c r="D277" s="2" t="s">
        <v>33</v>
      </c>
      <c r="E277" s="2" t="s">
        <v>25</v>
      </c>
      <c r="F277" s="2" t="s">
        <v>248</v>
      </c>
      <c r="G277" s="2">
        <v>11</v>
      </c>
      <c r="H277" s="2">
        <v>1320</v>
      </c>
      <c r="I277" s="2">
        <v>10</v>
      </c>
      <c r="J277" s="2">
        <v>13068</v>
      </c>
      <c r="K277" s="2" t="s">
        <v>172</v>
      </c>
      <c r="L277" s="2" t="s">
        <v>84</v>
      </c>
      <c r="M277" s="2" t="s">
        <v>189</v>
      </c>
    </row>
    <row r="278" spans="1:13" x14ac:dyDescent="0.25">
      <c r="A278" s="2" t="s">
        <v>770</v>
      </c>
      <c r="B278" s="2" t="s">
        <v>771</v>
      </c>
      <c r="C278" s="2" t="s">
        <v>41</v>
      </c>
      <c r="D278" s="2" t="s">
        <v>42</v>
      </c>
      <c r="E278" s="2" t="s">
        <v>52</v>
      </c>
      <c r="F278" s="2" t="s">
        <v>332</v>
      </c>
      <c r="G278" s="2">
        <v>12</v>
      </c>
      <c r="H278" s="2">
        <v>7800</v>
      </c>
      <c r="I278" s="2">
        <v>10</v>
      </c>
      <c r="J278" s="2">
        <v>84240</v>
      </c>
      <c r="K278" s="2" t="s">
        <v>53</v>
      </c>
      <c r="L278" s="2" t="s">
        <v>271</v>
      </c>
      <c r="M278" s="2" t="s">
        <v>140</v>
      </c>
    </row>
    <row r="279" spans="1:13" x14ac:dyDescent="0.25">
      <c r="A279" s="2" t="s">
        <v>772</v>
      </c>
      <c r="B279" s="2" t="s">
        <v>687</v>
      </c>
      <c r="C279" s="2" t="s">
        <v>773</v>
      </c>
      <c r="D279" s="2" t="s">
        <v>16</v>
      </c>
      <c r="E279" s="2" t="s">
        <v>295</v>
      </c>
      <c r="F279" s="2" t="s">
        <v>132</v>
      </c>
      <c r="G279" s="2">
        <v>5</v>
      </c>
      <c r="H279" s="2">
        <v>2850</v>
      </c>
      <c r="I279" s="2">
        <v>0</v>
      </c>
      <c r="J279" s="2">
        <v>14250</v>
      </c>
      <c r="K279" s="2" t="s">
        <v>133</v>
      </c>
      <c r="L279" s="2" t="s">
        <v>79</v>
      </c>
      <c r="M279" s="2" t="s">
        <v>128</v>
      </c>
    </row>
    <row r="280" spans="1:13" x14ac:dyDescent="0.25">
      <c r="A280" s="2" t="s">
        <v>774</v>
      </c>
      <c r="B280" s="2" t="s">
        <v>775</v>
      </c>
      <c r="C280" s="2" t="s">
        <v>194</v>
      </c>
      <c r="D280" s="2" t="s">
        <v>51</v>
      </c>
      <c r="E280" s="2" t="s">
        <v>179</v>
      </c>
      <c r="F280" s="2" t="s">
        <v>184</v>
      </c>
      <c r="G280" s="2">
        <v>8</v>
      </c>
      <c r="H280" s="2">
        <v>27080</v>
      </c>
      <c r="I280" s="2">
        <v>0</v>
      </c>
      <c r="J280" s="2">
        <v>216640</v>
      </c>
      <c r="K280" s="2" t="s">
        <v>133</v>
      </c>
      <c r="L280" s="2" t="s">
        <v>776</v>
      </c>
      <c r="M280" s="2" t="s">
        <v>140</v>
      </c>
    </row>
    <row r="281" spans="1:13" x14ac:dyDescent="0.25">
      <c r="A281" s="2" t="s">
        <v>777</v>
      </c>
      <c r="B281" s="2" t="s">
        <v>778</v>
      </c>
      <c r="C281" s="2" t="s">
        <v>41</v>
      </c>
      <c r="D281" s="2" t="s">
        <v>42</v>
      </c>
      <c r="E281" s="2" t="s">
        <v>125</v>
      </c>
      <c r="F281" s="2" t="s">
        <v>314</v>
      </c>
      <c r="G281" s="2">
        <v>2</v>
      </c>
      <c r="H281" s="2">
        <v>2260</v>
      </c>
      <c r="I281" s="2"/>
      <c r="J281" s="2">
        <v>4520</v>
      </c>
      <c r="K281" s="2"/>
      <c r="L281" s="2" t="s">
        <v>73</v>
      </c>
      <c r="M281" s="2" t="s">
        <v>201</v>
      </c>
    </row>
    <row r="282" spans="1:13" x14ac:dyDescent="0.25">
      <c r="A282" s="2" t="s">
        <v>779</v>
      </c>
      <c r="B282" s="2" t="s">
        <v>780</v>
      </c>
      <c r="C282" s="2" t="s">
        <v>227</v>
      </c>
      <c r="D282" s="2" t="s">
        <v>33</v>
      </c>
      <c r="E282" s="2" t="s">
        <v>137</v>
      </c>
      <c r="F282" s="2" t="s">
        <v>171</v>
      </c>
      <c r="G282" s="2">
        <v>9</v>
      </c>
      <c r="H282" s="2"/>
      <c r="I282" s="2">
        <v>0</v>
      </c>
      <c r="J282" s="2">
        <v>4590</v>
      </c>
      <c r="K282" s="2" t="s">
        <v>94</v>
      </c>
      <c r="L282" s="2" t="s">
        <v>558</v>
      </c>
      <c r="M282" s="2" t="s">
        <v>96</v>
      </c>
    </row>
    <row r="283" spans="1:13" x14ac:dyDescent="0.25">
      <c r="A283" s="2" t="s">
        <v>781</v>
      </c>
      <c r="B283" s="2" t="s">
        <v>782</v>
      </c>
      <c r="C283" s="2" t="s">
        <v>156</v>
      </c>
      <c r="D283" s="2" t="s">
        <v>51</v>
      </c>
      <c r="E283" s="2" t="s">
        <v>43</v>
      </c>
      <c r="F283" s="2" t="s">
        <v>26</v>
      </c>
      <c r="G283" s="2">
        <v>9</v>
      </c>
      <c r="H283" s="2">
        <v>27640</v>
      </c>
      <c r="I283" s="2">
        <v>15</v>
      </c>
      <c r="J283" s="2">
        <v>211446</v>
      </c>
      <c r="K283" s="2" t="s">
        <v>107</v>
      </c>
      <c r="L283" s="2" t="s">
        <v>79</v>
      </c>
      <c r="M283" s="2" t="s">
        <v>140</v>
      </c>
    </row>
    <row r="284" spans="1:13" x14ac:dyDescent="0.25">
      <c r="A284" s="2" t="s">
        <v>783</v>
      </c>
      <c r="B284" s="2" t="s">
        <v>784</v>
      </c>
      <c r="C284" s="2" t="s">
        <v>91</v>
      </c>
      <c r="D284" s="2" t="s">
        <v>51</v>
      </c>
      <c r="E284" s="2" t="s">
        <v>148</v>
      </c>
      <c r="F284" s="2" t="s">
        <v>209</v>
      </c>
      <c r="G284" s="2">
        <v>6</v>
      </c>
      <c r="H284" s="2">
        <v>16810</v>
      </c>
      <c r="I284" s="2">
        <v>10</v>
      </c>
      <c r="J284" s="2">
        <v>90774</v>
      </c>
      <c r="K284" s="2" t="s">
        <v>19</v>
      </c>
      <c r="L284" s="2" t="s">
        <v>79</v>
      </c>
      <c r="M284" s="2" t="s">
        <v>21</v>
      </c>
    </row>
    <row r="285" spans="1:13" x14ac:dyDescent="0.25">
      <c r="A285" s="2" t="s">
        <v>785</v>
      </c>
      <c r="B285" s="2" t="s">
        <v>413</v>
      </c>
      <c r="C285" s="2" t="s">
        <v>162</v>
      </c>
      <c r="D285" s="2" t="s">
        <v>33</v>
      </c>
      <c r="E285" s="2" t="s">
        <v>111</v>
      </c>
      <c r="F285" s="2" t="s">
        <v>232</v>
      </c>
      <c r="G285" s="2">
        <v>10</v>
      </c>
      <c r="H285" s="2">
        <v>13060</v>
      </c>
      <c r="I285" s="2" t="s">
        <v>152</v>
      </c>
      <c r="J285" s="2">
        <v>130600</v>
      </c>
      <c r="K285" s="2" t="s">
        <v>53</v>
      </c>
      <c r="L285" s="2" t="s">
        <v>37</v>
      </c>
      <c r="M285" s="2" t="s">
        <v>47</v>
      </c>
    </row>
    <row r="286" spans="1:13" x14ac:dyDescent="0.25">
      <c r="A286" s="2" t="s">
        <v>786</v>
      </c>
      <c r="B286" s="2" t="s">
        <v>583</v>
      </c>
      <c r="C286" s="2" t="s">
        <v>124</v>
      </c>
      <c r="D286" s="2" t="s">
        <v>51</v>
      </c>
      <c r="E286" s="2" t="s">
        <v>82</v>
      </c>
      <c r="F286" s="2" t="s">
        <v>149</v>
      </c>
      <c r="G286" s="2">
        <v>11</v>
      </c>
      <c r="H286" s="2">
        <v>7220</v>
      </c>
      <c r="I286" s="2">
        <v>0</v>
      </c>
      <c r="J286" s="2">
        <v>79420</v>
      </c>
      <c r="K286" s="2" t="s">
        <v>205</v>
      </c>
      <c r="L286" s="2" t="s">
        <v>28</v>
      </c>
      <c r="M286" s="2" t="s">
        <v>47</v>
      </c>
    </row>
    <row r="287" spans="1:13" x14ac:dyDescent="0.25">
      <c r="A287" s="2" t="s">
        <v>787</v>
      </c>
      <c r="B287" s="2" t="s">
        <v>788</v>
      </c>
      <c r="C287" s="2" t="s">
        <v>449</v>
      </c>
      <c r="D287" s="2" t="s">
        <v>138</v>
      </c>
      <c r="E287" s="2" t="s">
        <v>17</v>
      </c>
      <c r="F287" s="2" t="s">
        <v>71</v>
      </c>
      <c r="G287" s="2">
        <v>6</v>
      </c>
      <c r="H287" s="2"/>
      <c r="I287" s="2">
        <v>0</v>
      </c>
      <c r="J287" s="2">
        <v>7740</v>
      </c>
      <c r="K287" s="2" t="s">
        <v>139</v>
      </c>
      <c r="L287" s="2" t="s">
        <v>79</v>
      </c>
      <c r="M287" s="2" t="s">
        <v>128</v>
      </c>
    </row>
    <row r="288" spans="1:13" x14ac:dyDescent="0.25">
      <c r="A288" s="2" t="s">
        <v>789</v>
      </c>
      <c r="B288" s="2" t="s">
        <v>790</v>
      </c>
      <c r="C288" s="2" t="s">
        <v>156</v>
      </c>
      <c r="D288" s="2" t="s">
        <v>51</v>
      </c>
      <c r="E288" s="2" t="s">
        <v>17</v>
      </c>
      <c r="F288" s="2" t="s">
        <v>199</v>
      </c>
      <c r="G288" s="2">
        <v>9</v>
      </c>
      <c r="H288" s="2">
        <v>2390</v>
      </c>
      <c r="I288" s="2"/>
      <c r="J288" s="2">
        <v>21510</v>
      </c>
      <c r="K288" s="2" t="s">
        <v>53</v>
      </c>
      <c r="L288" s="2" t="s">
        <v>791</v>
      </c>
      <c r="M288" s="2" t="s">
        <v>29</v>
      </c>
    </row>
    <row r="289" spans="1:13" x14ac:dyDescent="0.25">
      <c r="A289" s="2" t="s">
        <v>792</v>
      </c>
      <c r="B289" s="2" t="s">
        <v>793</v>
      </c>
      <c r="C289" s="2" t="s">
        <v>213</v>
      </c>
      <c r="D289" s="2" t="s">
        <v>58</v>
      </c>
      <c r="E289" s="2" t="s">
        <v>137</v>
      </c>
      <c r="F289" s="2" t="s">
        <v>35</v>
      </c>
      <c r="G289" s="2">
        <v>12</v>
      </c>
      <c r="H289" s="2">
        <v>4560</v>
      </c>
      <c r="I289" s="2">
        <v>10</v>
      </c>
      <c r="J289" s="2">
        <v>49248</v>
      </c>
      <c r="K289" s="2" t="s">
        <v>139</v>
      </c>
      <c r="L289" s="2" t="s">
        <v>794</v>
      </c>
      <c r="M289" s="2" t="s">
        <v>47</v>
      </c>
    </row>
    <row r="290" spans="1:13" x14ac:dyDescent="0.25">
      <c r="A290" s="2" t="s">
        <v>795</v>
      </c>
      <c r="B290" s="2" t="s">
        <v>178</v>
      </c>
      <c r="C290" s="2" t="s">
        <v>32</v>
      </c>
      <c r="D290" s="2" t="s">
        <v>33</v>
      </c>
      <c r="E290" s="2" t="s">
        <v>179</v>
      </c>
      <c r="F290" s="2" t="s">
        <v>232</v>
      </c>
      <c r="G290" s="2">
        <v>2</v>
      </c>
      <c r="H290" s="2">
        <v>2780</v>
      </c>
      <c r="I290" s="2">
        <v>0</v>
      </c>
      <c r="J290" s="2">
        <v>5560</v>
      </c>
      <c r="K290" s="2" t="s">
        <v>205</v>
      </c>
      <c r="L290" s="2" t="s">
        <v>796</v>
      </c>
      <c r="M290" s="2" t="s">
        <v>140</v>
      </c>
    </row>
    <row r="291" spans="1:13" x14ac:dyDescent="0.25">
      <c r="A291" s="2" t="s">
        <v>797</v>
      </c>
      <c r="B291" s="2" t="s">
        <v>798</v>
      </c>
      <c r="C291" s="2" t="s">
        <v>110</v>
      </c>
      <c r="D291" s="2" t="s">
        <v>33</v>
      </c>
      <c r="E291" s="2" t="s">
        <v>100</v>
      </c>
      <c r="F291" s="2" t="s">
        <v>66</v>
      </c>
      <c r="G291" s="2">
        <v>4</v>
      </c>
      <c r="H291" s="2">
        <v>5160</v>
      </c>
      <c r="I291" s="2">
        <v>0</v>
      </c>
      <c r="J291" s="2">
        <v>20640</v>
      </c>
      <c r="K291" s="2" t="s">
        <v>120</v>
      </c>
      <c r="L291" s="2" t="s">
        <v>168</v>
      </c>
      <c r="M291" s="2" t="s">
        <v>21</v>
      </c>
    </row>
    <row r="292" spans="1:13" x14ac:dyDescent="0.25">
      <c r="A292" s="2" t="s">
        <v>799</v>
      </c>
      <c r="B292" s="2" t="s">
        <v>800</v>
      </c>
      <c r="C292" s="2" t="s">
        <v>400</v>
      </c>
      <c r="D292" s="2" t="s">
        <v>33</v>
      </c>
      <c r="E292" s="2" t="s">
        <v>125</v>
      </c>
      <c r="F292" s="2" t="s">
        <v>132</v>
      </c>
      <c r="G292" s="2">
        <v>7</v>
      </c>
      <c r="H292" s="2">
        <v>19620</v>
      </c>
      <c r="I292" s="2">
        <v>0</v>
      </c>
      <c r="J292" s="2">
        <v>137340</v>
      </c>
      <c r="K292" s="2" t="s">
        <v>205</v>
      </c>
      <c r="L292" s="2" t="s">
        <v>37</v>
      </c>
      <c r="M292" s="2" t="s">
        <v>128</v>
      </c>
    </row>
    <row r="293" spans="1:13" x14ac:dyDescent="0.25">
      <c r="A293" s="2" t="s">
        <v>801</v>
      </c>
      <c r="B293" s="2" t="s">
        <v>802</v>
      </c>
      <c r="C293" s="2" t="s">
        <v>238</v>
      </c>
      <c r="D293" s="2" t="s">
        <v>51</v>
      </c>
      <c r="E293" s="2" t="s">
        <v>163</v>
      </c>
      <c r="F293" s="2" t="s">
        <v>290</v>
      </c>
      <c r="G293" s="2">
        <v>4</v>
      </c>
      <c r="H293" s="2">
        <v>1370</v>
      </c>
      <c r="I293" s="2">
        <v>10</v>
      </c>
      <c r="J293" s="2">
        <v>4932</v>
      </c>
      <c r="K293" s="2" t="s">
        <v>27</v>
      </c>
      <c r="L293" s="2" t="s">
        <v>491</v>
      </c>
      <c r="M293" s="2" t="s">
        <v>96</v>
      </c>
    </row>
    <row r="294" spans="1:13" x14ac:dyDescent="0.25">
      <c r="A294" s="2" t="s">
        <v>803</v>
      </c>
      <c r="B294" s="2" t="s">
        <v>804</v>
      </c>
      <c r="C294" s="2" t="s">
        <v>41</v>
      </c>
      <c r="D294" s="2" t="s">
        <v>42</v>
      </c>
      <c r="E294" s="2" t="s">
        <v>322</v>
      </c>
      <c r="F294" s="2" t="s">
        <v>239</v>
      </c>
      <c r="G294" s="2">
        <v>4</v>
      </c>
      <c r="H294" s="2">
        <v>42160</v>
      </c>
      <c r="I294" s="2">
        <v>0</v>
      </c>
      <c r="J294" s="2">
        <v>168640</v>
      </c>
      <c r="K294" s="2" t="s">
        <v>94</v>
      </c>
      <c r="L294" s="2" t="s">
        <v>406</v>
      </c>
      <c r="M294" s="2" t="s">
        <v>38</v>
      </c>
    </row>
    <row r="295" spans="1:13" x14ac:dyDescent="0.25">
      <c r="A295" s="2" t="s">
        <v>805</v>
      </c>
      <c r="B295" s="2" t="s">
        <v>806</v>
      </c>
      <c r="C295" s="2" t="s">
        <v>41</v>
      </c>
      <c r="D295" s="2" t="s">
        <v>42</v>
      </c>
      <c r="E295" s="2" t="s">
        <v>65</v>
      </c>
      <c r="F295" s="2" t="s">
        <v>126</v>
      </c>
      <c r="G295" s="2">
        <v>3</v>
      </c>
      <c r="H295" s="2">
        <v>60690</v>
      </c>
      <c r="I295" s="2">
        <v>0</v>
      </c>
      <c r="J295" s="2">
        <v>182070</v>
      </c>
      <c r="K295" s="2" t="s">
        <v>19</v>
      </c>
      <c r="L295" s="2" t="s">
        <v>61</v>
      </c>
      <c r="M295" s="2" t="s">
        <v>47</v>
      </c>
    </row>
    <row r="296" spans="1:13" x14ac:dyDescent="0.25">
      <c r="A296" s="2" t="s">
        <v>807</v>
      </c>
      <c r="B296" s="2" t="s">
        <v>808</v>
      </c>
      <c r="C296" s="2" t="s">
        <v>135</v>
      </c>
      <c r="D296" s="2" t="s">
        <v>58</v>
      </c>
      <c r="E296" s="2"/>
      <c r="F296" s="2" t="s">
        <v>239</v>
      </c>
      <c r="G296" s="2">
        <v>7</v>
      </c>
      <c r="H296" s="2">
        <v>18500</v>
      </c>
      <c r="I296" s="2">
        <v>15</v>
      </c>
      <c r="J296" s="2">
        <v>110075</v>
      </c>
      <c r="K296" s="2" t="s">
        <v>133</v>
      </c>
      <c r="L296" s="2" t="s">
        <v>611</v>
      </c>
      <c r="M296" s="2" t="s">
        <v>47</v>
      </c>
    </row>
    <row r="297" spans="1:13" x14ac:dyDescent="0.25">
      <c r="A297" s="2" t="s">
        <v>809</v>
      </c>
      <c r="B297" s="2" t="s">
        <v>810</v>
      </c>
      <c r="C297" s="2" t="s">
        <v>238</v>
      </c>
      <c r="D297" s="2" t="s">
        <v>51</v>
      </c>
      <c r="E297" s="2" t="s">
        <v>77</v>
      </c>
      <c r="F297" s="2" t="s">
        <v>184</v>
      </c>
      <c r="G297" s="2">
        <v>9</v>
      </c>
      <c r="H297" s="2">
        <v>18600</v>
      </c>
      <c r="I297" s="2">
        <v>5</v>
      </c>
      <c r="J297" s="2">
        <v>159030</v>
      </c>
      <c r="K297" s="2" t="s">
        <v>72</v>
      </c>
      <c r="L297" s="2" t="s">
        <v>811</v>
      </c>
      <c r="M297" s="2" t="s">
        <v>215</v>
      </c>
    </row>
    <row r="298" spans="1:13" x14ac:dyDescent="0.25">
      <c r="A298" s="2" t="s">
        <v>812</v>
      </c>
      <c r="B298" s="2" t="s">
        <v>813</v>
      </c>
      <c r="C298" s="2" t="s">
        <v>64</v>
      </c>
      <c r="D298" s="2" t="s">
        <v>51</v>
      </c>
      <c r="E298" s="2" t="s">
        <v>25</v>
      </c>
      <c r="F298" s="2" t="s">
        <v>115</v>
      </c>
      <c r="G298" s="2">
        <v>8</v>
      </c>
      <c r="H298" s="2">
        <v>2810</v>
      </c>
      <c r="I298" s="2">
        <v>0</v>
      </c>
      <c r="J298" s="2">
        <v>22480</v>
      </c>
      <c r="K298" s="2" t="s">
        <v>27</v>
      </c>
      <c r="L298" s="2" t="s">
        <v>428</v>
      </c>
      <c r="M298" s="2" t="s">
        <v>140</v>
      </c>
    </row>
    <row r="299" spans="1:13" x14ac:dyDescent="0.25">
      <c r="A299" s="2" t="s">
        <v>814</v>
      </c>
      <c r="B299" s="2" t="s">
        <v>815</v>
      </c>
      <c r="C299" s="2" t="s">
        <v>156</v>
      </c>
      <c r="D299" s="2" t="s">
        <v>51</v>
      </c>
      <c r="E299" s="2" t="s">
        <v>105</v>
      </c>
      <c r="F299" s="2" t="s">
        <v>93</v>
      </c>
      <c r="G299" s="2">
        <v>9</v>
      </c>
      <c r="H299" s="2">
        <v>22540</v>
      </c>
      <c r="I299" s="2">
        <v>0</v>
      </c>
      <c r="J299" s="2">
        <v>202860</v>
      </c>
      <c r="K299" s="2" t="s">
        <v>87</v>
      </c>
      <c r="L299" s="2" t="s">
        <v>95</v>
      </c>
      <c r="M299" s="2" t="s">
        <v>47</v>
      </c>
    </row>
    <row r="300" spans="1:13" x14ac:dyDescent="0.25">
      <c r="A300" s="2" t="s">
        <v>816</v>
      </c>
      <c r="B300" s="2" t="s">
        <v>817</v>
      </c>
      <c r="C300" s="2" t="s">
        <v>24</v>
      </c>
      <c r="D300" s="2" t="s">
        <v>16</v>
      </c>
      <c r="E300" s="2" t="s">
        <v>163</v>
      </c>
      <c r="F300" s="2" t="s">
        <v>18</v>
      </c>
      <c r="G300" s="2">
        <v>5</v>
      </c>
      <c r="H300" s="2"/>
      <c r="I300" s="2">
        <v>0</v>
      </c>
      <c r="J300" s="2">
        <v>28500</v>
      </c>
      <c r="K300" s="2" t="s">
        <v>139</v>
      </c>
      <c r="L300" s="2" t="s">
        <v>46</v>
      </c>
      <c r="M300" s="2" t="s">
        <v>140</v>
      </c>
    </row>
    <row r="301" spans="1:13" x14ac:dyDescent="0.25">
      <c r="A301" s="2" t="s">
        <v>818</v>
      </c>
      <c r="B301" s="2" t="s">
        <v>819</v>
      </c>
      <c r="C301" s="2" t="s">
        <v>32</v>
      </c>
      <c r="D301" s="2" t="s">
        <v>33</v>
      </c>
      <c r="E301" s="2" t="s">
        <v>284</v>
      </c>
      <c r="F301" s="2" t="s">
        <v>83</v>
      </c>
      <c r="G301" s="2">
        <v>5</v>
      </c>
      <c r="H301" s="2">
        <v>570</v>
      </c>
      <c r="I301" s="2">
        <v>10</v>
      </c>
      <c r="J301" s="2">
        <v>2565</v>
      </c>
      <c r="K301" s="2" t="s">
        <v>36</v>
      </c>
      <c r="L301" s="2" t="s">
        <v>820</v>
      </c>
      <c r="M301" s="2" t="s">
        <v>821</v>
      </c>
    </row>
    <row r="302" spans="1:13" x14ac:dyDescent="0.25">
      <c r="A302" s="2" t="s">
        <v>822</v>
      </c>
      <c r="B302" s="2" t="s">
        <v>823</v>
      </c>
      <c r="C302" s="2" t="s">
        <v>99</v>
      </c>
      <c r="D302" s="2" t="s">
        <v>16</v>
      </c>
      <c r="E302" s="2" t="s">
        <v>59</v>
      </c>
      <c r="F302" s="2" t="s">
        <v>252</v>
      </c>
      <c r="G302" s="2">
        <v>7</v>
      </c>
      <c r="H302" s="2">
        <v>8490</v>
      </c>
      <c r="I302" s="2">
        <v>15</v>
      </c>
      <c r="J302" s="2">
        <v>50515.5</v>
      </c>
      <c r="K302" s="2" t="s">
        <v>19</v>
      </c>
      <c r="L302" s="2" t="s">
        <v>824</v>
      </c>
      <c r="M302" s="2" t="s">
        <v>825</v>
      </c>
    </row>
    <row r="303" spans="1:13" x14ac:dyDescent="0.25">
      <c r="A303" s="2" t="s">
        <v>826</v>
      </c>
      <c r="B303" s="2" t="s">
        <v>827</v>
      </c>
      <c r="C303" s="2" t="s">
        <v>238</v>
      </c>
      <c r="D303" s="2" t="s">
        <v>51</v>
      </c>
      <c r="E303" s="2" t="s">
        <v>59</v>
      </c>
      <c r="F303" s="2" t="s">
        <v>83</v>
      </c>
      <c r="G303" s="2">
        <v>9</v>
      </c>
      <c r="H303" s="2">
        <v>3860</v>
      </c>
      <c r="I303" s="2">
        <v>0</v>
      </c>
      <c r="J303" s="2">
        <v>34740</v>
      </c>
      <c r="K303" s="2" t="s">
        <v>144</v>
      </c>
      <c r="L303" s="2" t="s">
        <v>395</v>
      </c>
      <c r="M303" s="2" t="s">
        <v>21</v>
      </c>
    </row>
    <row r="304" spans="1:13" x14ac:dyDescent="0.25">
      <c r="A304" s="2" t="s">
        <v>828</v>
      </c>
      <c r="B304" s="2" t="s">
        <v>627</v>
      </c>
      <c r="C304" s="2" t="s">
        <v>238</v>
      </c>
      <c r="D304" s="2" t="s">
        <v>51</v>
      </c>
      <c r="E304" s="2" t="s">
        <v>34</v>
      </c>
      <c r="F304" s="2" t="s">
        <v>18</v>
      </c>
      <c r="G304" s="2">
        <v>10</v>
      </c>
      <c r="H304" s="2">
        <v>8360</v>
      </c>
      <c r="I304" s="2"/>
      <c r="J304" s="2">
        <v>71060</v>
      </c>
      <c r="K304" s="2" t="s">
        <v>139</v>
      </c>
      <c r="L304" s="2" t="s">
        <v>344</v>
      </c>
      <c r="M304" s="2" t="s">
        <v>140</v>
      </c>
    </row>
    <row r="305" spans="1:13" x14ac:dyDescent="0.25">
      <c r="A305" s="2" t="s">
        <v>829</v>
      </c>
      <c r="B305" s="2" t="s">
        <v>830</v>
      </c>
      <c r="C305" s="2" t="s">
        <v>579</v>
      </c>
      <c r="D305" s="2" t="s">
        <v>58</v>
      </c>
      <c r="E305" s="2" t="s">
        <v>195</v>
      </c>
      <c r="F305" s="2" t="s">
        <v>199</v>
      </c>
      <c r="G305" s="2">
        <v>1</v>
      </c>
      <c r="H305" s="2">
        <v>3940</v>
      </c>
      <c r="I305" s="2">
        <v>0</v>
      </c>
      <c r="J305" s="2">
        <v>3940</v>
      </c>
      <c r="K305" s="2" t="s">
        <v>139</v>
      </c>
      <c r="L305" s="2" t="s">
        <v>176</v>
      </c>
      <c r="M305" s="2" t="s">
        <v>128</v>
      </c>
    </row>
    <row r="306" spans="1:13" x14ac:dyDescent="0.25">
      <c r="A306" s="2" t="s">
        <v>831</v>
      </c>
      <c r="B306" s="2" t="s">
        <v>832</v>
      </c>
      <c r="C306" s="2" t="s">
        <v>57</v>
      </c>
      <c r="D306" s="2" t="s">
        <v>58</v>
      </c>
      <c r="E306" s="2" t="s">
        <v>163</v>
      </c>
      <c r="F306" s="2" t="s">
        <v>18</v>
      </c>
      <c r="G306" s="2">
        <v>9</v>
      </c>
      <c r="H306" s="2">
        <v>8180</v>
      </c>
      <c r="I306" s="2">
        <v>0</v>
      </c>
      <c r="J306" s="2">
        <v>73620</v>
      </c>
      <c r="K306" s="2" t="s">
        <v>72</v>
      </c>
      <c r="L306" s="2" t="s">
        <v>223</v>
      </c>
      <c r="M306" s="2" t="s">
        <v>128</v>
      </c>
    </row>
    <row r="307" spans="1:13" x14ac:dyDescent="0.25">
      <c r="A307" s="2" t="s">
        <v>833</v>
      </c>
      <c r="B307" s="2" t="s">
        <v>834</v>
      </c>
      <c r="C307" s="2" t="s">
        <v>32</v>
      </c>
      <c r="D307" s="2" t="s">
        <v>33</v>
      </c>
      <c r="E307" s="2" t="s">
        <v>504</v>
      </c>
      <c r="F307" s="2" t="s">
        <v>149</v>
      </c>
      <c r="G307" s="2">
        <v>4</v>
      </c>
      <c r="H307" s="2">
        <v>47560</v>
      </c>
      <c r="I307" s="2">
        <v>0</v>
      </c>
      <c r="J307" s="2">
        <v>190240</v>
      </c>
      <c r="K307" s="2" t="s">
        <v>87</v>
      </c>
      <c r="L307" s="2" t="s">
        <v>428</v>
      </c>
      <c r="M307" s="2" t="s">
        <v>21</v>
      </c>
    </row>
    <row r="308" spans="1:13" x14ac:dyDescent="0.25">
      <c r="A308" s="2" t="s">
        <v>835</v>
      </c>
      <c r="B308" s="2" t="s">
        <v>836</v>
      </c>
      <c r="C308" s="2" t="s">
        <v>837</v>
      </c>
      <c r="D308" s="2" t="s">
        <v>33</v>
      </c>
      <c r="E308" s="2" t="s">
        <v>65</v>
      </c>
      <c r="F308" s="2" t="s">
        <v>101</v>
      </c>
      <c r="G308" s="2">
        <v>11</v>
      </c>
      <c r="H308" s="2" t="s">
        <v>136</v>
      </c>
      <c r="I308" s="2">
        <v>0</v>
      </c>
      <c r="J308" s="2">
        <v>674960</v>
      </c>
      <c r="K308" s="2" t="s">
        <v>87</v>
      </c>
      <c r="L308" s="2" t="s">
        <v>838</v>
      </c>
      <c r="M308" s="2" t="s">
        <v>21</v>
      </c>
    </row>
    <row r="309" spans="1:13" x14ac:dyDescent="0.25">
      <c r="A309" s="2" t="s">
        <v>839</v>
      </c>
      <c r="B309" s="2" t="s">
        <v>500</v>
      </c>
      <c r="C309" s="2" t="s">
        <v>15</v>
      </c>
      <c r="D309" s="2" t="s">
        <v>16</v>
      </c>
      <c r="E309" s="2" t="s">
        <v>111</v>
      </c>
      <c r="F309" s="2" t="s">
        <v>78</v>
      </c>
      <c r="G309" s="2">
        <v>9</v>
      </c>
      <c r="H309" s="2">
        <v>4580</v>
      </c>
      <c r="I309" s="2">
        <v>5</v>
      </c>
      <c r="J309" s="2">
        <v>39159</v>
      </c>
      <c r="K309" s="2"/>
      <c r="L309" s="2" t="s">
        <v>491</v>
      </c>
      <c r="M309" s="2" t="s">
        <v>821</v>
      </c>
    </row>
    <row r="310" spans="1:13" x14ac:dyDescent="0.25">
      <c r="A310" s="2" t="s">
        <v>840</v>
      </c>
      <c r="B310" s="2" t="s">
        <v>841</v>
      </c>
      <c r="C310" s="2" t="s">
        <v>238</v>
      </c>
      <c r="D310" s="2" t="s">
        <v>51</v>
      </c>
      <c r="E310" s="2" t="s">
        <v>105</v>
      </c>
      <c r="F310" s="2" t="s">
        <v>332</v>
      </c>
      <c r="G310" s="2">
        <v>2</v>
      </c>
      <c r="H310" s="2">
        <v>1120</v>
      </c>
      <c r="I310" s="2">
        <v>5</v>
      </c>
      <c r="J310" s="2">
        <v>2128</v>
      </c>
      <c r="K310" s="2" t="s">
        <v>144</v>
      </c>
      <c r="L310" s="2" t="s">
        <v>349</v>
      </c>
      <c r="M310" s="2" t="s">
        <v>47</v>
      </c>
    </row>
    <row r="311" spans="1:13" x14ac:dyDescent="0.25">
      <c r="A311" s="2" t="s">
        <v>842</v>
      </c>
      <c r="B311" s="2" t="s">
        <v>843</v>
      </c>
      <c r="C311" s="2" t="s">
        <v>91</v>
      </c>
      <c r="D311" s="2" t="s">
        <v>51</v>
      </c>
      <c r="E311" s="2" t="s">
        <v>100</v>
      </c>
      <c r="F311" s="2" t="s">
        <v>319</v>
      </c>
      <c r="G311" s="2">
        <v>5</v>
      </c>
      <c r="H311" s="2">
        <v>2720</v>
      </c>
      <c r="I311" s="2">
        <v>5</v>
      </c>
      <c r="J311" s="2">
        <v>12920</v>
      </c>
      <c r="K311" s="2" t="s">
        <v>27</v>
      </c>
      <c r="L311" s="2" t="s">
        <v>344</v>
      </c>
      <c r="M311" s="2" t="s">
        <v>47</v>
      </c>
    </row>
    <row r="312" spans="1:13" x14ac:dyDescent="0.25">
      <c r="A312" s="2" t="s">
        <v>844</v>
      </c>
      <c r="B312" s="2" t="s">
        <v>109</v>
      </c>
      <c r="C312" s="2" t="s">
        <v>110</v>
      </c>
      <c r="D312" s="2" t="s">
        <v>33</v>
      </c>
      <c r="E312" s="2" t="s">
        <v>322</v>
      </c>
      <c r="F312" s="2" t="s">
        <v>232</v>
      </c>
      <c r="G312" s="2">
        <v>5</v>
      </c>
      <c r="H312" s="2">
        <v>2340</v>
      </c>
      <c r="I312" s="2">
        <v>10</v>
      </c>
      <c r="J312" s="2">
        <v>10530</v>
      </c>
      <c r="K312" s="2" t="s">
        <v>87</v>
      </c>
      <c r="L312" s="2" t="s">
        <v>344</v>
      </c>
      <c r="M312" s="2" t="s">
        <v>47</v>
      </c>
    </row>
    <row r="313" spans="1:13" x14ac:dyDescent="0.25">
      <c r="A313" s="2" t="s">
        <v>845</v>
      </c>
      <c r="B313" s="2" t="s">
        <v>846</v>
      </c>
      <c r="C313" s="2" t="s">
        <v>76</v>
      </c>
      <c r="D313" s="2" t="s">
        <v>33</v>
      </c>
      <c r="E313" s="2" t="s">
        <v>25</v>
      </c>
      <c r="F313" s="2" t="s">
        <v>248</v>
      </c>
      <c r="G313" s="2">
        <v>4</v>
      </c>
      <c r="H313" s="2">
        <v>10000</v>
      </c>
      <c r="I313" s="2">
        <v>0</v>
      </c>
      <c r="J313" s="2">
        <v>40000</v>
      </c>
      <c r="K313" s="2" t="s">
        <v>102</v>
      </c>
      <c r="L313" s="2" t="s">
        <v>380</v>
      </c>
      <c r="M313" s="2" t="s">
        <v>128</v>
      </c>
    </row>
    <row r="314" spans="1:13" x14ac:dyDescent="0.25">
      <c r="A314" s="2" t="s">
        <v>847</v>
      </c>
      <c r="B314" s="2" t="s">
        <v>848</v>
      </c>
      <c r="C314" s="2" t="s">
        <v>531</v>
      </c>
      <c r="D314" s="2" t="s">
        <v>33</v>
      </c>
      <c r="E314" s="2" t="s">
        <v>65</v>
      </c>
      <c r="F314" s="2" t="s">
        <v>132</v>
      </c>
      <c r="G314" s="2">
        <v>12</v>
      </c>
      <c r="H314" s="2">
        <v>2740</v>
      </c>
      <c r="I314" s="2">
        <v>0</v>
      </c>
      <c r="J314" s="2">
        <v>32880</v>
      </c>
      <c r="K314" s="2" t="s">
        <v>157</v>
      </c>
      <c r="L314" s="2" t="s">
        <v>796</v>
      </c>
      <c r="M314" s="2" t="s">
        <v>21</v>
      </c>
    </row>
    <row r="315" spans="1:13" x14ac:dyDescent="0.25">
      <c r="A315" s="2" t="s">
        <v>849</v>
      </c>
      <c r="B315" s="2" t="s">
        <v>850</v>
      </c>
      <c r="C315" s="2" t="s">
        <v>24</v>
      </c>
      <c r="D315" s="2" t="s">
        <v>16</v>
      </c>
      <c r="E315" s="2" t="s">
        <v>504</v>
      </c>
      <c r="F315" s="2" t="s">
        <v>149</v>
      </c>
      <c r="G315" s="2">
        <v>6</v>
      </c>
      <c r="H315" s="2">
        <v>9470</v>
      </c>
      <c r="I315" s="2">
        <v>15</v>
      </c>
      <c r="J315" s="2">
        <v>48297</v>
      </c>
      <c r="K315" s="2" t="s">
        <v>36</v>
      </c>
      <c r="L315" s="2" t="s">
        <v>311</v>
      </c>
      <c r="M315" s="2" t="s">
        <v>47</v>
      </c>
    </row>
    <row r="316" spans="1:13" x14ac:dyDescent="0.25">
      <c r="A316" s="2" t="s">
        <v>851</v>
      </c>
      <c r="B316" s="2" t="s">
        <v>852</v>
      </c>
      <c r="C316" s="2" t="s">
        <v>162</v>
      </c>
      <c r="D316" s="2" t="s">
        <v>33</v>
      </c>
      <c r="E316" s="2"/>
      <c r="F316" s="2" t="s">
        <v>332</v>
      </c>
      <c r="G316" s="2">
        <v>10</v>
      </c>
      <c r="H316" s="2">
        <v>28270</v>
      </c>
      <c r="I316" s="2">
        <v>5</v>
      </c>
      <c r="J316" s="2">
        <v>268565</v>
      </c>
      <c r="K316" s="2" t="s">
        <v>139</v>
      </c>
      <c r="L316" s="2" t="s">
        <v>274</v>
      </c>
      <c r="M316" s="2" t="s">
        <v>140</v>
      </c>
    </row>
    <row r="317" spans="1:13" x14ac:dyDescent="0.25">
      <c r="A317" s="2" t="s">
        <v>699</v>
      </c>
      <c r="B317" s="2" t="s">
        <v>700</v>
      </c>
      <c r="C317" s="2" t="s">
        <v>204</v>
      </c>
      <c r="D317" s="2" t="s">
        <v>33</v>
      </c>
      <c r="E317" s="2" t="s">
        <v>322</v>
      </c>
      <c r="F317" s="2" t="s">
        <v>184</v>
      </c>
      <c r="G317" s="2">
        <v>6</v>
      </c>
      <c r="H317" s="2">
        <v>25500</v>
      </c>
      <c r="I317" s="2">
        <v>5</v>
      </c>
      <c r="J317" s="2"/>
      <c r="K317" s="2" t="s">
        <v>136</v>
      </c>
      <c r="L317" s="2" t="s">
        <v>339</v>
      </c>
      <c r="M317" s="2" t="s">
        <v>21</v>
      </c>
    </row>
    <row r="318" spans="1:13" x14ac:dyDescent="0.25">
      <c r="A318" s="2" t="s">
        <v>388</v>
      </c>
      <c r="B318" s="2" t="s">
        <v>389</v>
      </c>
      <c r="C318" s="2" t="s">
        <v>64</v>
      </c>
      <c r="D318" s="2" t="s">
        <v>51</v>
      </c>
      <c r="E318" s="2" t="s">
        <v>43</v>
      </c>
      <c r="F318" s="2" t="s">
        <v>248</v>
      </c>
      <c r="G318" s="2">
        <v>7</v>
      </c>
      <c r="H318" s="2">
        <v>4800</v>
      </c>
      <c r="I318" s="2" t="s">
        <v>152</v>
      </c>
      <c r="J318" s="2">
        <v>33600</v>
      </c>
      <c r="K318" s="2" t="s">
        <v>133</v>
      </c>
      <c r="L318" s="2" t="s">
        <v>37</v>
      </c>
      <c r="M318" s="2" t="s">
        <v>215</v>
      </c>
    </row>
    <row r="319" spans="1:13" x14ac:dyDescent="0.25">
      <c r="A319" s="2" t="s">
        <v>853</v>
      </c>
      <c r="B319" s="2" t="s">
        <v>14</v>
      </c>
      <c r="C319" s="2" t="s">
        <v>198</v>
      </c>
      <c r="D319" s="2" t="s">
        <v>42</v>
      </c>
      <c r="E319" s="2" t="s">
        <v>179</v>
      </c>
      <c r="F319" s="2" t="s">
        <v>78</v>
      </c>
      <c r="G319" s="2">
        <v>2</v>
      </c>
      <c r="H319" s="2">
        <v>13110</v>
      </c>
      <c r="I319" s="2">
        <v>10</v>
      </c>
      <c r="J319" s="2">
        <v>23598</v>
      </c>
      <c r="K319" s="2" t="s">
        <v>67</v>
      </c>
      <c r="L319" s="2" t="s">
        <v>79</v>
      </c>
      <c r="M319" s="2" t="s">
        <v>38</v>
      </c>
    </row>
    <row r="320" spans="1:13" x14ac:dyDescent="0.25">
      <c r="A320" s="2" t="s">
        <v>854</v>
      </c>
      <c r="B320" s="2" t="s">
        <v>855</v>
      </c>
      <c r="C320" s="2" t="s">
        <v>24</v>
      </c>
      <c r="D320" s="2" t="s">
        <v>16</v>
      </c>
      <c r="E320" s="2" t="s">
        <v>295</v>
      </c>
      <c r="F320" s="2" t="s">
        <v>296</v>
      </c>
      <c r="G320" s="2">
        <v>8</v>
      </c>
      <c r="H320" s="2">
        <v>480</v>
      </c>
      <c r="I320" s="2">
        <v>10</v>
      </c>
      <c r="J320" s="2">
        <v>3456</v>
      </c>
      <c r="K320" s="2" t="s">
        <v>172</v>
      </c>
      <c r="L320" s="2" t="s">
        <v>266</v>
      </c>
      <c r="M320" s="2" t="s">
        <v>47</v>
      </c>
    </row>
    <row r="321" spans="1:13" x14ac:dyDescent="0.25">
      <c r="A321" s="2" t="s">
        <v>856</v>
      </c>
      <c r="B321" s="2" t="s">
        <v>857</v>
      </c>
      <c r="C321" s="2" t="s">
        <v>469</v>
      </c>
      <c r="D321" s="2" t="s">
        <v>51</v>
      </c>
      <c r="E321" s="2" t="s">
        <v>131</v>
      </c>
      <c r="F321" s="2" t="s">
        <v>314</v>
      </c>
      <c r="G321" s="2">
        <v>2</v>
      </c>
      <c r="H321" s="2">
        <v>51590</v>
      </c>
      <c r="I321" s="2">
        <v>10</v>
      </c>
      <c r="J321" s="2">
        <v>92862</v>
      </c>
      <c r="K321" s="2" t="s">
        <v>102</v>
      </c>
      <c r="L321" s="2" t="s">
        <v>698</v>
      </c>
      <c r="M321" s="2" t="s">
        <v>140</v>
      </c>
    </row>
    <row r="322" spans="1:13" x14ac:dyDescent="0.25">
      <c r="A322" s="2" t="s">
        <v>858</v>
      </c>
      <c r="B322" s="2" t="s">
        <v>859</v>
      </c>
      <c r="C322" s="2" t="s">
        <v>24</v>
      </c>
      <c r="D322" s="2" t="s">
        <v>16</v>
      </c>
      <c r="E322" s="2" t="s">
        <v>77</v>
      </c>
      <c r="F322" s="2" t="s">
        <v>239</v>
      </c>
      <c r="G322" s="2">
        <v>10</v>
      </c>
      <c r="H322" s="2">
        <v>3520</v>
      </c>
      <c r="I322" s="2">
        <v>0</v>
      </c>
      <c r="J322" s="2">
        <v>35200</v>
      </c>
      <c r="K322" s="2" t="s">
        <v>36</v>
      </c>
      <c r="L322" s="2" t="s">
        <v>73</v>
      </c>
      <c r="M322" s="2" t="s">
        <v>501</v>
      </c>
    </row>
    <row r="323" spans="1:13" x14ac:dyDescent="0.25">
      <c r="A323" s="2" t="s">
        <v>860</v>
      </c>
      <c r="B323" s="2" t="s">
        <v>861</v>
      </c>
      <c r="C323" s="2" t="s">
        <v>156</v>
      </c>
      <c r="D323" s="2" t="s">
        <v>51</v>
      </c>
      <c r="E323" s="2" t="s">
        <v>125</v>
      </c>
      <c r="F323" s="2" t="s">
        <v>132</v>
      </c>
      <c r="G323" s="2">
        <v>6</v>
      </c>
      <c r="H323" s="2">
        <v>6810</v>
      </c>
      <c r="I323" s="2">
        <v>0</v>
      </c>
      <c r="J323" s="2">
        <v>40860</v>
      </c>
      <c r="K323" s="2" t="s">
        <v>127</v>
      </c>
      <c r="L323" s="2" t="s">
        <v>37</v>
      </c>
      <c r="M323" s="2" t="s">
        <v>47</v>
      </c>
    </row>
    <row r="324" spans="1:13" x14ac:dyDescent="0.25">
      <c r="A324" s="2" t="s">
        <v>862</v>
      </c>
      <c r="B324" s="2" t="s">
        <v>863</v>
      </c>
      <c r="C324" s="2" t="s">
        <v>449</v>
      </c>
      <c r="D324" s="2" t="s">
        <v>42</v>
      </c>
      <c r="E324" s="2" t="s">
        <v>195</v>
      </c>
      <c r="F324" s="2" t="s">
        <v>171</v>
      </c>
      <c r="G324" s="2">
        <v>7</v>
      </c>
      <c r="H324" s="2">
        <v>26330</v>
      </c>
      <c r="I324" s="2"/>
      <c r="J324" s="2">
        <v>156663.5</v>
      </c>
      <c r="K324" s="2" t="s">
        <v>53</v>
      </c>
      <c r="L324" s="2" t="s">
        <v>611</v>
      </c>
      <c r="M324" s="2"/>
    </row>
    <row r="325" spans="1:13" x14ac:dyDescent="0.25">
      <c r="A325" s="2" t="s">
        <v>864</v>
      </c>
      <c r="B325" s="2" t="s">
        <v>865</v>
      </c>
      <c r="C325" s="2"/>
      <c r="D325" s="2" t="s">
        <v>33</v>
      </c>
      <c r="E325" s="2" t="s">
        <v>82</v>
      </c>
      <c r="F325" s="2" t="s">
        <v>149</v>
      </c>
      <c r="G325" s="2">
        <v>1</v>
      </c>
      <c r="H325" s="2">
        <v>49500</v>
      </c>
      <c r="I325" s="2" t="s">
        <v>136</v>
      </c>
      <c r="J325" s="2">
        <v>49500</v>
      </c>
      <c r="K325" s="2" t="s">
        <v>127</v>
      </c>
      <c r="L325" s="2" t="s">
        <v>73</v>
      </c>
      <c r="M325" s="2" t="s">
        <v>352</v>
      </c>
    </row>
    <row r="326" spans="1:13" x14ac:dyDescent="0.25">
      <c r="A326" s="2" t="s">
        <v>866</v>
      </c>
      <c r="B326" s="2" t="s">
        <v>382</v>
      </c>
      <c r="C326" s="2" t="s">
        <v>41</v>
      </c>
      <c r="D326" s="2" t="s">
        <v>42</v>
      </c>
      <c r="E326" s="2" t="s">
        <v>295</v>
      </c>
      <c r="F326" s="2" t="s">
        <v>296</v>
      </c>
      <c r="G326" s="2" t="s">
        <v>107</v>
      </c>
      <c r="H326" s="2">
        <v>13390</v>
      </c>
      <c r="I326" s="2">
        <v>0</v>
      </c>
      <c r="J326" s="2">
        <v>13390</v>
      </c>
      <c r="K326" s="2" t="s">
        <v>133</v>
      </c>
      <c r="L326" s="2" t="s">
        <v>88</v>
      </c>
      <c r="M326" s="2" t="s">
        <v>38</v>
      </c>
    </row>
    <row r="327" spans="1:13" x14ac:dyDescent="0.25">
      <c r="A327" s="2" t="s">
        <v>867</v>
      </c>
      <c r="B327" s="2" t="s">
        <v>868</v>
      </c>
      <c r="C327" s="2" t="s">
        <v>152</v>
      </c>
      <c r="D327" s="2" t="s">
        <v>33</v>
      </c>
      <c r="E327" s="2" t="s">
        <v>34</v>
      </c>
      <c r="F327" s="2" t="s">
        <v>171</v>
      </c>
      <c r="G327" s="2">
        <v>3</v>
      </c>
      <c r="H327" s="2">
        <v>2280</v>
      </c>
      <c r="I327" s="2">
        <v>0</v>
      </c>
      <c r="J327" s="2">
        <v>6840</v>
      </c>
      <c r="K327" s="2" t="s">
        <v>94</v>
      </c>
      <c r="L327" s="2" t="s">
        <v>28</v>
      </c>
      <c r="M327" s="2" t="s">
        <v>21</v>
      </c>
    </row>
    <row r="328" spans="1:13" x14ac:dyDescent="0.25">
      <c r="A328" s="2" t="s">
        <v>869</v>
      </c>
      <c r="B328" s="2" t="s">
        <v>870</v>
      </c>
      <c r="C328" s="2" t="s">
        <v>238</v>
      </c>
      <c r="D328" s="2" t="s">
        <v>51</v>
      </c>
      <c r="E328" s="2" t="s">
        <v>148</v>
      </c>
      <c r="F328" s="2" t="s">
        <v>209</v>
      </c>
      <c r="G328" s="2">
        <v>5</v>
      </c>
      <c r="H328" s="2">
        <v>11740</v>
      </c>
      <c r="I328" s="2">
        <v>0</v>
      </c>
      <c r="J328" s="2">
        <v>58700</v>
      </c>
      <c r="K328" s="2" t="s">
        <v>157</v>
      </c>
      <c r="L328" s="2" t="s">
        <v>228</v>
      </c>
      <c r="M328" s="2" t="s">
        <v>140</v>
      </c>
    </row>
    <row r="329" spans="1:13" x14ac:dyDescent="0.25">
      <c r="A329" s="2" t="s">
        <v>871</v>
      </c>
      <c r="B329" s="2" t="s">
        <v>872</v>
      </c>
      <c r="C329" s="2" t="s">
        <v>15</v>
      </c>
      <c r="D329" s="2" t="s">
        <v>16</v>
      </c>
      <c r="E329" s="2" t="s">
        <v>195</v>
      </c>
      <c r="F329" s="2" t="s">
        <v>71</v>
      </c>
      <c r="G329" s="2">
        <v>4</v>
      </c>
      <c r="H329" s="2">
        <v>62780</v>
      </c>
      <c r="I329" s="2">
        <v>15</v>
      </c>
      <c r="J329" s="2">
        <v>213452</v>
      </c>
      <c r="K329" s="2" t="s">
        <v>133</v>
      </c>
      <c r="L329" s="2" t="s">
        <v>46</v>
      </c>
      <c r="M329" s="2" t="s">
        <v>128</v>
      </c>
    </row>
    <row r="330" spans="1:13" x14ac:dyDescent="0.25">
      <c r="A330" s="2" t="s">
        <v>873</v>
      </c>
      <c r="B330" s="2" t="s">
        <v>874</v>
      </c>
      <c r="C330" s="2" t="s">
        <v>110</v>
      </c>
      <c r="D330" s="2" t="s">
        <v>33</v>
      </c>
      <c r="E330" s="2" t="s">
        <v>34</v>
      </c>
      <c r="F330" s="2" t="s">
        <v>290</v>
      </c>
      <c r="G330" s="2">
        <v>1</v>
      </c>
      <c r="H330" s="2">
        <v>9180</v>
      </c>
      <c r="I330" s="2">
        <v>0</v>
      </c>
      <c r="J330" s="2">
        <v>9180</v>
      </c>
      <c r="K330" s="2" t="s">
        <v>67</v>
      </c>
      <c r="L330" s="2" t="s">
        <v>344</v>
      </c>
      <c r="M330" s="2" t="s">
        <v>38</v>
      </c>
    </row>
    <row r="331" spans="1:13" x14ac:dyDescent="0.25">
      <c r="A331" s="2" t="s">
        <v>875</v>
      </c>
      <c r="B331" s="2" t="s">
        <v>876</v>
      </c>
      <c r="C331" s="2" t="s">
        <v>198</v>
      </c>
      <c r="D331" s="2" t="s">
        <v>42</v>
      </c>
      <c r="E331" s="2" t="s">
        <v>195</v>
      </c>
      <c r="F331" s="2" t="s">
        <v>164</v>
      </c>
      <c r="G331" s="2">
        <v>6</v>
      </c>
      <c r="H331" s="2">
        <v>8320</v>
      </c>
      <c r="I331" s="2">
        <v>15</v>
      </c>
      <c r="J331" s="2">
        <v>42432</v>
      </c>
      <c r="K331" s="2" t="s">
        <v>205</v>
      </c>
      <c r="L331" s="2" t="s">
        <v>274</v>
      </c>
      <c r="M331" s="2" t="s">
        <v>96</v>
      </c>
    </row>
    <row r="332" spans="1:13" x14ac:dyDescent="0.25">
      <c r="A332" s="2" t="s">
        <v>877</v>
      </c>
      <c r="B332" s="2" t="s">
        <v>878</v>
      </c>
      <c r="C332" s="2" t="s">
        <v>135</v>
      </c>
      <c r="D332" s="2" t="s">
        <v>58</v>
      </c>
      <c r="E332" s="2" t="s">
        <v>179</v>
      </c>
      <c r="F332" s="2" t="s">
        <v>224</v>
      </c>
      <c r="G332" s="2">
        <v>4</v>
      </c>
      <c r="H332" s="2">
        <v>5750</v>
      </c>
      <c r="I332" s="2">
        <v>0</v>
      </c>
      <c r="J332" s="2">
        <v>23000</v>
      </c>
      <c r="K332" s="2" t="s">
        <v>19</v>
      </c>
      <c r="L332" s="2" t="s">
        <v>121</v>
      </c>
      <c r="M332" s="2" t="s">
        <v>47</v>
      </c>
    </row>
    <row r="333" spans="1:13" x14ac:dyDescent="0.25">
      <c r="A333" s="2" t="s">
        <v>879</v>
      </c>
      <c r="B333" s="2" t="s">
        <v>880</v>
      </c>
      <c r="C333" s="2" t="s">
        <v>110</v>
      </c>
      <c r="D333" s="2" t="s">
        <v>33</v>
      </c>
      <c r="E333" s="2" t="s">
        <v>17</v>
      </c>
      <c r="F333" s="2" t="s">
        <v>171</v>
      </c>
      <c r="G333" s="2">
        <v>2</v>
      </c>
      <c r="H333" s="2">
        <v>11650</v>
      </c>
      <c r="I333" s="2">
        <v>0</v>
      </c>
      <c r="J333" s="2">
        <v>23300</v>
      </c>
      <c r="K333" s="2" t="s">
        <v>87</v>
      </c>
      <c r="L333" s="2" t="s">
        <v>491</v>
      </c>
      <c r="M333" s="2" t="s">
        <v>21</v>
      </c>
    </row>
    <row r="334" spans="1:13" x14ac:dyDescent="0.25">
      <c r="A334" s="2" t="s">
        <v>881</v>
      </c>
      <c r="B334" s="2" t="s">
        <v>882</v>
      </c>
      <c r="C334" s="2" t="s">
        <v>135</v>
      </c>
      <c r="D334" s="2" t="s">
        <v>58</v>
      </c>
      <c r="E334" s="2" t="s">
        <v>25</v>
      </c>
      <c r="F334" s="2" t="s">
        <v>332</v>
      </c>
      <c r="G334" s="2">
        <v>7</v>
      </c>
      <c r="H334" s="2">
        <v>23120</v>
      </c>
      <c r="I334" s="2">
        <v>0</v>
      </c>
      <c r="J334" s="2">
        <v>161840</v>
      </c>
      <c r="K334" s="2" t="s">
        <v>133</v>
      </c>
      <c r="L334" s="2" t="s">
        <v>883</v>
      </c>
      <c r="M334" s="2" t="s">
        <v>21</v>
      </c>
    </row>
    <row r="335" spans="1:13" x14ac:dyDescent="0.25">
      <c r="A335" s="2" t="s">
        <v>884</v>
      </c>
      <c r="B335" s="2" t="s">
        <v>885</v>
      </c>
      <c r="C335" s="2" t="s">
        <v>213</v>
      </c>
      <c r="D335" s="2" t="s">
        <v>223</v>
      </c>
      <c r="E335" s="2" t="s">
        <v>105</v>
      </c>
      <c r="F335" s="2" t="s">
        <v>332</v>
      </c>
      <c r="G335" s="2">
        <v>7</v>
      </c>
      <c r="H335" s="2">
        <v>41070</v>
      </c>
      <c r="I335" s="2">
        <v>0</v>
      </c>
      <c r="J335" s="2">
        <v>287490</v>
      </c>
      <c r="K335" s="2" t="s">
        <v>19</v>
      </c>
      <c r="L335" s="2" t="s">
        <v>28</v>
      </c>
      <c r="M335" s="2" t="s">
        <v>47</v>
      </c>
    </row>
    <row r="336" spans="1:13" x14ac:dyDescent="0.25">
      <c r="A336" s="2" t="s">
        <v>886</v>
      </c>
      <c r="B336" s="2" t="s">
        <v>887</v>
      </c>
      <c r="C336" s="2" t="s">
        <v>57</v>
      </c>
      <c r="D336" s="2" t="s">
        <v>58</v>
      </c>
      <c r="E336" s="2" t="s">
        <v>43</v>
      </c>
      <c r="F336" s="2" t="s">
        <v>115</v>
      </c>
      <c r="G336" s="2">
        <v>1</v>
      </c>
      <c r="H336" s="2">
        <v>1150</v>
      </c>
      <c r="I336" s="2">
        <v>0</v>
      </c>
      <c r="J336" s="2">
        <v>1150</v>
      </c>
      <c r="K336" s="2" t="s">
        <v>157</v>
      </c>
      <c r="L336" s="2" t="s">
        <v>888</v>
      </c>
      <c r="M336" s="2" t="s">
        <v>21</v>
      </c>
    </row>
    <row r="337" spans="1:13" x14ac:dyDescent="0.25">
      <c r="A337" s="2" t="s">
        <v>889</v>
      </c>
      <c r="B337" s="2" t="s">
        <v>890</v>
      </c>
      <c r="C337" s="2" t="s">
        <v>99</v>
      </c>
      <c r="D337" s="2" t="s">
        <v>16</v>
      </c>
      <c r="E337" s="2" t="s">
        <v>17</v>
      </c>
      <c r="F337" s="2" t="s">
        <v>199</v>
      </c>
      <c r="G337" s="2">
        <v>3</v>
      </c>
      <c r="H337" s="2">
        <v>17660</v>
      </c>
      <c r="I337" s="2">
        <v>10</v>
      </c>
      <c r="J337" s="2">
        <v>47682</v>
      </c>
      <c r="K337" s="2" t="s">
        <v>67</v>
      </c>
      <c r="L337" s="2" t="s">
        <v>173</v>
      </c>
      <c r="M337" s="2" t="s">
        <v>47</v>
      </c>
    </row>
    <row r="338" spans="1:13" x14ac:dyDescent="0.25">
      <c r="A338" s="2" t="s">
        <v>891</v>
      </c>
      <c r="B338" s="2" t="s">
        <v>892</v>
      </c>
      <c r="C338" s="2" t="s">
        <v>227</v>
      </c>
      <c r="D338" s="2" t="s">
        <v>33</v>
      </c>
      <c r="E338" s="2" t="s">
        <v>77</v>
      </c>
      <c r="F338" s="2" t="s">
        <v>224</v>
      </c>
      <c r="G338" s="2">
        <v>5</v>
      </c>
      <c r="H338" s="2">
        <v>3420</v>
      </c>
      <c r="I338" s="2">
        <v>15</v>
      </c>
      <c r="J338" s="2">
        <v>14535</v>
      </c>
      <c r="K338" s="2" t="s">
        <v>133</v>
      </c>
      <c r="L338" s="2" t="s">
        <v>473</v>
      </c>
      <c r="M338" s="2" t="s">
        <v>140</v>
      </c>
    </row>
    <row r="339" spans="1:13" x14ac:dyDescent="0.25">
      <c r="A339" s="2" t="s">
        <v>893</v>
      </c>
      <c r="B339" s="2" t="s">
        <v>894</v>
      </c>
      <c r="C339" s="2" t="s">
        <v>238</v>
      </c>
      <c r="D339" s="2" t="s">
        <v>51</v>
      </c>
      <c r="E339" s="2" t="s">
        <v>231</v>
      </c>
      <c r="F339" s="2" t="s">
        <v>78</v>
      </c>
      <c r="G339" s="2">
        <v>6</v>
      </c>
      <c r="H339" s="2">
        <v>10300</v>
      </c>
      <c r="I339" s="2">
        <v>0</v>
      </c>
      <c r="J339" s="2">
        <v>61800</v>
      </c>
      <c r="K339" s="2" t="s">
        <v>133</v>
      </c>
      <c r="L339" s="2" t="s">
        <v>473</v>
      </c>
      <c r="M339" s="2" t="s">
        <v>38</v>
      </c>
    </row>
    <row r="340" spans="1:13" x14ac:dyDescent="0.25">
      <c r="A340" s="2" t="s">
        <v>895</v>
      </c>
      <c r="B340" s="2" t="s">
        <v>896</v>
      </c>
      <c r="C340" s="2" t="s">
        <v>204</v>
      </c>
      <c r="D340" s="2" t="s">
        <v>33</v>
      </c>
      <c r="E340" s="2" t="s">
        <v>111</v>
      </c>
      <c r="F340" s="2" t="s">
        <v>543</v>
      </c>
      <c r="G340" s="2">
        <v>6</v>
      </c>
      <c r="H340" s="2">
        <v>69080</v>
      </c>
      <c r="I340" s="2">
        <v>0</v>
      </c>
      <c r="J340" s="2">
        <v>414480</v>
      </c>
      <c r="K340" s="2" t="s">
        <v>102</v>
      </c>
      <c r="L340" s="2" t="s">
        <v>473</v>
      </c>
      <c r="M340" s="2" t="s">
        <v>821</v>
      </c>
    </row>
    <row r="341" spans="1:13" x14ac:dyDescent="0.25">
      <c r="A341" s="2" t="s">
        <v>897</v>
      </c>
      <c r="B341" s="2" t="s">
        <v>898</v>
      </c>
      <c r="C341" s="2" t="s">
        <v>156</v>
      </c>
      <c r="D341" s="2" t="s">
        <v>51</v>
      </c>
      <c r="E341" s="2" t="s">
        <v>17</v>
      </c>
      <c r="F341" s="2" t="s">
        <v>164</v>
      </c>
      <c r="G341" s="2">
        <v>7</v>
      </c>
      <c r="H341" s="2">
        <v>3940</v>
      </c>
      <c r="I341" s="2">
        <v>0</v>
      </c>
      <c r="J341" s="2">
        <v>27580</v>
      </c>
      <c r="K341" s="2" t="s">
        <v>205</v>
      </c>
      <c r="L341" s="2" t="s">
        <v>188</v>
      </c>
      <c r="M341" s="2" t="s">
        <v>38</v>
      </c>
    </row>
    <row r="342" spans="1:13" x14ac:dyDescent="0.25">
      <c r="A342" s="2" t="s">
        <v>899</v>
      </c>
      <c r="B342" s="2" t="s">
        <v>900</v>
      </c>
      <c r="C342" s="2" t="s">
        <v>76</v>
      </c>
      <c r="D342" s="2" t="s">
        <v>33</v>
      </c>
      <c r="E342" s="2" t="s">
        <v>295</v>
      </c>
      <c r="F342" s="2" t="s">
        <v>101</v>
      </c>
      <c r="G342" s="2">
        <v>5</v>
      </c>
      <c r="H342" s="2">
        <v>3170</v>
      </c>
      <c r="I342" s="2">
        <v>0</v>
      </c>
      <c r="J342" s="2">
        <v>15850</v>
      </c>
      <c r="K342" s="2"/>
      <c r="L342" s="2" t="s">
        <v>901</v>
      </c>
      <c r="M342" s="2" t="s">
        <v>21</v>
      </c>
    </row>
    <row r="343" spans="1:13" x14ac:dyDescent="0.25">
      <c r="A343" s="2" t="s">
        <v>902</v>
      </c>
      <c r="B343" s="2" t="s">
        <v>265</v>
      </c>
      <c r="C343" s="2" t="s">
        <v>238</v>
      </c>
      <c r="D343" s="2" t="s">
        <v>51</v>
      </c>
      <c r="E343" s="2" t="s">
        <v>59</v>
      </c>
      <c r="F343" s="2" t="s">
        <v>167</v>
      </c>
      <c r="G343" s="2">
        <v>8</v>
      </c>
      <c r="H343" s="2" t="s">
        <v>223</v>
      </c>
      <c r="I343" s="2">
        <v>0</v>
      </c>
      <c r="J343" s="2" t="s">
        <v>223</v>
      </c>
      <c r="K343" s="2" t="s">
        <v>27</v>
      </c>
      <c r="L343" s="2" t="s">
        <v>903</v>
      </c>
      <c r="M343" s="2" t="s">
        <v>223</v>
      </c>
    </row>
    <row r="344" spans="1:13" x14ac:dyDescent="0.25">
      <c r="A344" s="2" t="s">
        <v>904</v>
      </c>
      <c r="B344" s="2" t="s">
        <v>905</v>
      </c>
      <c r="C344" s="2" t="s">
        <v>41</v>
      </c>
      <c r="D344" s="2" t="s">
        <v>42</v>
      </c>
      <c r="E344" s="2" t="s">
        <v>17</v>
      </c>
      <c r="F344" s="2" t="s">
        <v>35</v>
      </c>
      <c r="G344" s="2">
        <v>3</v>
      </c>
      <c r="H344" s="2">
        <v>16780</v>
      </c>
      <c r="I344" s="2" t="s">
        <v>152</v>
      </c>
      <c r="J344" s="2">
        <v>47823</v>
      </c>
      <c r="K344" s="2" t="s">
        <v>127</v>
      </c>
      <c r="L344" s="2" t="s">
        <v>121</v>
      </c>
      <c r="M344" s="2" t="s">
        <v>21</v>
      </c>
    </row>
    <row r="345" spans="1:13" x14ac:dyDescent="0.25">
      <c r="A345" s="2" t="s">
        <v>906</v>
      </c>
      <c r="B345" s="2" t="s">
        <v>907</v>
      </c>
      <c r="C345" s="2" t="s">
        <v>135</v>
      </c>
      <c r="D345" s="2" t="s">
        <v>58</v>
      </c>
      <c r="E345" s="2" t="s">
        <v>25</v>
      </c>
      <c r="F345" s="2" t="s">
        <v>332</v>
      </c>
      <c r="G345" s="2"/>
      <c r="H345" s="2">
        <v>1190</v>
      </c>
      <c r="I345" s="2">
        <v>0</v>
      </c>
      <c r="J345" s="2">
        <v>7140</v>
      </c>
      <c r="K345" s="2" t="s">
        <v>144</v>
      </c>
      <c r="L345" s="2" t="s">
        <v>46</v>
      </c>
      <c r="M345" s="2" t="s">
        <v>128</v>
      </c>
    </row>
    <row r="346" spans="1:13" x14ac:dyDescent="0.25">
      <c r="A346" s="2" t="s">
        <v>908</v>
      </c>
      <c r="B346" s="2" t="s">
        <v>909</v>
      </c>
      <c r="C346" s="2" t="s">
        <v>32</v>
      </c>
      <c r="D346" s="2" t="s">
        <v>33</v>
      </c>
      <c r="E346" s="2" t="s">
        <v>111</v>
      </c>
      <c r="F346" s="2" t="s">
        <v>239</v>
      </c>
      <c r="G346" s="2">
        <v>6</v>
      </c>
      <c r="H346" s="2">
        <v>51070</v>
      </c>
      <c r="I346" s="2">
        <v>0</v>
      </c>
      <c r="J346" s="2"/>
      <c r="K346" s="2" t="s">
        <v>45</v>
      </c>
      <c r="L346" s="2" t="s">
        <v>54</v>
      </c>
      <c r="M346" s="2" t="s">
        <v>210</v>
      </c>
    </row>
    <row r="347" spans="1:13" x14ac:dyDescent="0.25">
      <c r="A347" s="2" t="s">
        <v>910</v>
      </c>
      <c r="B347" s="2" t="s">
        <v>911</v>
      </c>
      <c r="C347" s="2" t="s">
        <v>41</v>
      </c>
      <c r="D347" s="2" t="s">
        <v>42</v>
      </c>
      <c r="E347" s="2" t="s">
        <v>504</v>
      </c>
      <c r="F347" s="2" t="s">
        <v>167</v>
      </c>
      <c r="G347" s="2">
        <v>10</v>
      </c>
      <c r="H347" s="2">
        <v>3990</v>
      </c>
      <c r="I347" s="2">
        <v>0</v>
      </c>
      <c r="J347" s="2">
        <v>39900</v>
      </c>
      <c r="K347" s="2" t="s">
        <v>138</v>
      </c>
      <c r="L347" s="2" t="s">
        <v>37</v>
      </c>
      <c r="M347" s="2" t="s">
        <v>21</v>
      </c>
    </row>
    <row r="348" spans="1:13" x14ac:dyDescent="0.25">
      <c r="A348" s="2" t="s">
        <v>912</v>
      </c>
      <c r="B348" s="2" t="s">
        <v>913</v>
      </c>
      <c r="C348" s="2" t="s">
        <v>41</v>
      </c>
      <c r="D348" s="2" t="s">
        <v>42</v>
      </c>
      <c r="E348" s="2" t="s">
        <v>231</v>
      </c>
      <c r="F348" s="2" t="s">
        <v>143</v>
      </c>
      <c r="G348" s="2">
        <v>9</v>
      </c>
      <c r="H348" s="2">
        <v>2340</v>
      </c>
      <c r="I348" s="2">
        <v>0</v>
      </c>
      <c r="J348" s="2">
        <v>21060</v>
      </c>
      <c r="K348" s="2" t="s">
        <v>67</v>
      </c>
      <c r="L348" s="2" t="s">
        <v>901</v>
      </c>
      <c r="M348" s="2" t="s">
        <v>501</v>
      </c>
    </row>
    <row r="349" spans="1:13" x14ac:dyDescent="0.25">
      <c r="A349" s="2" t="s">
        <v>914</v>
      </c>
      <c r="B349" s="2" t="s">
        <v>915</v>
      </c>
      <c r="C349" s="2" t="s">
        <v>57</v>
      </c>
      <c r="D349" s="2" t="s">
        <v>58</v>
      </c>
      <c r="E349" s="2" t="s">
        <v>92</v>
      </c>
      <c r="F349" s="2" t="s">
        <v>44</v>
      </c>
      <c r="G349" s="2">
        <v>4</v>
      </c>
      <c r="H349" s="2">
        <v>470</v>
      </c>
      <c r="I349" s="2">
        <v>0</v>
      </c>
      <c r="J349" s="2">
        <v>1880</v>
      </c>
      <c r="K349" s="2" t="s">
        <v>94</v>
      </c>
      <c r="L349" s="2" t="s">
        <v>173</v>
      </c>
      <c r="M349" s="2"/>
    </row>
    <row r="350" spans="1:13" x14ac:dyDescent="0.25">
      <c r="A350" s="2" t="s">
        <v>916</v>
      </c>
      <c r="B350" s="2" t="s">
        <v>917</v>
      </c>
      <c r="C350" s="2" t="s">
        <v>227</v>
      </c>
      <c r="D350" s="2"/>
      <c r="E350" s="2" t="s">
        <v>138</v>
      </c>
      <c r="F350" s="2" t="s">
        <v>180</v>
      </c>
      <c r="G350" s="2">
        <v>7</v>
      </c>
      <c r="H350" s="2">
        <v>3380</v>
      </c>
      <c r="I350" s="2">
        <v>0</v>
      </c>
      <c r="J350" s="2" t="s">
        <v>107</v>
      </c>
      <c r="K350" s="2" t="s">
        <v>53</v>
      </c>
      <c r="L350" s="2" t="s">
        <v>249</v>
      </c>
      <c r="M350" s="2" t="s">
        <v>140</v>
      </c>
    </row>
    <row r="351" spans="1:13" x14ac:dyDescent="0.25">
      <c r="A351" s="2" t="s">
        <v>918</v>
      </c>
      <c r="B351" s="2" t="s">
        <v>919</v>
      </c>
      <c r="C351" s="2" t="s">
        <v>920</v>
      </c>
      <c r="D351" s="2" t="s">
        <v>58</v>
      </c>
      <c r="E351" s="2" t="s">
        <v>43</v>
      </c>
      <c r="F351" s="2" t="s">
        <v>26</v>
      </c>
      <c r="G351" s="2">
        <v>2</v>
      </c>
      <c r="H351" s="2">
        <v>51540</v>
      </c>
      <c r="I351" s="2">
        <v>0</v>
      </c>
      <c r="J351" s="2">
        <v>103080</v>
      </c>
      <c r="K351" s="2" t="s">
        <v>72</v>
      </c>
      <c r="L351" s="2" t="s">
        <v>200</v>
      </c>
      <c r="M351" s="2" t="s">
        <v>47</v>
      </c>
    </row>
    <row r="352" spans="1:13" x14ac:dyDescent="0.25">
      <c r="A352" s="2" t="s">
        <v>921</v>
      </c>
      <c r="B352" s="2" t="s">
        <v>922</v>
      </c>
      <c r="C352" s="2" t="s">
        <v>238</v>
      </c>
      <c r="D352" s="2" t="s">
        <v>51</v>
      </c>
      <c r="E352" s="2" t="s">
        <v>295</v>
      </c>
      <c r="F352" s="2" t="s">
        <v>66</v>
      </c>
      <c r="G352" s="2">
        <v>1</v>
      </c>
      <c r="H352" s="2">
        <v>13450</v>
      </c>
      <c r="I352" s="2">
        <v>0</v>
      </c>
      <c r="J352" s="2">
        <v>13450</v>
      </c>
      <c r="K352" s="2" t="s">
        <v>27</v>
      </c>
      <c r="L352" s="2"/>
      <c r="M352" s="2" t="s">
        <v>21</v>
      </c>
    </row>
    <row r="353" spans="1:13" x14ac:dyDescent="0.25">
      <c r="A353" s="2" t="s">
        <v>923</v>
      </c>
      <c r="B353" s="2" t="s">
        <v>924</v>
      </c>
      <c r="C353" s="2" t="s">
        <v>24</v>
      </c>
      <c r="D353" s="2" t="s">
        <v>16</v>
      </c>
      <c r="E353" s="2" t="s">
        <v>59</v>
      </c>
      <c r="F353" s="2" t="s">
        <v>167</v>
      </c>
      <c r="G353" s="2">
        <v>3</v>
      </c>
      <c r="H353" s="2">
        <v>550</v>
      </c>
      <c r="I353" s="2">
        <v>0</v>
      </c>
      <c r="J353" s="2">
        <v>1650</v>
      </c>
      <c r="K353" s="2" t="s">
        <v>102</v>
      </c>
      <c r="L353" s="2" t="s">
        <v>558</v>
      </c>
      <c r="M353" s="2" t="s">
        <v>128</v>
      </c>
    </row>
    <row r="354" spans="1:13" x14ac:dyDescent="0.25">
      <c r="A354" s="2" t="s">
        <v>925</v>
      </c>
      <c r="B354" s="2" t="s">
        <v>926</v>
      </c>
      <c r="C354" s="2" t="s">
        <v>135</v>
      </c>
      <c r="D354" s="2" t="s">
        <v>58</v>
      </c>
      <c r="E354" s="2" t="s">
        <v>284</v>
      </c>
      <c r="F354" s="2" t="s">
        <v>60</v>
      </c>
      <c r="G354" s="2">
        <v>1</v>
      </c>
      <c r="H354" s="2">
        <v>3770</v>
      </c>
      <c r="I354" s="2">
        <v>0</v>
      </c>
      <c r="J354" s="2">
        <v>3770</v>
      </c>
      <c r="K354" s="2" t="s">
        <v>133</v>
      </c>
      <c r="L354" s="2" t="s">
        <v>349</v>
      </c>
      <c r="M354" s="2" t="s">
        <v>29</v>
      </c>
    </row>
    <row r="355" spans="1:13" x14ac:dyDescent="0.25">
      <c r="A355" s="2" t="s">
        <v>927</v>
      </c>
      <c r="B355" s="2" t="s">
        <v>928</v>
      </c>
      <c r="C355" s="2" t="s">
        <v>32</v>
      </c>
      <c r="D355" s="2" t="s">
        <v>33</v>
      </c>
      <c r="E355" s="2" t="s">
        <v>284</v>
      </c>
      <c r="F355" s="2" t="s">
        <v>83</v>
      </c>
      <c r="G355" s="2" t="s">
        <v>136</v>
      </c>
      <c r="H355" s="2">
        <v>8780</v>
      </c>
      <c r="I355" s="2">
        <v>0</v>
      </c>
      <c r="J355" s="2">
        <v>87800</v>
      </c>
      <c r="K355" s="2" t="s">
        <v>139</v>
      </c>
      <c r="L355" s="2" t="s">
        <v>73</v>
      </c>
      <c r="M355" s="2" t="s">
        <v>21</v>
      </c>
    </row>
    <row r="356" spans="1:13" x14ac:dyDescent="0.25">
      <c r="A356" s="2" t="s">
        <v>929</v>
      </c>
      <c r="B356" s="2" t="s">
        <v>930</v>
      </c>
      <c r="C356" s="2" t="s">
        <v>227</v>
      </c>
      <c r="D356" s="2" t="s">
        <v>33</v>
      </c>
      <c r="E356" s="2" t="s">
        <v>17</v>
      </c>
      <c r="F356" s="2" t="s">
        <v>374</v>
      </c>
      <c r="G356" s="2">
        <v>8</v>
      </c>
      <c r="H356" s="2">
        <v>13280</v>
      </c>
      <c r="I356" s="2">
        <v>0</v>
      </c>
      <c r="J356" s="2" t="s">
        <v>138</v>
      </c>
      <c r="K356" s="2"/>
      <c r="L356" s="2" t="s">
        <v>28</v>
      </c>
      <c r="M356" s="2" t="s">
        <v>128</v>
      </c>
    </row>
    <row r="357" spans="1:13" x14ac:dyDescent="0.25">
      <c r="A357" s="2" t="s">
        <v>931</v>
      </c>
      <c r="B357" s="2" t="s">
        <v>932</v>
      </c>
      <c r="C357" s="2" t="s">
        <v>24</v>
      </c>
      <c r="D357" s="2" t="s">
        <v>16</v>
      </c>
      <c r="E357" s="2" t="s">
        <v>43</v>
      </c>
      <c r="F357" s="2" t="s">
        <v>93</v>
      </c>
      <c r="G357" s="2">
        <v>5</v>
      </c>
      <c r="H357" s="2">
        <v>49400</v>
      </c>
      <c r="I357" s="2">
        <v>10</v>
      </c>
      <c r="J357" s="2">
        <v>222300</v>
      </c>
      <c r="K357" s="2" t="s">
        <v>72</v>
      </c>
      <c r="L357" s="2" t="s">
        <v>387</v>
      </c>
      <c r="M357" s="2" t="s">
        <v>21</v>
      </c>
    </row>
    <row r="358" spans="1:13" x14ac:dyDescent="0.25">
      <c r="A358" s="2" t="s">
        <v>933</v>
      </c>
      <c r="B358" s="2" t="s">
        <v>934</v>
      </c>
      <c r="C358" s="2" t="s">
        <v>490</v>
      </c>
      <c r="D358" s="2" t="s">
        <v>223</v>
      </c>
      <c r="E358" s="2" t="s">
        <v>136</v>
      </c>
      <c r="F358" s="2" t="s">
        <v>171</v>
      </c>
      <c r="G358" s="2">
        <v>11</v>
      </c>
      <c r="H358" s="2">
        <v>1150</v>
      </c>
      <c r="I358" s="2">
        <v>15</v>
      </c>
      <c r="J358" s="2">
        <v>10752.5</v>
      </c>
      <c r="K358" s="2" t="s">
        <v>19</v>
      </c>
      <c r="L358" s="2" t="s">
        <v>28</v>
      </c>
      <c r="M358" s="2" t="s">
        <v>21</v>
      </c>
    </row>
    <row r="359" spans="1:13" x14ac:dyDescent="0.25">
      <c r="A359" s="2" t="s">
        <v>935</v>
      </c>
      <c r="B359" s="2" t="s">
        <v>936</v>
      </c>
      <c r="C359" s="2" t="s">
        <v>32</v>
      </c>
      <c r="D359" s="2" t="s">
        <v>33</v>
      </c>
      <c r="E359" s="2" t="s">
        <v>92</v>
      </c>
      <c r="F359" s="2" t="s">
        <v>44</v>
      </c>
      <c r="G359" s="2">
        <v>8</v>
      </c>
      <c r="H359" s="2" t="s">
        <v>223</v>
      </c>
      <c r="I359" s="2">
        <v>0</v>
      </c>
      <c r="J359" s="2">
        <v>57520</v>
      </c>
      <c r="K359" s="2" t="s">
        <v>45</v>
      </c>
      <c r="L359" s="2" t="s">
        <v>395</v>
      </c>
      <c r="M359" s="2" t="s">
        <v>21</v>
      </c>
    </row>
    <row r="360" spans="1:13" x14ac:dyDescent="0.25">
      <c r="A360" s="2" t="s">
        <v>937</v>
      </c>
      <c r="B360" s="2" t="s">
        <v>938</v>
      </c>
      <c r="C360" s="2" t="s">
        <v>76</v>
      </c>
      <c r="D360" s="2" t="s">
        <v>33</v>
      </c>
      <c r="E360" s="2" t="s">
        <v>65</v>
      </c>
      <c r="F360" s="2" t="s">
        <v>101</v>
      </c>
      <c r="G360" s="2">
        <v>2</v>
      </c>
      <c r="H360" s="2">
        <v>51300</v>
      </c>
      <c r="I360" s="2">
        <v>5</v>
      </c>
      <c r="J360" s="2">
        <v>97470</v>
      </c>
      <c r="K360" s="2" t="s">
        <v>172</v>
      </c>
      <c r="L360" s="2"/>
      <c r="M360" s="2" t="s">
        <v>21</v>
      </c>
    </row>
    <row r="361" spans="1:13" x14ac:dyDescent="0.25">
      <c r="A361" s="2" t="s">
        <v>939</v>
      </c>
      <c r="B361" s="2" t="s">
        <v>316</v>
      </c>
      <c r="C361" s="2" t="s">
        <v>41</v>
      </c>
      <c r="D361" s="2" t="s">
        <v>42</v>
      </c>
      <c r="E361" s="2"/>
      <c r="F361" s="2" t="s">
        <v>290</v>
      </c>
      <c r="G361" s="2">
        <v>3</v>
      </c>
      <c r="H361" s="2">
        <v>2660</v>
      </c>
      <c r="I361" s="2">
        <v>15</v>
      </c>
      <c r="J361" s="2">
        <v>6783</v>
      </c>
      <c r="K361" s="2"/>
      <c r="L361" s="2" t="s">
        <v>411</v>
      </c>
      <c r="M361" s="2" t="s">
        <v>47</v>
      </c>
    </row>
    <row r="362" spans="1:13" x14ac:dyDescent="0.25">
      <c r="A362" s="2" t="s">
        <v>940</v>
      </c>
      <c r="B362" s="2" t="s">
        <v>941</v>
      </c>
      <c r="C362" s="2" t="s">
        <v>213</v>
      </c>
      <c r="D362" s="2" t="s">
        <v>58</v>
      </c>
      <c r="E362" s="2" t="s">
        <v>179</v>
      </c>
      <c r="F362" s="2" t="s">
        <v>543</v>
      </c>
      <c r="G362" s="2">
        <v>10</v>
      </c>
      <c r="H362" s="2">
        <v>17780</v>
      </c>
      <c r="I362" s="2">
        <v>0</v>
      </c>
      <c r="J362" s="2">
        <v>177800</v>
      </c>
      <c r="K362" s="2" t="s">
        <v>127</v>
      </c>
      <c r="L362" s="2" t="s">
        <v>406</v>
      </c>
      <c r="M362" s="2" t="s">
        <v>128</v>
      </c>
    </row>
    <row r="363" spans="1:13" x14ac:dyDescent="0.25">
      <c r="A363" s="2" t="s">
        <v>942</v>
      </c>
      <c r="B363" s="2" t="s">
        <v>943</v>
      </c>
      <c r="C363" s="2" t="s">
        <v>227</v>
      </c>
      <c r="D363" s="2" t="s">
        <v>33</v>
      </c>
      <c r="E363" s="2" t="s">
        <v>25</v>
      </c>
      <c r="F363" s="2" t="s">
        <v>255</v>
      </c>
      <c r="G363" s="2">
        <v>2</v>
      </c>
      <c r="H363" s="2">
        <v>28650</v>
      </c>
      <c r="I363" s="2">
        <v>0</v>
      </c>
      <c r="J363" s="2">
        <v>57300</v>
      </c>
      <c r="K363" s="2" t="s">
        <v>172</v>
      </c>
      <c r="L363" s="2" t="s">
        <v>903</v>
      </c>
      <c r="M363" s="2" t="s">
        <v>215</v>
      </c>
    </row>
    <row r="364" spans="1:13" x14ac:dyDescent="0.25">
      <c r="A364" s="2" t="s">
        <v>944</v>
      </c>
      <c r="B364" s="2" t="s">
        <v>945</v>
      </c>
      <c r="C364" s="2" t="s">
        <v>198</v>
      </c>
      <c r="D364" s="2" t="s">
        <v>42</v>
      </c>
      <c r="E364" s="2" t="s">
        <v>322</v>
      </c>
      <c r="F364" s="2" t="s">
        <v>184</v>
      </c>
      <c r="G364" s="2">
        <v>2</v>
      </c>
      <c r="H364" s="2">
        <v>68200</v>
      </c>
      <c r="I364" s="2">
        <v>0</v>
      </c>
      <c r="J364" s="2">
        <v>136400</v>
      </c>
      <c r="K364" s="2" t="s">
        <v>205</v>
      </c>
      <c r="L364" s="2" t="s">
        <v>883</v>
      </c>
      <c r="M364" s="2" t="s">
        <v>47</v>
      </c>
    </row>
    <row r="365" spans="1:13" x14ac:dyDescent="0.25">
      <c r="A365" s="2" t="s">
        <v>946</v>
      </c>
      <c r="B365" s="2" t="s">
        <v>947</v>
      </c>
      <c r="C365" s="2" t="s">
        <v>76</v>
      </c>
      <c r="D365" s="2" t="s">
        <v>33</v>
      </c>
      <c r="E365" s="2" t="s">
        <v>119</v>
      </c>
      <c r="F365" s="2" t="s">
        <v>93</v>
      </c>
      <c r="G365" s="2">
        <v>10</v>
      </c>
      <c r="H365" s="2">
        <v>71610</v>
      </c>
      <c r="I365" s="2">
        <v>0</v>
      </c>
      <c r="J365" s="2">
        <v>716100</v>
      </c>
      <c r="K365" s="2" t="s">
        <v>53</v>
      </c>
      <c r="L365" s="2" t="s">
        <v>903</v>
      </c>
      <c r="M365" s="2" t="s">
        <v>29</v>
      </c>
    </row>
    <row r="366" spans="1:13" x14ac:dyDescent="0.25">
      <c r="A366" s="2" t="s">
        <v>948</v>
      </c>
      <c r="B366" s="2" t="s">
        <v>949</v>
      </c>
      <c r="C366" s="2" t="s">
        <v>238</v>
      </c>
      <c r="D366" s="2" t="s">
        <v>51</v>
      </c>
      <c r="E366" s="2" t="s">
        <v>111</v>
      </c>
      <c r="F366" s="2" t="s">
        <v>224</v>
      </c>
      <c r="G366" s="2" t="s">
        <v>152</v>
      </c>
      <c r="H366" s="2">
        <v>2660</v>
      </c>
      <c r="I366" s="2">
        <v>0</v>
      </c>
      <c r="J366" s="2">
        <v>26600</v>
      </c>
      <c r="K366" s="2" t="s">
        <v>133</v>
      </c>
      <c r="L366" s="2" t="s">
        <v>824</v>
      </c>
      <c r="M366" s="2" t="s">
        <v>21</v>
      </c>
    </row>
    <row r="367" spans="1:13" x14ac:dyDescent="0.25">
      <c r="A367" s="2" t="s">
        <v>950</v>
      </c>
      <c r="B367" s="2" t="s">
        <v>951</v>
      </c>
      <c r="C367" s="2" t="s">
        <v>91</v>
      </c>
      <c r="D367" s="2" t="s">
        <v>51</v>
      </c>
      <c r="E367" s="2" t="s">
        <v>195</v>
      </c>
      <c r="F367" s="2" t="s">
        <v>164</v>
      </c>
      <c r="G367" s="2">
        <v>4</v>
      </c>
      <c r="H367" s="2">
        <v>2310</v>
      </c>
      <c r="I367" s="2">
        <v>15</v>
      </c>
      <c r="J367" s="2">
        <v>7854</v>
      </c>
      <c r="K367" s="2" t="s">
        <v>67</v>
      </c>
      <c r="L367" s="2" t="s">
        <v>136</v>
      </c>
      <c r="M367" s="2" t="s">
        <v>215</v>
      </c>
    </row>
    <row r="368" spans="1:13" x14ac:dyDescent="0.25">
      <c r="A368" s="2" t="s">
        <v>952</v>
      </c>
      <c r="B368" s="2" t="s">
        <v>953</v>
      </c>
      <c r="C368" s="2" t="s">
        <v>198</v>
      </c>
      <c r="D368" s="2" t="s">
        <v>42</v>
      </c>
      <c r="E368" s="2" t="s">
        <v>137</v>
      </c>
      <c r="F368" s="2" t="s">
        <v>164</v>
      </c>
      <c r="G368" s="2">
        <v>12</v>
      </c>
      <c r="H368" s="2">
        <v>8580</v>
      </c>
      <c r="I368" s="2"/>
      <c r="J368" s="2">
        <v>92664</v>
      </c>
      <c r="K368" s="2" t="s">
        <v>205</v>
      </c>
      <c r="L368" s="2" t="s">
        <v>28</v>
      </c>
      <c r="M368" s="2" t="s">
        <v>29</v>
      </c>
    </row>
    <row r="369" spans="1:13" x14ac:dyDescent="0.25">
      <c r="A369" s="2" t="s">
        <v>954</v>
      </c>
      <c r="B369" s="2" t="s">
        <v>955</v>
      </c>
      <c r="C369" s="2" t="s">
        <v>294</v>
      </c>
      <c r="D369" s="2" t="s">
        <v>42</v>
      </c>
      <c r="E369" s="2" t="s">
        <v>163</v>
      </c>
      <c r="F369" s="2" t="s">
        <v>290</v>
      </c>
      <c r="G369" s="2">
        <v>1</v>
      </c>
      <c r="H369" s="2">
        <v>2310</v>
      </c>
      <c r="I369" s="2">
        <v>0</v>
      </c>
      <c r="J369" s="2">
        <v>2310</v>
      </c>
      <c r="K369" s="2" t="s">
        <v>67</v>
      </c>
      <c r="L369" s="2"/>
      <c r="M369" s="2" t="s">
        <v>21</v>
      </c>
    </row>
    <row r="370" spans="1:13" x14ac:dyDescent="0.25">
      <c r="A370" s="2" t="s">
        <v>956</v>
      </c>
      <c r="B370" s="2" t="s">
        <v>957</v>
      </c>
      <c r="C370" s="2" t="s">
        <v>32</v>
      </c>
      <c r="D370" s="2"/>
      <c r="E370" s="2" t="s">
        <v>25</v>
      </c>
      <c r="F370" s="2" t="s">
        <v>255</v>
      </c>
      <c r="G370" s="2">
        <v>7</v>
      </c>
      <c r="H370" s="2">
        <v>2750</v>
      </c>
      <c r="I370" s="2">
        <v>0</v>
      </c>
      <c r="J370" s="2">
        <v>19250</v>
      </c>
      <c r="K370" s="2" t="s">
        <v>72</v>
      </c>
      <c r="L370" s="2" t="s">
        <v>168</v>
      </c>
      <c r="M370" s="2" t="s">
        <v>21</v>
      </c>
    </row>
    <row r="371" spans="1:13" x14ac:dyDescent="0.25">
      <c r="A371" s="2" t="s">
        <v>958</v>
      </c>
      <c r="B371" s="2" t="s">
        <v>959</v>
      </c>
      <c r="C371" s="2" t="s">
        <v>213</v>
      </c>
      <c r="D371" s="2" t="s">
        <v>58</v>
      </c>
      <c r="E371" s="2" t="s">
        <v>34</v>
      </c>
      <c r="F371" s="2" t="s">
        <v>164</v>
      </c>
      <c r="G371" s="2">
        <v>5</v>
      </c>
      <c r="H371" s="2">
        <v>25440</v>
      </c>
      <c r="I371" s="2">
        <v>0</v>
      </c>
      <c r="J371" s="2"/>
      <c r="K371" s="2" t="s">
        <v>133</v>
      </c>
      <c r="L371" s="2" t="s">
        <v>54</v>
      </c>
      <c r="M371" s="2" t="s">
        <v>21</v>
      </c>
    </row>
    <row r="372" spans="1:13" x14ac:dyDescent="0.25">
      <c r="A372" s="2" t="s">
        <v>960</v>
      </c>
      <c r="B372" s="2" t="s">
        <v>961</v>
      </c>
      <c r="C372" s="2" t="s">
        <v>156</v>
      </c>
      <c r="D372" s="2" t="s">
        <v>51</v>
      </c>
      <c r="E372" s="2" t="s">
        <v>52</v>
      </c>
      <c r="F372" s="2" t="s">
        <v>255</v>
      </c>
      <c r="G372" s="2">
        <v>11</v>
      </c>
      <c r="H372" s="2">
        <v>8290</v>
      </c>
      <c r="I372" s="2">
        <v>0</v>
      </c>
      <c r="J372" s="2">
        <v>91190</v>
      </c>
      <c r="K372" s="2" t="s">
        <v>72</v>
      </c>
      <c r="L372" s="2" t="s">
        <v>962</v>
      </c>
      <c r="M372" s="2" t="s">
        <v>140</v>
      </c>
    </row>
    <row r="373" spans="1:13" x14ac:dyDescent="0.25">
      <c r="A373" s="2" t="s">
        <v>963</v>
      </c>
      <c r="B373" s="2" t="s">
        <v>964</v>
      </c>
      <c r="C373" s="2" t="s">
        <v>135</v>
      </c>
      <c r="D373" s="2" t="s">
        <v>58</v>
      </c>
      <c r="E373" s="2" t="s">
        <v>77</v>
      </c>
      <c r="F373" s="2" t="s">
        <v>143</v>
      </c>
      <c r="G373" s="2">
        <v>2</v>
      </c>
      <c r="H373" s="2">
        <v>7700</v>
      </c>
      <c r="I373" s="2">
        <v>0</v>
      </c>
      <c r="J373" s="2">
        <v>15400</v>
      </c>
      <c r="K373" s="2" t="s">
        <v>152</v>
      </c>
      <c r="L373" s="2" t="s">
        <v>214</v>
      </c>
      <c r="M373" s="2" t="s">
        <v>21</v>
      </c>
    </row>
    <row r="374" spans="1:13" x14ac:dyDescent="0.25">
      <c r="A374" s="2" t="s">
        <v>965</v>
      </c>
      <c r="B374" s="2" t="s">
        <v>966</v>
      </c>
      <c r="C374" s="2" t="s">
        <v>91</v>
      </c>
      <c r="D374" s="2" t="s">
        <v>51</v>
      </c>
      <c r="E374" s="2" t="s">
        <v>163</v>
      </c>
      <c r="F374" s="2" t="s">
        <v>35</v>
      </c>
      <c r="G374" s="2">
        <v>5</v>
      </c>
      <c r="H374" s="2">
        <v>7410</v>
      </c>
      <c r="I374" s="2">
        <v>0</v>
      </c>
      <c r="J374" s="2">
        <v>37050</v>
      </c>
      <c r="K374" s="2" t="s">
        <v>67</v>
      </c>
      <c r="L374" s="2" t="s">
        <v>176</v>
      </c>
      <c r="M374" s="2" t="s">
        <v>21</v>
      </c>
    </row>
    <row r="375" spans="1:13" x14ac:dyDescent="0.25">
      <c r="A375" s="2" t="s">
        <v>967</v>
      </c>
      <c r="B375" s="2" t="s">
        <v>968</v>
      </c>
      <c r="C375" s="2" t="s">
        <v>238</v>
      </c>
      <c r="D375" s="2" t="s">
        <v>51</v>
      </c>
      <c r="E375" s="2" t="s">
        <v>25</v>
      </c>
      <c r="F375" s="2" t="s">
        <v>115</v>
      </c>
      <c r="G375" s="2">
        <v>10</v>
      </c>
      <c r="H375" s="2">
        <v>7470</v>
      </c>
      <c r="I375" s="2">
        <v>10</v>
      </c>
      <c r="J375" s="2">
        <v>67230</v>
      </c>
      <c r="K375" s="2" t="s">
        <v>133</v>
      </c>
      <c r="L375" s="2" t="s">
        <v>344</v>
      </c>
      <c r="M375" s="2" t="s">
        <v>140</v>
      </c>
    </row>
    <row r="376" spans="1:13" x14ac:dyDescent="0.25">
      <c r="A376" s="2" t="s">
        <v>969</v>
      </c>
      <c r="B376" s="2" t="s">
        <v>970</v>
      </c>
      <c r="C376" s="2" t="s">
        <v>971</v>
      </c>
      <c r="D376" s="2" t="s">
        <v>33</v>
      </c>
      <c r="E376" s="2" t="s">
        <v>119</v>
      </c>
      <c r="F376" s="2" t="s">
        <v>115</v>
      </c>
      <c r="G376" s="2">
        <v>2</v>
      </c>
      <c r="H376" s="2">
        <v>4820</v>
      </c>
      <c r="I376" s="2">
        <v>0</v>
      </c>
      <c r="J376" s="2">
        <v>9640</v>
      </c>
      <c r="K376" s="2" t="s">
        <v>19</v>
      </c>
      <c r="L376" s="2" t="s">
        <v>375</v>
      </c>
      <c r="M376" s="2" t="s">
        <v>140</v>
      </c>
    </row>
    <row r="377" spans="1:13" x14ac:dyDescent="0.25">
      <c r="A377" s="2" t="s">
        <v>972</v>
      </c>
      <c r="B377" s="2" t="s">
        <v>451</v>
      </c>
      <c r="C377" s="2" t="s">
        <v>24</v>
      </c>
      <c r="D377" s="2" t="s">
        <v>16</v>
      </c>
      <c r="E377" s="2" t="s">
        <v>100</v>
      </c>
      <c r="F377" s="2" t="s">
        <v>101</v>
      </c>
      <c r="G377" s="2">
        <v>2</v>
      </c>
      <c r="H377" s="2">
        <v>2300</v>
      </c>
      <c r="I377" s="2">
        <v>0</v>
      </c>
      <c r="J377" s="2">
        <v>4600</v>
      </c>
      <c r="K377" s="2" t="s">
        <v>144</v>
      </c>
      <c r="L377" s="2" t="s">
        <v>375</v>
      </c>
      <c r="M377" s="2" t="s">
        <v>21</v>
      </c>
    </row>
    <row r="378" spans="1:13" x14ac:dyDescent="0.25">
      <c r="A378" s="2" t="s">
        <v>973</v>
      </c>
      <c r="B378" s="2" t="s">
        <v>974</v>
      </c>
      <c r="C378" s="2" t="s">
        <v>971</v>
      </c>
      <c r="D378" s="2" t="s">
        <v>33</v>
      </c>
      <c r="E378" s="2" t="s">
        <v>148</v>
      </c>
      <c r="F378" s="2" t="s">
        <v>167</v>
      </c>
      <c r="G378" s="2">
        <v>10</v>
      </c>
      <c r="H378" s="2">
        <v>1280</v>
      </c>
      <c r="I378" s="2">
        <v>0</v>
      </c>
      <c r="J378" s="2">
        <v>12800</v>
      </c>
      <c r="K378" s="2" t="s">
        <v>205</v>
      </c>
      <c r="L378" s="2" t="s">
        <v>79</v>
      </c>
      <c r="M378" s="2" t="s">
        <v>96</v>
      </c>
    </row>
    <row r="379" spans="1:13" x14ac:dyDescent="0.25">
      <c r="A379" s="2" t="s">
        <v>975</v>
      </c>
      <c r="B379" s="2" t="s">
        <v>631</v>
      </c>
      <c r="C379" s="2" t="s">
        <v>135</v>
      </c>
      <c r="D379" s="2" t="s">
        <v>58</v>
      </c>
      <c r="E379" s="2" t="s">
        <v>163</v>
      </c>
      <c r="F379" s="2" t="s">
        <v>35</v>
      </c>
      <c r="G379" s="2">
        <v>7</v>
      </c>
      <c r="H379" s="2">
        <v>18500</v>
      </c>
      <c r="I379" s="2">
        <v>5</v>
      </c>
      <c r="J379" s="2">
        <v>123025</v>
      </c>
      <c r="K379" s="2" t="s">
        <v>94</v>
      </c>
      <c r="L379" s="2" t="s">
        <v>440</v>
      </c>
      <c r="M379" s="2" t="s">
        <v>47</v>
      </c>
    </row>
    <row r="380" spans="1:13" x14ac:dyDescent="0.25">
      <c r="A380" s="2" t="s">
        <v>976</v>
      </c>
      <c r="B380" s="2" t="s">
        <v>977</v>
      </c>
      <c r="C380" s="2" t="s">
        <v>156</v>
      </c>
      <c r="D380" s="2" t="s">
        <v>51</v>
      </c>
      <c r="E380" s="2" t="s">
        <v>17</v>
      </c>
      <c r="F380" s="2" t="s">
        <v>290</v>
      </c>
      <c r="G380" s="2">
        <v>2</v>
      </c>
      <c r="H380" s="2">
        <v>8070</v>
      </c>
      <c r="I380" s="2">
        <v>0</v>
      </c>
      <c r="J380" s="2">
        <v>16140</v>
      </c>
      <c r="K380" s="2" t="s">
        <v>19</v>
      </c>
      <c r="L380" s="2" t="s">
        <v>84</v>
      </c>
      <c r="M380" s="2" t="s">
        <v>38</v>
      </c>
    </row>
    <row r="381" spans="1:13" x14ac:dyDescent="0.25">
      <c r="A381" s="2" t="s">
        <v>978</v>
      </c>
      <c r="B381" s="2" t="s">
        <v>330</v>
      </c>
      <c r="C381" s="2" t="s">
        <v>218</v>
      </c>
      <c r="D381" s="2" t="s">
        <v>33</v>
      </c>
      <c r="E381" s="2" t="s">
        <v>322</v>
      </c>
      <c r="F381" s="2" t="s">
        <v>180</v>
      </c>
      <c r="G381" s="2">
        <v>-1</v>
      </c>
      <c r="H381" s="2">
        <v>19300</v>
      </c>
      <c r="I381" s="2">
        <v>0</v>
      </c>
      <c r="J381" s="2"/>
      <c r="K381" s="2" t="s">
        <v>45</v>
      </c>
      <c r="L381" s="2" t="s">
        <v>387</v>
      </c>
      <c r="M381" s="2" t="s">
        <v>38</v>
      </c>
    </row>
    <row r="382" spans="1:13" x14ac:dyDescent="0.25">
      <c r="A382" s="2" t="s">
        <v>979</v>
      </c>
      <c r="B382" s="2" t="s">
        <v>980</v>
      </c>
      <c r="C382" s="2" t="s">
        <v>24</v>
      </c>
      <c r="D382" s="2" t="s">
        <v>107</v>
      </c>
      <c r="E382" s="2" t="s">
        <v>25</v>
      </c>
      <c r="F382" s="2" t="s">
        <v>93</v>
      </c>
      <c r="G382" s="2">
        <v>6</v>
      </c>
      <c r="H382" s="2">
        <v>12250</v>
      </c>
      <c r="I382" s="2">
        <v>0</v>
      </c>
      <c r="J382" s="2">
        <v>73500</v>
      </c>
      <c r="K382" s="2" t="s">
        <v>205</v>
      </c>
      <c r="L382" s="2" t="s">
        <v>406</v>
      </c>
      <c r="M382" s="2" t="s">
        <v>21</v>
      </c>
    </row>
    <row r="383" spans="1:13" x14ac:dyDescent="0.25">
      <c r="A383" s="2" t="s">
        <v>981</v>
      </c>
      <c r="B383" s="2" t="s">
        <v>982</v>
      </c>
      <c r="C383" s="2" t="s">
        <v>50</v>
      </c>
      <c r="D383" s="2" t="s">
        <v>51</v>
      </c>
      <c r="E383" s="2" t="s">
        <v>111</v>
      </c>
      <c r="F383" s="2" t="s">
        <v>543</v>
      </c>
      <c r="G383" s="2">
        <v>6</v>
      </c>
      <c r="H383" s="2">
        <v>470</v>
      </c>
      <c r="I383" s="2">
        <v>15</v>
      </c>
      <c r="J383" s="2">
        <v>2397</v>
      </c>
      <c r="K383" s="2" t="s">
        <v>120</v>
      </c>
      <c r="L383" s="2" t="s">
        <v>339</v>
      </c>
      <c r="M383" s="2" t="s">
        <v>21</v>
      </c>
    </row>
    <row r="384" spans="1:13" x14ac:dyDescent="0.25">
      <c r="A384" s="2" t="s">
        <v>983</v>
      </c>
      <c r="B384" s="2" t="s">
        <v>984</v>
      </c>
      <c r="C384" s="2" t="s">
        <v>156</v>
      </c>
      <c r="D384" s="2" t="s">
        <v>51</v>
      </c>
      <c r="E384" s="2" t="s">
        <v>195</v>
      </c>
      <c r="F384" s="2" t="s">
        <v>199</v>
      </c>
      <c r="G384" s="2">
        <v>11</v>
      </c>
      <c r="H384" s="2">
        <v>7770</v>
      </c>
      <c r="I384" s="2">
        <v>0</v>
      </c>
      <c r="J384" s="2">
        <v>85470</v>
      </c>
      <c r="K384" s="2" t="s">
        <v>72</v>
      </c>
      <c r="L384" s="2" t="s">
        <v>266</v>
      </c>
      <c r="M384" s="2" t="s">
        <v>29</v>
      </c>
    </row>
    <row r="385" spans="1:13" x14ac:dyDescent="0.25">
      <c r="A385" s="2" t="s">
        <v>985</v>
      </c>
      <c r="B385" s="2" t="s">
        <v>986</v>
      </c>
      <c r="C385" s="2" t="s">
        <v>156</v>
      </c>
      <c r="D385" s="2" t="s">
        <v>51</v>
      </c>
      <c r="E385" s="2" t="s">
        <v>163</v>
      </c>
      <c r="F385" s="2" t="s">
        <v>35</v>
      </c>
      <c r="G385" s="2">
        <v>9</v>
      </c>
      <c r="H385" s="2">
        <v>5190</v>
      </c>
      <c r="I385" s="2">
        <v>0</v>
      </c>
      <c r="J385" s="2">
        <v>46710</v>
      </c>
      <c r="K385" s="2" t="s">
        <v>127</v>
      </c>
      <c r="L385" s="2" t="s">
        <v>883</v>
      </c>
      <c r="M385" s="2" t="s">
        <v>21</v>
      </c>
    </row>
    <row r="386" spans="1:13" x14ac:dyDescent="0.25">
      <c r="A386" s="2" t="s">
        <v>987</v>
      </c>
      <c r="B386" s="2" t="s">
        <v>988</v>
      </c>
      <c r="C386" s="2" t="s">
        <v>41</v>
      </c>
      <c r="D386" s="2" t="s">
        <v>42</v>
      </c>
      <c r="E386" s="2" t="s">
        <v>284</v>
      </c>
      <c r="F386" s="2" t="s">
        <v>435</v>
      </c>
      <c r="G386" s="2">
        <v>6</v>
      </c>
      <c r="H386" s="2">
        <v>1100</v>
      </c>
      <c r="I386" s="2">
        <v>5</v>
      </c>
      <c r="J386" s="2">
        <v>6270</v>
      </c>
      <c r="K386" s="2" t="s">
        <v>19</v>
      </c>
      <c r="L386" s="2" t="s">
        <v>344</v>
      </c>
      <c r="M386" s="2" t="s">
        <v>47</v>
      </c>
    </row>
    <row r="387" spans="1:13" x14ac:dyDescent="0.25">
      <c r="A387" s="2" t="s">
        <v>989</v>
      </c>
      <c r="B387" s="2" t="s">
        <v>990</v>
      </c>
      <c r="C387" s="2" t="s">
        <v>204</v>
      </c>
      <c r="D387" s="2" t="s">
        <v>33</v>
      </c>
      <c r="E387" s="2" t="s">
        <v>195</v>
      </c>
      <c r="F387" s="2" t="s">
        <v>164</v>
      </c>
      <c r="G387" s="2">
        <v>7</v>
      </c>
      <c r="H387" s="2">
        <v>9120</v>
      </c>
      <c r="I387" s="2">
        <v>0</v>
      </c>
      <c r="J387" s="2">
        <v>63840</v>
      </c>
      <c r="K387" s="2" t="s">
        <v>144</v>
      </c>
      <c r="L387" s="2" t="s">
        <v>755</v>
      </c>
      <c r="M387" s="2" t="s">
        <v>47</v>
      </c>
    </row>
    <row r="388" spans="1:13" x14ac:dyDescent="0.25">
      <c r="A388" s="2" t="s">
        <v>991</v>
      </c>
      <c r="B388" s="2" t="s">
        <v>992</v>
      </c>
      <c r="C388" s="2" t="s">
        <v>15</v>
      </c>
      <c r="D388" s="2" t="s">
        <v>16</v>
      </c>
      <c r="E388" s="2" t="s">
        <v>77</v>
      </c>
      <c r="F388" s="2" t="s">
        <v>239</v>
      </c>
      <c r="G388" s="2">
        <v>5</v>
      </c>
      <c r="H388" s="2">
        <v>5560</v>
      </c>
      <c r="I388" s="2">
        <v>0</v>
      </c>
      <c r="J388" s="2">
        <v>27800</v>
      </c>
      <c r="K388" s="2" t="s">
        <v>144</v>
      </c>
      <c r="L388" s="2" t="s">
        <v>168</v>
      </c>
      <c r="M388" s="2" t="s">
        <v>128</v>
      </c>
    </row>
    <row r="389" spans="1:13" x14ac:dyDescent="0.25">
      <c r="A389" s="2" t="s">
        <v>993</v>
      </c>
      <c r="B389" s="2" t="s">
        <v>994</v>
      </c>
      <c r="C389" s="2" t="s">
        <v>32</v>
      </c>
      <c r="D389" s="2" t="s">
        <v>33</v>
      </c>
      <c r="E389" s="2" t="s">
        <v>77</v>
      </c>
      <c r="F389" s="2" t="s">
        <v>224</v>
      </c>
      <c r="G389" s="2">
        <v>10</v>
      </c>
      <c r="H389" s="2">
        <v>4610</v>
      </c>
      <c r="I389" s="2">
        <v>0</v>
      </c>
      <c r="J389" s="2">
        <v>46100</v>
      </c>
      <c r="K389" s="2" t="s">
        <v>72</v>
      </c>
      <c r="L389" s="2" t="s">
        <v>121</v>
      </c>
      <c r="M389" s="2" t="s">
        <v>47</v>
      </c>
    </row>
    <row r="390" spans="1:13" x14ac:dyDescent="0.25">
      <c r="A390" s="2" t="s">
        <v>995</v>
      </c>
      <c r="B390" s="2" t="s">
        <v>996</v>
      </c>
      <c r="C390" s="2" t="s">
        <v>15</v>
      </c>
      <c r="D390" s="2" t="s">
        <v>16</v>
      </c>
      <c r="E390" s="2" t="s">
        <v>17</v>
      </c>
      <c r="F390" s="2" t="s">
        <v>35</v>
      </c>
      <c r="G390" s="2">
        <v>5</v>
      </c>
      <c r="H390" s="2">
        <v>530</v>
      </c>
      <c r="I390" s="2">
        <v>0</v>
      </c>
      <c r="J390" s="2">
        <v>2650</v>
      </c>
      <c r="K390" s="2" t="s">
        <v>139</v>
      </c>
      <c r="L390" s="2" t="s">
        <v>249</v>
      </c>
      <c r="M390" s="2" t="s">
        <v>21</v>
      </c>
    </row>
    <row r="391" spans="1:13" x14ac:dyDescent="0.25">
      <c r="A391" s="2" t="s">
        <v>997</v>
      </c>
      <c r="B391" s="2" t="s">
        <v>998</v>
      </c>
      <c r="C391" s="2" t="s">
        <v>227</v>
      </c>
      <c r="D391" s="2" t="s">
        <v>33</v>
      </c>
      <c r="E391" s="2" t="s">
        <v>107</v>
      </c>
      <c r="F391" s="2" t="s">
        <v>543</v>
      </c>
      <c r="G391" s="2">
        <v>4</v>
      </c>
      <c r="H391" s="2">
        <v>23850</v>
      </c>
      <c r="I391" s="2">
        <v>15</v>
      </c>
      <c r="J391" s="2">
        <v>81090</v>
      </c>
      <c r="K391" s="2" t="s">
        <v>139</v>
      </c>
      <c r="L391" s="2" t="s">
        <v>999</v>
      </c>
      <c r="M391" s="2" t="s">
        <v>821</v>
      </c>
    </row>
    <row r="392" spans="1:13" x14ac:dyDescent="0.25">
      <c r="A392" s="2" t="s">
        <v>1000</v>
      </c>
      <c r="B392" s="2" t="s">
        <v>1001</v>
      </c>
      <c r="C392" s="2" t="s">
        <v>469</v>
      </c>
      <c r="D392" s="2" t="s">
        <v>51</v>
      </c>
      <c r="E392" s="2" t="s">
        <v>100</v>
      </c>
      <c r="F392" s="2" t="s">
        <v>296</v>
      </c>
      <c r="G392" s="2">
        <v>4</v>
      </c>
      <c r="H392" s="2">
        <v>59970</v>
      </c>
      <c r="I392" s="2">
        <v>10</v>
      </c>
      <c r="J392" s="2" t="s">
        <v>152</v>
      </c>
      <c r="K392" s="2" t="s">
        <v>205</v>
      </c>
      <c r="L392" s="2" t="s">
        <v>188</v>
      </c>
      <c r="M392" s="2" t="s">
        <v>29</v>
      </c>
    </row>
    <row r="393" spans="1:13" x14ac:dyDescent="0.25">
      <c r="A393" s="2" t="s">
        <v>1002</v>
      </c>
      <c r="B393" s="2" t="s">
        <v>1003</v>
      </c>
      <c r="C393" s="2" t="s">
        <v>76</v>
      </c>
      <c r="D393" s="2" t="s">
        <v>33</v>
      </c>
      <c r="E393" s="2"/>
      <c r="F393" s="2" t="s">
        <v>18</v>
      </c>
      <c r="G393" s="2">
        <v>10</v>
      </c>
      <c r="H393" s="2">
        <v>1310</v>
      </c>
      <c r="I393" s="2">
        <v>0</v>
      </c>
      <c r="J393" s="2">
        <v>13100</v>
      </c>
      <c r="K393" s="2" t="s">
        <v>19</v>
      </c>
      <c r="L393" s="2" t="s">
        <v>411</v>
      </c>
      <c r="M393" s="2" t="s">
        <v>47</v>
      </c>
    </row>
    <row r="394" spans="1:13" x14ac:dyDescent="0.25">
      <c r="A394" s="2" t="s">
        <v>1004</v>
      </c>
      <c r="B394" s="2" t="s">
        <v>1005</v>
      </c>
      <c r="C394" s="2" t="s">
        <v>24</v>
      </c>
      <c r="D394" s="2" t="s">
        <v>16</v>
      </c>
      <c r="E394" s="2" t="s">
        <v>163</v>
      </c>
      <c r="F394" s="2" t="s">
        <v>171</v>
      </c>
      <c r="G394" s="2">
        <v>12</v>
      </c>
      <c r="H394" s="2">
        <v>9170</v>
      </c>
      <c r="I394" s="2">
        <v>0</v>
      </c>
      <c r="J394" s="2">
        <v>110040</v>
      </c>
      <c r="K394" s="2" t="s">
        <v>139</v>
      </c>
      <c r="L394" s="2" t="s">
        <v>387</v>
      </c>
      <c r="M394" s="2" t="s">
        <v>47</v>
      </c>
    </row>
    <row r="395" spans="1:13" x14ac:dyDescent="0.25">
      <c r="A395" s="2" t="s">
        <v>1006</v>
      </c>
      <c r="B395" s="2" t="s">
        <v>932</v>
      </c>
      <c r="C395" s="2" t="s">
        <v>118</v>
      </c>
      <c r="D395" s="2" t="s">
        <v>51</v>
      </c>
      <c r="E395" s="2" t="s">
        <v>504</v>
      </c>
      <c r="F395" s="2" t="s">
        <v>83</v>
      </c>
      <c r="G395" s="2">
        <v>12</v>
      </c>
      <c r="H395" s="2">
        <v>17030</v>
      </c>
      <c r="I395" s="2">
        <v>0</v>
      </c>
      <c r="J395" s="2"/>
      <c r="K395" s="2" t="s">
        <v>27</v>
      </c>
      <c r="L395" s="2" t="s">
        <v>1007</v>
      </c>
      <c r="M395" s="2" t="s">
        <v>21</v>
      </c>
    </row>
    <row r="396" spans="1:13" x14ac:dyDescent="0.25">
      <c r="A396" s="2" t="s">
        <v>1008</v>
      </c>
      <c r="B396" s="2" t="s">
        <v>1009</v>
      </c>
      <c r="C396" s="2" t="s">
        <v>32</v>
      </c>
      <c r="D396" s="2" t="s">
        <v>33</v>
      </c>
      <c r="E396" s="2" t="s">
        <v>231</v>
      </c>
      <c r="F396" s="2" t="s">
        <v>224</v>
      </c>
      <c r="G396" s="2">
        <v>9</v>
      </c>
      <c r="H396" s="2">
        <v>16690</v>
      </c>
      <c r="I396" s="2">
        <v>0</v>
      </c>
      <c r="J396" s="2">
        <v>150210</v>
      </c>
      <c r="K396" s="2" t="s">
        <v>27</v>
      </c>
      <c r="L396" s="2" t="s">
        <v>188</v>
      </c>
      <c r="M396" s="2" t="s">
        <v>29</v>
      </c>
    </row>
    <row r="397" spans="1:13" x14ac:dyDescent="0.25">
      <c r="A397" s="2" t="s">
        <v>1010</v>
      </c>
      <c r="B397" s="2" t="s">
        <v>1011</v>
      </c>
      <c r="C397" s="2" t="s">
        <v>156</v>
      </c>
      <c r="D397" s="2" t="s">
        <v>51</v>
      </c>
      <c r="E397" s="2" t="s">
        <v>52</v>
      </c>
      <c r="F397" s="2" t="s">
        <v>44</v>
      </c>
      <c r="G397" s="2">
        <v>1</v>
      </c>
      <c r="H397" s="2">
        <v>1330</v>
      </c>
      <c r="I397" s="2">
        <v>0</v>
      </c>
      <c r="J397" s="2">
        <v>1330</v>
      </c>
      <c r="K397" s="2" t="s">
        <v>53</v>
      </c>
      <c r="L397" s="2" t="s">
        <v>168</v>
      </c>
      <c r="M397" s="2" t="s">
        <v>96</v>
      </c>
    </row>
    <row r="398" spans="1:13" x14ac:dyDescent="0.25">
      <c r="A398" s="2" t="s">
        <v>1012</v>
      </c>
      <c r="B398" s="2" t="s">
        <v>1013</v>
      </c>
      <c r="C398" s="2" t="s">
        <v>76</v>
      </c>
      <c r="D398" s="2" t="s">
        <v>33</v>
      </c>
      <c r="E398" s="2" t="s">
        <v>322</v>
      </c>
      <c r="F398" s="2" t="s">
        <v>224</v>
      </c>
      <c r="G398" s="2">
        <v>2</v>
      </c>
      <c r="H398" s="2">
        <v>9380</v>
      </c>
      <c r="I398" s="2">
        <v>15</v>
      </c>
      <c r="J398" s="2">
        <v>15946</v>
      </c>
      <c r="K398" s="2" t="s">
        <v>138</v>
      </c>
      <c r="L398" s="2" t="s">
        <v>271</v>
      </c>
      <c r="M398" s="2" t="s">
        <v>21</v>
      </c>
    </row>
    <row r="399" spans="1:13" x14ac:dyDescent="0.25">
      <c r="A399" s="2" t="s">
        <v>1014</v>
      </c>
      <c r="B399" s="2" t="s">
        <v>1015</v>
      </c>
      <c r="C399" s="2" t="s">
        <v>194</v>
      </c>
      <c r="D399" s="2" t="s">
        <v>51</v>
      </c>
      <c r="E399" s="2" t="s">
        <v>92</v>
      </c>
      <c r="F399" s="2" t="s">
        <v>115</v>
      </c>
      <c r="G399" s="2">
        <v>6</v>
      </c>
      <c r="H399" s="2">
        <v>2760</v>
      </c>
      <c r="I399" s="2">
        <v>10</v>
      </c>
      <c r="J399" s="2">
        <v>14904</v>
      </c>
      <c r="K399" s="2" t="s">
        <v>133</v>
      </c>
      <c r="L399" s="2"/>
      <c r="M399" s="2" t="s">
        <v>140</v>
      </c>
    </row>
    <row r="400" spans="1:13" x14ac:dyDescent="0.25">
      <c r="A400" s="2" t="s">
        <v>1016</v>
      </c>
      <c r="B400" s="2" t="s">
        <v>1017</v>
      </c>
      <c r="C400" s="2" t="s">
        <v>50</v>
      </c>
      <c r="D400" s="2" t="s">
        <v>51</v>
      </c>
      <c r="E400" s="2" t="s">
        <v>131</v>
      </c>
      <c r="F400" s="2" t="s">
        <v>101</v>
      </c>
      <c r="G400" s="2">
        <v>1</v>
      </c>
      <c r="H400" s="2">
        <v>9650</v>
      </c>
      <c r="I400" s="2">
        <v>10</v>
      </c>
      <c r="J400" s="2">
        <v>8685</v>
      </c>
      <c r="K400" s="2" t="s">
        <v>157</v>
      </c>
      <c r="L400" s="2" t="s">
        <v>88</v>
      </c>
      <c r="M400" s="2" t="s">
        <v>38</v>
      </c>
    </row>
    <row r="401" spans="1:13" x14ac:dyDescent="0.25">
      <c r="A401" s="2" t="s">
        <v>1018</v>
      </c>
      <c r="B401" s="2" t="s">
        <v>1019</v>
      </c>
      <c r="C401" s="2" t="s">
        <v>118</v>
      </c>
      <c r="D401" s="2" t="s">
        <v>51</v>
      </c>
      <c r="E401" s="2" t="s">
        <v>77</v>
      </c>
      <c r="F401" s="2" t="s">
        <v>184</v>
      </c>
      <c r="G401" s="2">
        <v>9</v>
      </c>
      <c r="H401" s="2">
        <v>10040</v>
      </c>
      <c r="I401" s="2">
        <v>0</v>
      </c>
      <c r="J401" s="2">
        <v>90360</v>
      </c>
      <c r="K401" s="2" t="s">
        <v>139</v>
      </c>
      <c r="L401" s="2" t="s">
        <v>54</v>
      </c>
      <c r="M401" s="2" t="s">
        <v>21</v>
      </c>
    </row>
    <row r="402" spans="1:13" x14ac:dyDescent="0.25">
      <c r="A402" s="2" t="s">
        <v>1020</v>
      </c>
      <c r="B402" s="2" t="s">
        <v>1021</v>
      </c>
      <c r="C402" s="2" t="s">
        <v>32</v>
      </c>
      <c r="D402" s="2"/>
      <c r="E402" s="2" t="s">
        <v>77</v>
      </c>
      <c r="F402" s="2" t="s">
        <v>543</v>
      </c>
      <c r="G402" s="2">
        <v>5</v>
      </c>
      <c r="H402" s="2">
        <v>9350</v>
      </c>
      <c r="I402" s="2">
        <v>10</v>
      </c>
      <c r="J402" s="2">
        <v>42075</v>
      </c>
      <c r="K402" s="2" t="s">
        <v>157</v>
      </c>
      <c r="L402" s="2" t="s">
        <v>188</v>
      </c>
      <c r="M402" s="2" t="s">
        <v>29</v>
      </c>
    </row>
    <row r="403" spans="1:13" x14ac:dyDescent="0.25">
      <c r="A403" s="2" t="s">
        <v>1022</v>
      </c>
      <c r="B403" s="2" t="s">
        <v>1023</v>
      </c>
      <c r="C403" s="2" t="s">
        <v>76</v>
      </c>
      <c r="D403" s="2" t="s">
        <v>33</v>
      </c>
      <c r="E403" s="2" t="s">
        <v>65</v>
      </c>
      <c r="F403" s="2" t="s">
        <v>101</v>
      </c>
      <c r="G403" s="2">
        <v>10</v>
      </c>
      <c r="H403" s="2">
        <v>2770</v>
      </c>
      <c r="I403" s="2">
        <v>0</v>
      </c>
      <c r="J403" s="2">
        <v>27700</v>
      </c>
      <c r="K403" s="2" t="s">
        <v>172</v>
      </c>
      <c r="L403" s="2" t="s">
        <v>883</v>
      </c>
      <c r="M403" s="2" t="s">
        <v>210</v>
      </c>
    </row>
    <row r="404" spans="1:13" x14ac:dyDescent="0.25">
      <c r="A404" s="2" t="s">
        <v>1024</v>
      </c>
      <c r="B404" s="2" t="s">
        <v>682</v>
      </c>
      <c r="C404" s="2" t="s">
        <v>118</v>
      </c>
      <c r="D404" s="2" t="s">
        <v>51</v>
      </c>
      <c r="E404" s="2" t="s">
        <v>43</v>
      </c>
      <c r="F404" s="2" t="s">
        <v>248</v>
      </c>
      <c r="G404" s="2">
        <v>11</v>
      </c>
      <c r="H404" s="2">
        <v>72060</v>
      </c>
      <c r="I404" s="2">
        <v>0</v>
      </c>
      <c r="J404" s="2">
        <v>792660</v>
      </c>
      <c r="K404" s="2" t="s">
        <v>45</v>
      </c>
      <c r="L404" s="2" t="s">
        <v>73</v>
      </c>
      <c r="M404" s="2" t="s">
        <v>140</v>
      </c>
    </row>
    <row r="405" spans="1:13" x14ac:dyDescent="0.25">
      <c r="A405" s="2" t="s">
        <v>1025</v>
      </c>
      <c r="B405" s="2" t="s">
        <v>1026</v>
      </c>
      <c r="C405" s="2" t="s">
        <v>449</v>
      </c>
      <c r="D405" s="2" t="s">
        <v>42</v>
      </c>
      <c r="E405" s="2" t="s">
        <v>17</v>
      </c>
      <c r="F405" s="2" t="s">
        <v>171</v>
      </c>
      <c r="G405" s="2">
        <v>12</v>
      </c>
      <c r="H405" s="2">
        <v>17670</v>
      </c>
      <c r="I405" s="2">
        <v>0</v>
      </c>
      <c r="J405" s="2">
        <v>212040</v>
      </c>
      <c r="K405" s="2" t="s">
        <v>36</v>
      </c>
      <c r="L405" s="2" t="s">
        <v>1027</v>
      </c>
      <c r="M405" s="2" t="s">
        <v>38</v>
      </c>
    </row>
    <row r="406" spans="1:13" x14ac:dyDescent="0.25">
      <c r="A406" s="2" t="s">
        <v>1028</v>
      </c>
      <c r="B406" s="2" t="s">
        <v>1029</v>
      </c>
      <c r="C406" s="2" t="s">
        <v>15</v>
      </c>
      <c r="D406" s="2" t="s">
        <v>16</v>
      </c>
      <c r="E406" s="2" t="s">
        <v>65</v>
      </c>
      <c r="F406" s="2" t="s">
        <v>101</v>
      </c>
      <c r="G406" s="2">
        <v>11</v>
      </c>
      <c r="H406" s="2">
        <v>12380</v>
      </c>
      <c r="I406" s="2">
        <v>0</v>
      </c>
      <c r="J406" s="2">
        <v>136180</v>
      </c>
      <c r="K406" s="2" t="s">
        <v>27</v>
      </c>
      <c r="L406" s="2" t="s">
        <v>344</v>
      </c>
      <c r="M406" s="2" t="s">
        <v>140</v>
      </c>
    </row>
    <row r="407" spans="1:13" x14ac:dyDescent="0.25">
      <c r="A407" s="2" t="s">
        <v>1030</v>
      </c>
      <c r="B407" s="2" t="s">
        <v>1031</v>
      </c>
      <c r="C407" s="2" t="s">
        <v>837</v>
      </c>
      <c r="D407" s="2" t="s">
        <v>33</v>
      </c>
      <c r="E407" s="2" t="s">
        <v>195</v>
      </c>
      <c r="F407" s="2" t="s">
        <v>290</v>
      </c>
      <c r="G407" s="2">
        <v>4</v>
      </c>
      <c r="H407" s="2">
        <v>530</v>
      </c>
      <c r="I407" s="2">
        <v>10</v>
      </c>
      <c r="J407" s="2">
        <v>1908</v>
      </c>
      <c r="K407" s="2" t="s">
        <v>27</v>
      </c>
      <c r="L407" s="2" t="s">
        <v>68</v>
      </c>
      <c r="M407" s="2" t="s">
        <v>47</v>
      </c>
    </row>
    <row r="408" spans="1:13" x14ac:dyDescent="0.25">
      <c r="A408" s="2" t="s">
        <v>1032</v>
      </c>
      <c r="B408" s="2" t="s">
        <v>542</v>
      </c>
      <c r="C408" s="2" t="s">
        <v>238</v>
      </c>
      <c r="D408" s="2" t="s">
        <v>51</v>
      </c>
      <c r="E408" s="2" t="s">
        <v>125</v>
      </c>
      <c r="F408" s="2" t="s">
        <v>314</v>
      </c>
      <c r="G408" s="2">
        <v>6</v>
      </c>
      <c r="H408" s="2">
        <v>-3890</v>
      </c>
      <c r="I408" s="2">
        <v>15</v>
      </c>
      <c r="J408" s="2">
        <v>19839</v>
      </c>
      <c r="K408" s="2" t="s">
        <v>157</v>
      </c>
      <c r="L408" s="2" t="s">
        <v>176</v>
      </c>
      <c r="M408" s="2" t="s">
        <v>201</v>
      </c>
    </row>
    <row r="409" spans="1:13" x14ac:dyDescent="0.25">
      <c r="A409" s="2" t="s">
        <v>1033</v>
      </c>
      <c r="B409" s="2" t="s">
        <v>1034</v>
      </c>
      <c r="C409" s="2" t="s">
        <v>472</v>
      </c>
      <c r="D409" s="2" t="s">
        <v>16</v>
      </c>
      <c r="E409" s="2" t="s">
        <v>131</v>
      </c>
      <c r="F409" s="2" t="s">
        <v>219</v>
      </c>
      <c r="G409" s="2">
        <v>10</v>
      </c>
      <c r="H409" s="2">
        <v>9230</v>
      </c>
      <c r="I409" s="2" t="s">
        <v>152</v>
      </c>
      <c r="J409" s="2">
        <v>92300</v>
      </c>
      <c r="K409" s="2" t="s">
        <v>45</v>
      </c>
      <c r="L409" s="2" t="s">
        <v>491</v>
      </c>
      <c r="M409" s="2" t="s">
        <v>136</v>
      </c>
    </row>
    <row r="410" spans="1:13" x14ac:dyDescent="0.25">
      <c r="A410" s="2" t="s">
        <v>1035</v>
      </c>
      <c r="B410" s="2" t="s">
        <v>1036</v>
      </c>
      <c r="C410" s="2" t="s">
        <v>57</v>
      </c>
      <c r="D410" s="2" t="s">
        <v>58</v>
      </c>
      <c r="E410" s="2" t="s">
        <v>77</v>
      </c>
      <c r="F410" s="2" t="s">
        <v>184</v>
      </c>
      <c r="G410" s="2">
        <v>9</v>
      </c>
      <c r="H410" s="2">
        <v>10130</v>
      </c>
      <c r="I410" s="2">
        <v>0</v>
      </c>
      <c r="J410" s="2">
        <v>91170</v>
      </c>
      <c r="K410" s="2" t="s">
        <v>36</v>
      </c>
      <c r="L410" s="2" t="s">
        <v>883</v>
      </c>
      <c r="M410" s="2" t="s">
        <v>21</v>
      </c>
    </row>
    <row r="411" spans="1:13" x14ac:dyDescent="0.25">
      <c r="A411" s="2" t="s">
        <v>1037</v>
      </c>
      <c r="B411" s="2" t="s">
        <v>1038</v>
      </c>
      <c r="C411" s="2" t="s">
        <v>41</v>
      </c>
      <c r="D411" s="2" t="s">
        <v>42</v>
      </c>
      <c r="E411" s="2" t="s">
        <v>125</v>
      </c>
      <c r="F411" s="2" t="s">
        <v>132</v>
      </c>
      <c r="G411" s="2">
        <v>10</v>
      </c>
      <c r="H411" s="2">
        <v>9320</v>
      </c>
      <c r="I411" s="2">
        <v>0</v>
      </c>
      <c r="J411" s="2">
        <v>93200</v>
      </c>
      <c r="K411" s="2" t="s">
        <v>205</v>
      </c>
      <c r="L411" s="2" t="s">
        <v>406</v>
      </c>
      <c r="M411" s="2" t="s">
        <v>47</v>
      </c>
    </row>
    <row r="412" spans="1:13" x14ac:dyDescent="0.25">
      <c r="A412" s="2" t="s">
        <v>1039</v>
      </c>
      <c r="B412" s="2" t="s">
        <v>1040</v>
      </c>
      <c r="C412" s="2" t="s">
        <v>194</v>
      </c>
      <c r="D412" s="2" t="s">
        <v>51</v>
      </c>
      <c r="E412" s="2" t="s">
        <v>148</v>
      </c>
      <c r="F412" s="2" t="s">
        <v>167</v>
      </c>
      <c r="G412" s="2">
        <v>2</v>
      </c>
      <c r="H412" s="2">
        <v>5700</v>
      </c>
      <c r="I412" s="2">
        <v>0</v>
      </c>
      <c r="J412" s="2">
        <v>11400</v>
      </c>
      <c r="K412" s="2" t="s">
        <v>102</v>
      </c>
      <c r="L412" s="2" t="s">
        <v>121</v>
      </c>
      <c r="M412" s="2" t="s">
        <v>21</v>
      </c>
    </row>
    <row r="413" spans="1:13" x14ac:dyDescent="0.25">
      <c r="A413" s="2" t="s">
        <v>1041</v>
      </c>
      <c r="B413" s="2" t="s">
        <v>1042</v>
      </c>
      <c r="C413" s="2" t="s">
        <v>135</v>
      </c>
      <c r="D413" s="2" t="s">
        <v>58</v>
      </c>
      <c r="E413" s="2" t="s">
        <v>136</v>
      </c>
      <c r="F413" s="2" t="s">
        <v>83</v>
      </c>
      <c r="G413" s="2">
        <v>9</v>
      </c>
      <c r="H413" s="2">
        <v>17670</v>
      </c>
      <c r="I413" s="2">
        <v>0</v>
      </c>
      <c r="J413" s="2">
        <v>159030</v>
      </c>
      <c r="K413" s="2" t="s">
        <v>67</v>
      </c>
      <c r="L413" s="2" t="s">
        <v>796</v>
      </c>
      <c r="M413" s="2" t="s">
        <v>21</v>
      </c>
    </row>
    <row r="414" spans="1:13" x14ac:dyDescent="0.25">
      <c r="A414" s="2" t="s">
        <v>1043</v>
      </c>
      <c r="B414" s="2" t="s">
        <v>1044</v>
      </c>
      <c r="C414" s="2" t="s">
        <v>156</v>
      </c>
      <c r="D414" s="2" t="s">
        <v>51</v>
      </c>
      <c r="E414" s="2" t="s">
        <v>82</v>
      </c>
      <c r="F414" s="2" t="s">
        <v>60</v>
      </c>
      <c r="G414" s="2">
        <v>7</v>
      </c>
      <c r="H414" s="2">
        <v>1100</v>
      </c>
      <c r="I414" s="2">
        <v>0</v>
      </c>
      <c r="J414" s="2">
        <v>7700</v>
      </c>
      <c r="K414" s="2" t="s">
        <v>133</v>
      </c>
      <c r="L414" s="2" t="s">
        <v>46</v>
      </c>
      <c r="M414" s="2" t="s">
        <v>138</v>
      </c>
    </row>
    <row r="415" spans="1:13" x14ac:dyDescent="0.25">
      <c r="A415" s="2" t="s">
        <v>1045</v>
      </c>
      <c r="B415" s="2" t="s">
        <v>1046</v>
      </c>
      <c r="C415" s="2" t="s">
        <v>238</v>
      </c>
      <c r="D415" s="2" t="s">
        <v>51</v>
      </c>
      <c r="E415" s="2" t="s">
        <v>504</v>
      </c>
      <c r="F415" s="2" t="s">
        <v>149</v>
      </c>
      <c r="G415" s="2">
        <v>10</v>
      </c>
      <c r="H415" s="2"/>
      <c r="I415" s="2">
        <v>15</v>
      </c>
      <c r="J415" s="2">
        <v>424745</v>
      </c>
      <c r="K415" s="2" t="s">
        <v>53</v>
      </c>
      <c r="L415" s="2" t="s">
        <v>344</v>
      </c>
      <c r="M415" s="2" t="s">
        <v>47</v>
      </c>
    </row>
    <row r="416" spans="1:13" x14ac:dyDescent="0.25">
      <c r="A416" s="2" t="s">
        <v>1047</v>
      </c>
      <c r="B416" s="2" t="s">
        <v>1048</v>
      </c>
      <c r="C416" s="2" t="s">
        <v>1049</v>
      </c>
      <c r="D416" s="2" t="s">
        <v>58</v>
      </c>
      <c r="E416" s="2" t="s">
        <v>125</v>
      </c>
      <c r="F416" s="2" t="s">
        <v>132</v>
      </c>
      <c r="G416" s="2">
        <v>4</v>
      </c>
      <c r="H416" s="2">
        <v>3510</v>
      </c>
      <c r="I416" s="2">
        <v>0</v>
      </c>
      <c r="J416" s="2">
        <v>14040</v>
      </c>
      <c r="K416" s="2" t="s">
        <v>72</v>
      </c>
      <c r="L416" s="2" t="s">
        <v>37</v>
      </c>
      <c r="M416" s="2" t="s">
        <v>47</v>
      </c>
    </row>
    <row r="417" spans="1:13" x14ac:dyDescent="0.25">
      <c r="A417" s="2" t="s">
        <v>1050</v>
      </c>
      <c r="B417" s="2" t="s">
        <v>1051</v>
      </c>
      <c r="C417" s="2" t="s">
        <v>213</v>
      </c>
      <c r="D417" s="2" t="s">
        <v>58</v>
      </c>
      <c r="E417" s="2" t="s">
        <v>125</v>
      </c>
      <c r="F417" s="2" t="s">
        <v>296</v>
      </c>
      <c r="G417" s="2">
        <v>9</v>
      </c>
      <c r="H417" s="2">
        <v>66580</v>
      </c>
      <c r="I417" s="2">
        <v>10</v>
      </c>
      <c r="J417" s="2">
        <v>539298</v>
      </c>
      <c r="K417" s="2" t="s">
        <v>120</v>
      </c>
      <c r="L417" s="2" t="s">
        <v>121</v>
      </c>
      <c r="M417" s="2" t="s">
        <v>38</v>
      </c>
    </row>
    <row r="418" spans="1:13" x14ac:dyDescent="0.25">
      <c r="A418" s="2" t="s">
        <v>1052</v>
      </c>
      <c r="B418" s="2" t="s">
        <v>1053</v>
      </c>
      <c r="C418" s="2" t="s">
        <v>76</v>
      </c>
      <c r="D418" s="2" t="s">
        <v>33</v>
      </c>
      <c r="E418" s="2" t="s">
        <v>52</v>
      </c>
      <c r="F418" s="2" t="s">
        <v>93</v>
      </c>
      <c r="G418" s="2">
        <v>5</v>
      </c>
      <c r="H418" s="2">
        <v>1200</v>
      </c>
      <c r="I418" s="2">
        <v>0</v>
      </c>
      <c r="J418" s="2">
        <v>6000</v>
      </c>
      <c r="K418" s="2" t="s">
        <v>127</v>
      </c>
      <c r="L418" s="2" t="s">
        <v>188</v>
      </c>
      <c r="M418" s="2" t="s">
        <v>140</v>
      </c>
    </row>
    <row r="419" spans="1:13" x14ac:dyDescent="0.25">
      <c r="A419" s="2" t="s">
        <v>1054</v>
      </c>
      <c r="B419" s="2" t="s">
        <v>1055</v>
      </c>
      <c r="C419" s="2" t="s">
        <v>41</v>
      </c>
      <c r="D419" s="2" t="s">
        <v>42</v>
      </c>
      <c r="E419" s="2" t="s">
        <v>52</v>
      </c>
      <c r="F419" s="2" t="s">
        <v>26</v>
      </c>
      <c r="G419" s="2">
        <v>12</v>
      </c>
      <c r="H419" s="2">
        <v>12400</v>
      </c>
      <c r="I419" s="2">
        <v>5</v>
      </c>
      <c r="J419" s="2">
        <v>141360</v>
      </c>
      <c r="K419" s="2" t="s">
        <v>144</v>
      </c>
      <c r="L419" s="2"/>
      <c r="M419" s="2" t="s">
        <v>21</v>
      </c>
    </row>
    <row r="420" spans="1:13" x14ac:dyDescent="0.25">
      <c r="A420" s="2" t="s">
        <v>1056</v>
      </c>
      <c r="B420" s="2" t="s">
        <v>859</v>
      </c>
      <c r="C420" s="2" t="s">
        <v>64</v>
      </c>
      <c r="D420" s="2" t="s">
        <v>51</v>
      </c>
      <c r="E420" s="2" t="s">
        <v>52</v>
      </c>
      <c r="F420" s="2" t="s">
        <v>44</v>
      </c>
      <c r="G420" s="2">
        <v>7</v>
      </c>
      <c r="H420" s="2">
        <v>10880</v>
      </c>
      <c r="I420" s="2">
        <v>0</v>
      </c>
      <c r="J420" s="2">
        <v>76160</v>
      </c>
      <c r="K420" s="2" t="s">
        <v>172</v>
      </c>
      <c r="L420" s="2" t="s">
        <v>339</v>
      </c>
      <c r="M420" s="2" t="s">
        <v>128</v>
      </c>
    </row>
    <row r="421" spans="1:13" x14ac:dyDescent="0.25">
      <c r="A421" s="2" t="s">
        <v>1057</v>
      </c>
      <c r="B421" s="2" t="s">
        <v>1058</v>
      </c>
      <c r="C421" s="2" t="s">
        <v>223</v>
      </c>
      <c r="D421" s="2" t="s">
        <v>51</v>
      </c>
      <c r="E421" s="2" t="s">
        <v>43</v>
      </c>
      <c r="F421" s="2" t="s">
        <v>106</v>
      </c>
      <c r="G421" s="2">
        <v>1</v>
      </c>
      <c r="H421" s="2">
        <v>18250</v>
      </c>
      <c r="I421" s="2">
        <v>0</v>
      </c>
      <c r="J421" s="2">
        <v>18250</v>
      </c>
      <c r="K421" s="2" t="s">
        <v>94</v>
      </c>
      <c r="L421" s="2" t="s">
        <v>473</v>
      </c>
      <c r="M421" s="2" t="s">
        <v>821</v>
      </c>
    </row>
    <row r="422" spans="1:13" x14ac:dyDescent="0.25">
      <c r="A422" s="2" t="s">
        <v>1059</v>
      </c>
      <c r="B422" s="2" t="s">
        <v>1060</v>
      </c>
      <c r="C422" s="2" t="s">
        <v>1061</v>
      </c>
      <c r="D422" s="2" t="s">
        <v>51</v>
      </c>
      <c r="E422" s="2" t="s">
        <v>284</v>
      </c>
      <c r="F422" s="2" t="s">
        <v>252</v>
      </c>
      <c r="G422" s="2">
        <v>1</v>
      </c>
      <c r="H422" s="2">
        <v>490</v>
      </c>
      <c r="I422" s="2">
        <v>15</v>
      </c>
      <c r="J422" s="2">
        <v>416.5</v>
      </c>
      <c r="K422" s="2" t="s">
        <v>144</v>
      </c>
      <c r="L422" s="2" t="s">
        <v>411</v>
      </c>
      <c r="M422" s="2" t="s">
        <v>29</v>
      </c>
    </row>
    <row r="423" spans="1:13" x14ac:dyDescent="0.25">
      <c r="A423" s="2" t="s">
        <v>1062</v>
      </c>
      <c r="B423" s="2" t="s">
        <v>1063</v>
      </c>
      <c r="C423" s="2" t="s">
        <v>32</v>
      </c>
      <c r="D423" s="2" t="s">
        <v>33</v>
      </c>
      <c r="E423" s="2" t="s">
        <v>92</v>
      </c>
      <c r="F423" s="2" t="s">
        <v>248</v>
      </c>
      <c r="G423" s="2">
        <v>6</v>
      </c>
      <c r="H423" s="2">
        <v>3470</v>
      </c>
      <c r="I423" s="2"/>
      <c r="J423" s="2">
        <v>20820</v>
      </c>
      <c r="K423" s="2" t="s">
        <v>133</v>
      </c>
      <c r="L423" s="2" t="s">
        <v>599</v>
      </c>
      <c r="M423" s="2" t="s">
        <v>501</v>
      </c>
    </row>
    <row r="424" spans="1:13" x14ac:dyDescent="0.25">
      <c r="A424" s="2" t="s">
        <v>1064</v>
      </c>
      <c r="B424" s="2" t="s">
        <v>1065</v>
      </c>
      <c r="C424" s="2" t="s">
        <v>198</v>
      </c>
      <c r="D424" s="2" t="s">
        <v>42</v>
      </c>
      <c r="E424" s="2" t="s">
        <v>284</v>
      </c>
      <c r="F424" s="2" t="s">
        <v>209</v>
      </c>
      <c r="G424" s="2">
        <v>1</v>
      </c>
      <c r="H424" s="2">
        <v>9210</v>
      </c>
      <c r="I424" s="2">
        <v>0</v>
      </c>
      <c r="J424" s="2" t="s">
        <v>136</v>
      </c>
      <c r="K424" s="2" t="s">
        <v>19</v>
      </c>
      <c r="L424" s="2" t="s">
        <v>152</v>
      </c>
      <c r="M424" s="2" t="s">
        <v>21</v>
      </c>
    </row>
    <row r="425" spans="1:13" x14ac:dyDescent="0.25">
      <c r="A425" s="2" t="s">
        <v>1066</v>
      </c>
      <c r="B425" s="2" t="s">
        <v>1067</v>
      </c>
      <c r="C425" s="2" t="s">
        <v>15</v>
      </c>
      <c r="D425" s="2" t="s">
        <v>16</v>
      </c>
      <c r="E425" s="2" t="s">
        <v>179</v>
      </c>
      <c r="F425" s="2" t="s">
        <v>78</v>
      </c>
      <c r="G425" s="2">
        <v>7</v>
      </c>
      <c r="H425" s="2">
        <v>16310</v>
      </c>
      <c r="I425" s="2">
        <v>15</v>
      </c>
      <c r="J425" s="2">
        <v>97044.5</v>
      </c>
      <c r="K425" s="2" t="s">
        <v>120</v>
      </c>
      <c r="L425" s="2" t="s">
        <v>168</v>
      </c>
      <c r="M425" s="2" t="s">
        <v>215</v>
      </c>
    </row>
    <row r="426" spans="1:13" x14ac:dyDescent="0.25">
      <c r="A426" s="2" t="s">
        <v>1068</v>
      </c>
      <c r="B426" s="2" t="s">
        <v>1069</v>
      </c>
      <c r="C426" s="2" t="s">
        <v>1070</v>
      </c>
      <c r="D426" s="2" t="s">
        <v>42</v>
      </c>
      <c r="E426" s="2" t="s">
        <v>322</v>
      </c>
      <c r="F426" s="2" t="s">
        <v>239</v>
      </c>
      <c r="G426" s="2">
        <v>3</v>
      </c>
      <c r="H426" s="2">
        <v>24990</v>
      </c>
      <c r="I426" s="2">
        <v>10</v>
      </c>
      <c r="J426" s="2">
        <v>67473</v>
      </c>
      <c r="K426" s="2" t="s">
        <v>139</v>
      </c>
      <c r="L426" s="2" t="s">
        <v>112</v>
      </c>
      <c r="M426" s="2" t="s">
        <v>21</v>
      </c>
    </row>
    <row r="427" spans="1:13" x14ac:dyDescent="0.25">
      <c r="A427" s="2" t="s">
        <v>1071</v>
      </c>
      <c r="B427" s="2" t="s">
        <v>1072</v>
      </c>
      <c r="C427" s="2" t="s">
        <v>135</v>
      </c>
      <c r="D427" s="2" t="s">
        <v>58</v>
      </c>
      <c r="E427" s="2" t="s">
        <v>43</v>
      </c>
      <c r="F427" s="2" t="s">
        <v>26</v>
      </c>
      <c r="G427" s="2">
        <v>1</v>
      </c>
      <c r="H427" s="2">
        <v>65950</v>
      </c>
      <c r="I427" s="2">
        <v>0</v>
      </c>
      <c r="J427" s="2">
        <v>65950</v>
      </c>
      <c r="K427" s="2" t="s">
        <v>94</v>
      </c>
      <c r="L427" s="2" t="s">
        <v>121</v>
      </c>
      <c r="M427" s="2" t="s">
        <v>47</v>
      </c>
    </row>
    <row r="428" spans="1:13" x14ac:dyDescent="0.25">
      <c r="A428" s="2" t="s">
        <v>1073</v>
      </c>
      <c r="B428" s="2" t="s">
        <v>270</v>
      </c>
      <c r="C428" s="2" t="s">
        <v>64</v>
      </c>
      <c r="D428" s="2" t="s">
        <v>51</v>
      </c>
      <c r="E428" s="2" t="s">
        <v>17</v>
      </c>
      <c r="F428" s="2" t="s">
        <v>35</v>
      </c>
      <c r="G428" s="2">
        <v>2</v>
      </c>
      <c r="H428" s="2">
        <v>2310</v>
      </c>
      <c r="I428" s="2" t="s">
        <v>138</v>
      </c>
      <c r="J428" s="2">
        <v>4620</v>
      </c>
      <c r="K428" s="2" t="s">
        <v>19</v>
      </c>
      <c r="L428" s="2" t="s">
        <v>168</v>
      </c>
      <c r="M428" s="2" t="s">
        <v>47</v>
      </c>
    </row>
    <row r="429" spans="1:13" x14ac:dyDescent="0.25">
      <c r="A429" s="2" t="s">
        <v>1074</v>
      </c>
      <c r="B429" s="2" t="s">
        <v>1075</v>
      </c>
      <c r="C429" s="2" t="s">
        <v>281</v>
      </c>
      <c r="D429" s="2" t="s">
        <v>51</v>
      </c>
      <c r="E429" s="2" t="s">
        <v>34</v>
      </c>
      <c r="F429" s="2" t="s">
        <v>199</v>
      </c>
      <c r="G429" s="2">
        <v>5</v>
      </c>
      <c r="H429" s="2">
        <v>2290</v>
      </c>
      <c r="I429" s="2">
        <v>0</v>
      </c>
      <c r="J429" s="2">
        <v>11450</v>
      </c>
      <c r="K429" s="2" t="s">
        <v>133</v>
      </c>
      <c r="L429" s="2" t="s">
        <v>491</v>
      </c>
      <c r="M429" s="2" t="s">
        <v>821</v>
      </c>
    </row>
    <row r="430" spans="1:13" x14ac:dyDescent="0.25">
      <c r="A430" s="2" t="s">
        <v>1076</v>
      </c>
      <c r="B430" s="2" t="s">
        <v>1077</v>
      </c>
      <c r="C430" s="2" t="s">
        <v>227</v>
      </c>
      <c r="D430" s="2" t="s">
        <v>33</v>
      </c>
      <c r="E430" s="2" t="s">
        <v>107</v>
      </c>
      <c r="F430" s="2" t="s">
        <v>435</v>
      </c>
      <c r="G430" s="2">
        <v>9</v>
      </c>
      <c r="H430" s="2">
        <v>4510</v>
      </c>
      <c r="I430" s="2">
        <v>0</v>
      </c>
      <c r="J430" s="2">
        <v>40590</v>
      </c>
      <c r="K430" s="2" t="s">
        <v>172</v>
      </c>
      <c r="L430" s="2" t="s">
        <v>79</v>
      </c>
      <c r="M430" s="2" t="s">
        <v>21</v>
      </c>
    </row>
    <row r="431" spans="1:13" x14ac:dyDescent="0.25">
      <c r="A431" s="2" t="s">
        <v>1078</v>
      </c>
      <c r="B431" s="2" t="s">
        <v>1079</v>
      </c>
      <c r="C431" s="2" t="s">
        <v>227</v>
      </c>
      <c r="D431" s="2" t="s">
        <v>33</v>
      </c>
      <c r="E431" s="2" t="s">
        <v>322</v>
      </c>
      <c r="F431" s="2" t="s">
        <v>143</v>
      </c>
      <c r="G431" s="2">
        <v>8</v>
      </c>
      <c r="H431" s="2">
        <v>18780</v>
      </c>
      <c r="I431" s="2">
        <v>0</v>
      </c>
      <c r="J431" s="2"/>
      <c r="K431" s="2" t="s">
        <v>45</v>
      </c>
      <c r="L431" s="2" t="s">
        <v>903</v>
      </c>
      <c r="M431" s="2" t="s">
        <v>47</v>
      </c>
    </row>
    <row r="432" spans="1:13" x14ac:dyDescent="0.25">
      <c r="A432" s="2" t="s">
        <v>1080</v>
      </c>
      <c r="B432" s="2" t="s">
        <v>1081</v>
      </c>
      <c r="C432" s="2" t="s">
        <v>41</v>
      </c>
      <c r="D432" s="2" t="s">
        <v>42</v>
      </c>
      <c r="E432" s="2" t="s">
        <v>43</v>
      </c>
      <c r="F432" s="2" t="s">
        <v>248</v>
      </c>
      <c r="G432" s="2">
        <v>6</v>
      </c>
      <c r="H432" s="2">
        <v>530</v>
      </c>
      <c r="I432" s="2">
        <v>0</v>
      </c>
      <c r="J432" s="2">
        <v>3180</v>
      </c>
      <c r="K432" s="2" t="s">
        <v>120</v>
      </c>
      <c r="L432" s="2" t="s">
        <v>271</v>
      </c>
      <c r="M432" s="2" t="s">
        <v>140</v>
      </c>
    </row>
    <row r="433" spans="1:13" x14ac:dyDescent="0.25">
      <c r="A433" s="2" t="s">
        <v>1082</v>
      </c>
      <c r="B433" s="2" t="s">
        <v>1083</v>
      </c>
      <c r="C433" s="2" t="s">
        <v>281</v>
      </c>
      <c r="D433" s="2" t="s">
        <v>51</v>
      </c>
      <c r="E433" s="2" t="s">
        <v>65</v>
      </c>
      <c r="F433" s="2" t="s">
        <v>101</v>
      </c>
      <c r="G433" s="2">
        <v>1</v>
      </c>
      <c r="H433" s="2">
        <v>3260</v>
      </c>
      <c r="I433" s="2">
        <v>0</v>
      </c>
      <c r="J433" s="2">
        <v>3260</v>
      </c>
      <c r="K433" s="2" t="s">
        <v>72</v>
      </c>
      <c r="L433" s="2" t="s">
        <v>73</v>
      </c>
      <c r="M433" s="2" t="s">
        <v>128</v>
      </c>
    </row>
    <row r="434" spans="1:13" x14ac:dyDescent="0.25">
      <c r="A434" s="2" t="s">
        <v>1084</v>
      </c>
      <c r="B434" s="2" t="s">
        <v>1085</v>
      </c>
      <c r="C434" s="2" t="s">
        <v>24</v>
      </c>
      <c r="D434" s="2" t="s">
        <v>16</v>
      </c>
      <c r="E434" s="2" t="s">
        <v>82</v>
      </c>
      <c r="F434" s="2" t="s">
        <v>252</v>
      </c>
      <c r="G434" s="2">
        <v>8</v>
      </c>
      <c r="H434" s="2">
        <v>13120</v>
      </c>
      <c r="I434" s="2">
        <v>0</v>
      </c>
      <c r="J434" s="2">
        <v>104960</v>
      </c>
      <c r="K434" s="2" t="s">
        <v>94</v>
      </c>
      <c r="L434" s="2" t="s">
        <v>1086</v>
      </c>
      <c r="M434" s="2" t="s">
        <v>128</v>
      </c>
    </row>
    <row r="435" spans="1:13" x14ac:dyDescent="0.25">
      <c r="A435" s="2" t="s">
        <v>1087</v>
      </c>
      <c r="B435" s="2" t="s">
        <v>1088</v>
      </c>
      <c r="C435" s="2" t="s">
        <v>837</v>
      </c>
      <c r="D435" s="2" t="s">
        <v>33</v>
      </c>
      <c r="E435" s="2" t="s">
        <v>105</v>
      </c>
      <c r="F435" s="2" t="s">
        <v>93</v>
      </c>
      <c r="G435" s="2">
        <v>9</v>
      </c>
      <c r="H435" s="2">
        <v>28000</v>
      </c>
      <c r="I435" s="2">
        <v>0</v>
      </c>
      <c r="J435" s="2">
        <v>252000</v>
      </c>
      <c r="K435" s="2" t="s">
        <v>45</v>
      </c>
      <c r="L435" s="2" t="s">
        <v>1089</v>
      </c>
      <c r="M435" s="2" t="s">
        <v>140</v>
      </c>
    </row>
    <row r="436" spans="1:13" x14ac:dyDescent="0.25">
      <c r="A436" s="2" t="s">
        <v>1090</v>
      </c>
      <c r="B436" s="2" t="s">
        <v>1091</v>
      </c>
      <c r="C436" s="2" t="s">
        <v>657</v>
      </c>
      <c r="D436" s="2" t="s">
        <v>58</v>
      </c>
      <c r="E436" s="2" t="s">
        <v>100</v>
      </c>
      <c r="F436" s="2" t="s">
        <v>66</v>
      </c>
      <c r="G436" s="2">
        <v>1</v>
      </c>
      <c r="H436" s="2">
        <v>5440</v>
      </c>
      <c r="I436" s="2" t="s">
        <v>223</v>
      </c>
      <c r="J436" s="2">
        <v>5440</v>
      </c>
      <c r="K436" s="2" t="s">
        <v>87</v>
      </c>
      <c r="L436" s="2" t="s">
        <v>37</v>
      </c>
      <c r="M436" s="2" t="s">
        <v>140</v>
      </c>
    </row>
    <row r="437" spans="1:13" x14ac:dyDescent="0.25">
      <c r="A437" s="2" t="s">
        <v>1092</v>
      </c>
      <c r="B437" s="2" t="s">
        <v>970</v>
      </c>
      <c r="C437" s="2" t="s">
        <v>57</v>
      </c>
      <c r="D437" s="2" t="s">
        <v>58</v>
      </c>
      <c r="E437" s="2" t="s">
        <v>504</v>
      </c>
      <c r="F437" s="2" t="s">
        <v>167</v>
      </c>
      <c r="G437" s="2">
        <v>10</v>
      </c>
      <c r="H437" s="2">
        <v>470</v>
      </c>
      <c r="I437" s="2">
        <v>10</v>
      </c>
      <c r="J437" s="2">
        <v>4230</v>
      </c>
      <c r="K437" s="2" t="s">
        <v>157</v>
      </c>
      <c r="L437" s="2" t="s">
        <v>168</v>
      </c>
      <c r="M437" s="2" t="s">
        <v>21</v>
      </c>
    </row>
    <row r="438" spans="1:13" x14ac:dyDescent="0.25">
      <c r="A438" s="2" t="s">
        <v>1093</v>
      </c>
      <c r="B438" s="2" t="s">
        <v>1094</v>
      </c>
      <c r="C438" s="2" t="s">
        <v>24</v>
      </c>
      <c r="D438" s="2" t="s">
        <v>16</v>
      </c>
      <c r="E438" s="2" t="s">
        <v>504</v>
      </c>
      <c r="F438" s="2" t="s">
        <v>209</v>
      </c>
      <c r="G438" s="2" t="s">
        <v>107</v>
      </c>
      <c r="H438" s="2">
        <v>19860</v>
      </c>
      <c r="I438" s="2">
        <v>10</v>
      </c>
      <c r="J438" s="2">
        <v>178740</v>
      </c>
      <c r="K438" s="2" t="s">
        <v>87</v>
      </c>
      <c r="L438" s="2" t="s">
        <v>176</v>
      </c>
      <c r="M438" s="2" t="s">
        <v>47</v>
      </c>
    </row>
    <row r="439" spans="1:13" x14ac:dyDescent="0.25">
      <c r="A439" s="2" t="s">
        <v>1095</v>
      </c>
      <c r="B439" s="2" t="s">
        <v>456</v>
      </c>
      <c r="C439" s="2" t="s">
        <v>24</v>
      </c>
      <c r="D439" s="2" t="s">
        <v>16</v>
      </c>
      <c r="E439" s="2" t="s">
        <v>131</v>
      </c>
      <c r="F439" s="2" t="s">
        <v>219</v>
      </c>
      <c r="G439" s="2">
        <v>12</v>
      </c>
      <c r="H439" s="2">
        <v>1370</v>
      </c>
      <c r="I439" s="2">
        <v>0</v>
      </c>
      <c r="J439" s="2">
        <v>16440</v>
      </c>
      <c r="K439" s="2" t="s">
        <v>133</v>
      </c>
      <c r="L439" s="2" t="s">
        <v>344</v>
      </c>
      <c r="M439" s="2" t="s">
        <v>21</v>
      </c>
    </row>
    <row r="440" spans="1:13" x14ac:dyDescent="0.25">
      <c r="A440" s="2" t="s">
        <v>1096</v>
      </c>
      <c r="B440" s="2" t="s">
        <v>1097</v>
      </c>
      <c r="C440" s="2" t="s">
        <v>162</v>
      </c>
      <c r="D440" s="2" t="s">
        <v>33</v>
      </c>
      <c r="E440" s="2" t="s">
        <v>179</v>
      </c>
      <c r="F440" s="2" t="s">
        <v>239</v>
      </c>
      <c r="G440" s="2">
        <v>1</v>
      </c>
      <c r="H440" s="2">
        <v>59730</v>
      </c>
      <c r="I440" s="2">
        <v>0</v>
      </c>
      <c r="J440" s="2">
        <v>59730</v>
      </c>
      <c r="K440" s="2" t="s">
        <v>205</v>
      </c>
      <c r="L440" s="2" t="s">
        <v>883</v>
      </c>
      <c r="M440" s="2" t="s">
        <v>136</v>
      </c>
    </row>
    <row r="441" spans="1:13" x14ac:dyDescent="0.25">
      <c r="A441" s="2" t="s">
        <v>1098</v>
      </c>
      <c r="B441" s="2" t="s">
        <v>1099</v>
      </c>
      <c r="C441" s="2" t="s">
        <v>124</v>
      </c>
      <c r="D441" s="2" t="s">
        <v>51</v>
      </c>
      <c r="E441" s="2" t="s">
        <v>17</v>
      </c>
      <c r="F441" s="2" t="s">
        <v>290</v>
      </c>
      <c r="G441" s="2">
        <v>5</v>
      </c>
      <c r="H441" s="2">
        <v>26310</v>
      </c>
      <c r="I441" s="2">
        <v>0</v>
      </c>
      <c r="J441" s="2">
        <v>131550</v>
      </c>
      <c r="K441" s="2" t="s">
        <v>36</v>
      </c>
      <c r="L441" s="2" t="s">
        <v>46</v>
      </c>
      <c r="M441" s="2" t="s">
        <v>47</v>
      </c>
    </row>
    <row r="442" spans="1:13" x14ac:dyDescent="0.25">
      <c r="A442" s="2" t="s">
        <v>1100</v>
      </c>
      <c r="B442" s="2" t="s">
        <v>1101</v>
      </c>
      <c r="C442" s="2" t="s">
        <v>227</v>
      </c>
      <c r="D442" s="2" t="s">
        <v>33</v>
      </c>
      <c r="E442" s="2" t="s">
        <v>119</v>
      </c>
      <c r="F442" s="2" t="s">
        <v>248</v>
      </c>
      <c r="G442" s="2">
        <v>2</v>
      </c>
      <c r="H442" s="2">
        <v>5390</v>
      </c>
      <c r="I442" s="2">
        <v>15</v>
      </c>
      <c r="J442" s="2">
        <v>9163</v>
      </c>
      <c r="K442" s="2" t="s">
        <v>139</v>
      </c>
      <c r="L442" s="2" t="s">
        <v>344</v>
      </c>
      <c r="M442" s="2" t="s">
        <v>38</v>
      </c>
    </row>
    <row r="443" spans="1:13" x14ac:dyDescent="0.25">
      <c r="A443" s="2" t="s">
        <v>1102</v>
      </c>
      <c r="B443" s="2" t="s">
        <v>1103</v>
      </c>
      <c r="C443" s="2" t="s">
        <v>1104</v>
      </c>
      <c r="D443" s="2" t="s">
        <v>42</v>
      </c>
      <c r="E443" s="2" t="s">
        <v>34</v>
      </c>
      <c r="F443" s="2" t="s">
        <v>199</v>
      </c>
      <c r="G443" s="2">
        <v>7</v>
      </c>
      <c r="H443" s="2">
        <v>20080</v>
      </c>
      <c r="I443" s="2">
        <v>15</v>
      </c>
      <c r="J443" s="2">
        <v>119476</v>
      </c>
      <c r="K443" s="2" t="s">
        <v>19</v>
      </c>
      <c r="L443" s="2" t="s">
        <v>341</v>
      </c>
      <c r="M443" s="2" t="s">
        <v>47</v>
      </c>
    </row>
    <row r="444" spans="1:13" x14ac:dyDescent="0.25">
      <c r="A444" s="2" t="s">
        <v>1105</v>
      </c>
      <c r="B444" s="2" t="s">
        <v>1106</v>
      </c>
      <c r="C444" s="2" t="s">
        <v>238</v>
      </c>
      <c r="D444" s="2" t="s">
        <v>51</v>
      </c>
      <c r="E444" s="2" t="s">
        <v>111</v>
      </c>
      <c r="F444" s="2" t="s">
        <v>180</v>
      </c>
      <c r="G444" s="2">
        <v>10</v>
      </c>
      <c r="H444" s="2">
        <v>11000</v>
      </c>
      <c r="I444" s="2">
        <v>0</v>
      </c>
      <c r="J444" s="2">
        <v>110000</v>
      </c>
      <c r="K444" s="2" t="s">
        <v>53</v>
      </c>
      <c r="L444" s="2" t="s">
        <v>285</v>
      </c>
      <c r="M444" s="2" t="s">
        <v>47</v>
      </c>
    </row>
    <row r="445" spans="1:13" x14ac:dyDescent="0.25">
      <c r="A445" s="2" t="s">
        <v>1107</v>
      </c>
      <c r="B445" s="2" t="s">
        <v>1108</v>
      </c>
      <c r="C445" s="2" t="s">
        <v>198</v>
      </c>
      <c r="D445" s="2" t="s">
        <v>42</v>
      </c>
      <c r="E445" s="2" t="s">
        <v>82</v>
      </c>
      <c r="F445" s="2" t="s">
        <v>209</v>
      </c>
      <c r="G445" s="2">
        <v>4</v>
      </c>
      <c r="H445" s="2">
        <v>2720</v>
      </c>
      <c r="I445" s="2">
        <v>0</v>
      </c>
      <c r="J445" s="2">
        <v>10880</v>
      </c>
      <c r="K445" s="2" t="s">
        <v>67</v>
      </c>
      <c r="L445" s="2" t="s">
        <v>228</v>
      </c>
      <c r="M445" s="2" t="s">
        <v>140</v>
      </c>
    </row>
    <row r="446" spans="1:13" x14ac:dyDescent="0.25">
      <c r="A446" s="2" t="s">
        <v>1109</v>
      </c>
      <c r="B446" s="2" t="s">
        <v>1110</v>
      </c>
      <c r="C446" s="2" t="s">
        <v>135</v>
      </c>
      <c r="D446" s="2" t="s">
        <v>58</v>
      </c>
      <c r="E446" s="2" t="s">
        <v>137</v>
      </c>
      <c r="F446" s="2" t="s">
        <v>35</v>
      </c>
      <c r="G446" s="2">
        <v>8</v>
      </c>
      <c r="H446" s="2">
        <v>8570</v>
      </c>
      <c r="I446" s="2">
        <v>0</v>
      </c>
      <c r="J446" s="2">
        <v>68560</v>
      </c>
      <c r="K446" s="2" t="s">
        <v>205</v>
      </c>
      <c r="L446" s="2" t="s">
        <v>188</v>
      </c>
      <c r="M446" s="2" t="s">
        <v>47</v>
      </c>
    </row>
    <row r="447" spans="1:13" x14ac:dyDescent="0.25">
      <c r="A447" s="2" t="s">
        <v>1111</v>
      </c>
      <c r="B447" s="2" t="s">
        <v>650</v>
      </c>
      <c r="C447" s="2" t="s">
        <v>238</v>
      </c>
      <c r="D447" s="2" t="s">
        <v>51</v>
      </c>
      <c r="E447" s="2" t="s">
        <v>295</v>
      </c>
      <c r="F447" s="2" t="s">
        <v>314</v>
      </c>
      <c r="G447" s="2">
        <v>4</v>
      </c>
      <c r="H447" s="2">
        <v>2370</v>
      </c>
      <c r="I447" s="2">
        <v>0</v>
      </c>
      <c r="J447" s="2">
        <v>9480</v>
      </c>
      <c r="K447" s="2" t="s">
        <v>36</v>
      </c>
      <c r="L447" s="2" t="s">
        <v>411</v>
      </c>
      <c r="M447" s="2" t="s">
        <v>215</v>
      </c>
    </row>
    <row r="448" spans="1:13" x14ac:dyDescent="0.25">
      <c r="A448" s="2" t="s">
        <v>1112</v>
      </c>
      <c r="B448" s="2" t="s">
        <v>1113</v>
      </c>
      <c r="C448" s="2" t="s">
        <v>156</v>
      </c>
      <c r="D448" s="2" t="s">
        <v>51</v>
      </c>
      <c r="E448" s="2"/>
      <c r="F448" s="2" t="s">
        <v>78</v>
      </c>
      <c r="G448" s="2">
        <v>5</v>
      </c>
      <c r="H448" s="2">
        <v>7060</v>
      </c>
      <c r="I448" s="2">
        <v>15</v>
      </c>
      <c r="J448" s="2">
        <v>30005</v>
      </c>
      <c r="K448" s="2" t="s">
        <v>205</v>
      </c>
      <c r="L448" s="2" t="s">
        <v>1114</v>
      </c>
      <c r="M448" s="2" t="s">
        <v>29</v>
      </c>
    </row>
    <row r="449" spans="1:13" x14ac:dyDescent="0.25">
      <c r="A449" s="2" t="s">
        <v>1115</v>
      </c>
      <c r="B449" s="2" t="s">
        <v>1116</v>
      </c>
      <c r="C449" s="2" t="s">
        <v>118</v>
      </c>
      <c r="D449" s="2" t="s">
        <v>51</v>
      </c>
      <c r="E449" s="2" t="s">
        <v>59</v>
      </c>
      <c r="F449" s="2" t="s">
        <v>83</v>
      </c>
      <c r="G449" s="2">
        <v>6</v>
      </c>
      <c r="H449" s="2">
        <v>2560</v>
      </c>
      <c r="I449" s="2" t="s">
        <v>107</v>
      </c>
      <c r="J449" s="2">
        <v>15360</v>
      </c>
      <c r="K449" s="2" t="s">
        <v>157</v>
      </c>
      <c r="L449" s="2" t="s">
        <v>266</v>
      </c>
      <c r="M449" s="2" t="s">
        <v>128</v>
      </c>
    </row>
    <row r="450" spans="1:13" x14ac:dyDescent="0.25">
      <c r="A450" s="2" t="s">
        <v>1117</v>
      </c>
      <c r="B450" s="2" t="s">
        <v>1118</v>
      </c>
      <c r="C450" s="2" t="s">
        <v>32</v>
      </c>
      <c r="D450" s="2" t="s">
        <v>33</v>
      </c>
      <c r="E450" s="2" t="s">
        <v>125</v>
      </c>
      <c r="F450" s="2" t="s">
        <v>126</v>
      </c>
      <c r="G450" s="2">
        <v>5</v>
      </c>
      <c r="H450" s="2">
        <v>1210</v>
      </c>
      <c r="I450" s="2">
        <v>10</v>
      </c>
      <c r="J450" s="2">
        <v>5445</v>
      </c>
      <c r="K450" s="2" t="s">
        <v>139</v>
      </c>
      <c r="L450" s="2" t="s">
        <v>37</v>
      </c>
      <c r="M450" s="2" t="s">
        <v>47</v>
      </c>
    </row>
    <row r="451" spans="1:13" x14ac:dyDescent="0.25">
      <c r="A451" s="2" t="s">
        <v>1119</v>
      </c>
      <c r="B451" s="2" t="s">
        <v>1120</v>
      </c>
      <c r="C451" s="2" t="s">
        <v>32</v>
      </c>
      <c r="D451" s="2" t="s">
        <v>33</v>
      </c>
      <c r="E451" s="2" t="s">
        <v>179</v>
      </c>
      <c r="F451" s="2" t="s">
        <v>224</v>
      </c>
      <c r="G451" s="2">
        <v>6</v>
      </c>
      <c r="H451" s="2">
        <v>28480</v>
      </c>
      <c r="I451" s="2">
        <v>0</v>
      </c>
      <c r="J451" s="2">
        <v>170880</v>
      </c>
      <c r="K451" s="2" t="s">
        <v>205</v>
      </c>
      <c r="L451" s="2" t="s">
        <v>299</v>
      </c>
      <c r="M451" s="2" t="s">
        <v>21</v>
      </c>
    </row>
    <row r="452" spans="1:13" x14ac:dyDescent="0.25">
      <c r="A452" s="2" t="s">
        <v>1121</v>
      </c>
      <c r="B452" s="2" t="s">
        <v>1122</v>
      </c>
      <c r="C452" s="2" t="s">
        <v>110</v>
      </c>
      <c r="D452" s="2" t="s">
        <v>33</v>
      </c>
      <c r="E452" s="2" t="s">
        <v>231</v>
      </c>
      <c r="F452" s="2" t="s">
        <v>239</v>
      </c>
      <c r="G452" s="2">
        <v>11</v>
      </c>
      <c r="H452" s="2">
        <v>3710</v>
      </c>
      <c r="I452" s="2">
        <v>0</v>
      </c>
      <c r="J452" s="2">
        <v>40810</v>
      </c>
      <c r="K452" s="2" t="s">
        <v>45</v>
      </c>
      <c r="L452" s="2" t="s">
        <v>121</v>
      </c>
      <c r="M452" s="2" t="s">
        <v>152</v>
      </c>
    </row>
    <row r="453" spans="1:13" x14ac:dyDescent="0.25">
      <c r="A453" s="2" t="s">
        <v>1123</v>
      </c>
      <c r="B453" s="2" t="s">
        <v>330</v>
      </c>
      <c r="C453" s="2" t="s">
        <v>204</v>
      </c>
      <c r="D453" s="2" t="s">
        <v>107</v>
      </c>
      <c r="E453" s="2" t="s">
        <v>131</v>
      </c>
      <c r="F453" s="2" t="s">
        <v>319</v>
      </c>
      <c r="G453" s="2">
        <v>9</v>
      </c>
      <c r="H453" s="2">
        <v>570</v>
      </c>
      <c r="I453" s="2">
        <v>10</v>
      </c>
      <c r="J453" s="2">
        <v>4617</v>
      </c>
      <c r="K453" s="2" t="s">
        <v>205</v>
      </c>
      <c r="L453" s="2" t="s">
        <v>46</v>
      </c>
      <c r="M453" s="2" t="s">
        <v>128</v>
      </c>
    </row>
    <row r="454" spans="1:13" x14ac:dyDescent="0.25">
      <c r="A454" s="2" t="s">
        <v>1124</v>
      </c>
      <c r="B454" s="2" t="s">
        <v>1125</v>
      </c>
      <c r="C454" s="2" t="s">
        <v>135</v>
      </c>
      <c r="D454" s="2" t="s">
        <v>58</v>
      </c>
      <c r="E454" s="2" t="s">
        <v>138</v>
      </c>
      <c r="F454" s="2" t="s">
        <v>239</v>
      </c>
      <c r="G454" s="2">
        <v>11</v>
      </c>
      <c r="H454" s="2">
        <v>8250</v>
      </c>
      <c r="I454" s="2">
        <v>0</v>
      </c>
      <c r="J454" s="2">
        <v>90750</v>
      </c>
      <c r="K454" s="2" t="s">
        <v>27</v>
      </c>
      <c r="L454" s="2" t="s">
        <v>176</v>
      </c>
      <c r="M454" s="2" t="s">
        <v>47</v>
      </c>
    </row>
    <row r="455" spans="1:13" x14ac:dyDescent="0.25">
      <c r="A455" s="2" t="s">
        <v>1126</v>
      </c>
      <c r="B455" s="2" t="s">
        <v>1127</v>
      </c>
      <c r="C455" s="2" t="s">
        <v>64</v>
      </c>
      <c r="D455" s="2" t="s">
        <v>51</v>
      </c>
      <c r="E455" s="2" t="s">
        <v>25</v>
      </c>
      <c r="F455" s="2" t="s">
        <v>26</v>
      </c>
      <c r="G455" s="2">
        <v>12</v>
      </c>
      <c r="H455" s="2">
        <v>10220</v>
      </c>
      <c r="I455" s="2">
        <v>15</v>
      </c>
      <c r="J455" s="2">
        <v>104244</v>
      </c>
      <c r="K455" s="2" t="s">
        <v>94</v>
      </c>
      <c r="L455" s="2" t="s">
        <v>794</v>
      </c>
      <c r="M455" s="2" t="s">
        <v>47</v>
      </c>
    </row>
    <row r="456" spans="1:13" x14ac:dyDescent="0.25">
      <c r="A456" s="2" t="s">
        <v>1128</v>
      </c>
      <c r="B456" s="2" t="s">
        <v>1129</v>
      </c>
      <c r="C456" s="2" t="s">
        <v>110</v>
      </c>
      <c r="D456" s="2" t="s">
        <v>33</v>
      </c>
      <c r="E456" s="2" t="s">
        <v>284</v>
      </c>
      <c r="F456" s="2" t="s">
        <v>83</v>
      </c>
      <c r="G456" s="2">
        <v>8</v>
      </c>
      <c r="H456" s="2">
        <v>6800</v>
      </c>
      <c r="I456" s="2">
        <v>0</v>
      </c>
      <c r="J456" s="2">
        <v>54400</v>
      </c>
      <c r="K456" s="2" t="s">
        <v>133</v>
      </c>
      <c r="L456" s="2" t="s">
        <v>274</v>
      </c>
      <c r="M456" s="2" t="s">
        <v>29</v>
      </c>
    </row>
    <row r="457" spans="1:13" x14ac:dyDescent="0.25">
      <c r="A457" s="2" t="s">
        <v>1130</v>
      </c>
      <c r="B457" s="2" t="s">
        <v>1131</v>
      </c>
      <c r="C457" s="2" t="s">
        <v>213</v>
      </c>
      <c r="D457" s="2" t="s">
        <v>58</v>
      </c>
      <c r="E457" s="2" t="s">
        <v>284</v>
      </c>
      <c r="F457" s="2" t="s">
        <v>60</v>
      </c>
      <c r="G457" s="2">
        <v>5</v>
      </c>
      <c r="H457" s="2">
        <v>44120</v>
      </c>
      <c r="I457" s="2">
        <v>0</v>
      </c>
      <c r="J457" s="2"/>
      <c r="K457" s="2" t="s">
        <v>120</v>
      </c>
      <c r="L457" s="2" t="s">
        <v>341</v>
      </c>
      <c r="M457" s="2" t="s">
        <v>128</v>
      </c>
    </row>
    <row r="458" spans="1:13" x14ac:dyDescent="0.25">
      <c r="A458" s="2" t="s">
        <v>1132</v>
      </c>
      <c r="B458" s="2" t="s">
        <v>1133</v>
      </c>
      <c r="C458" s="2" t="s">
        <v>449</v>
      </c>
      <c r="D458" s="2" t="s">
        <v>42</v>
      </c>
      <c r="E458" s="2" t="s">
        <v>34</v>
      </c>
      <c r="F458" s="2" t="s">
        <v>18</v>
      </c>
      <c r="G458" s="2">
        <v>8</v>
      </c>
      <c r="H458" s="2">
        <v>4900</v>
      </c>
      <c r="I458" s="2">
        <v>5</v>
      </c>
      <c r="J458" s="2">
        <v>37240</v>
      </c>
      <c r="K458" s="2" t="s">
        <v>94</v>
      </c>
      <c r="L458" s="2" t="s">
        <v>176</v>
      </c>
      <c r="M458" s="2" t="s">
        <v>21</v>
      </c>
    </row>
    <row r="459" spans="1:13" x14ac:dyDescent="0.25">
      <c r="A459" s="2" t="s">
        <v>1134</v>
      </c>
      <c r="B459" s="2" t="s">
        <v>1135</v>
      </c>
      <c r="C459" s="2" t="s">
        <v>218</v>
      </c>
      <c r="D459" s="2" t="s">
        <v>33</v>
      </c>
      <c r="E459" s="2" t="s">
        <v>34</v>
      </c>
      <c r="F459" s="2" t="s">
        <v>171</v>
      </c>
      <c r="G459" s="2">
        <v>10</v>
      </c>
      <c r="H459" s="2">
        <v>13220</v>
      </c>
      <c r="I459" s="2">
        <v>5</v>
      </c>
      <c r="J459" s="2">
        <v>125590</v>
      </c>
      <c r="K459" s="2" t="s">
        <v>94</v>
      </c>
      <c r="L459" s="2" t="s">
        <v>54</v>
      </c>
      <c r="M459" s="2" t="s">
        <v>47</v>
      </c>
    </row>
    <row r="460" spans="1:13" x14ac:dyDescent="0.25">
      <c r="A460" s="2" t="s">
        <v>1136</v>
      </c>
      <c r="B460" s="2" t="s">
        <v>1137</v>
      </c>
      <c r="C460" s="2" t="s">
        <v>91</v>
      </c>
      <c r="D460" s="2" t="s">
        <v>51</v>
      </c>
      <c r="E460" s="2" t="s">
        <v>43</v>
      </c>
      <c r="F460" s="2" t="s">
        <v>115</v>
      </c>
      <c r="G460" s="2">
        <v>9</v>
      </c>
      <c r="H460" s="2">
        <v>470</v>
      </c>
      <c r="I460" s="2">
        <v>0</v>
      </c>
      <c r="J460" s="2">
        <v>4230</v>
      </c>
      <c r="K460" s="2" t="s">
        <v>139</v>
      </c>
      <c r="L460" s="2" t="s">
        <v>61</v>
      </c>
      <c r="M460" s="2"/>
    </row>
    <row r="461" spans="1:13" x14ac:dyDescent="0.25">
      <c r="A461" s="2" t="s">
        <v>1138</v>
      </c>
      <c r="B461" s="2" t="s">
        <v>1139</v>
      </c>
      <c r="C461" s="2" t="s">
        <v>41</v>
      </c>
      <c r="D461" s="2" t="s">
        <v>42</v>
      </c>
      <c r="E461" s="2" t="s">
        <v>82</v>
      </c>
      <c r="F461" s="2" t="s">
        <v>83</v>
      </c>
      <c r="G461" s="2">
        <v>10</v>
      </c>
      <c r="H461" s="2">
        <v>1090</v>
      </c>
      <c r="I461" s="2">
        <v>0</v>
      </c>
      <c r="J461" s="2">
        <v>10900</v>
      </c>
      <c r="K461" s="2" t="s">
        <v>157</v>
      </c>
      <c r="L461" s="2" t="s">
        <v>54</v>
      </c>
      <c r="M461" s="2" t="s">
        <v>29</v>
      </c>
    </row>
    <row r="462" spans="1:13" x14ac:dyDescent="0.25">
      <c r="A462" s="2" t="s">
        <v>1140</v>
      </c>
      <c r="B462" s="2" t="s">
        <v>1141</v>
      </c>
      <c r="C462" s="2" t="s">
        <v>76</v>
      </c>
      <c r="D462" s="2" t="s">
        <v>33</v>
      </c>
      <c r="E462" s="2" t="s">
        <v>504</v>
      </c>
      <c r="F462" s="2" t="s">
        <v>252</v>
      </c>
      <c r="G462" s="2">
        <v>5</v>
      </c>
      <c r="H462" s="2">
        <v>42420</v>
      </c>
      <c r="I462" s="2">
        <v>0</v>
      </c>
      <c r="J462" s="2" t="s">
        <v>223</v>
      </c>
      <c r="K462" s="2" t="s">
        <v>67</v>
      </c>
      <c r="L462" s="2" t="s">
        <v>344</v>
      </c>
      <c r="M462" s="2" t="s">
        <v>21</v>
      </c>
    </row>
    <row r="463" spans="1:13" x14ac:dyDescent="0.25">
      <c r="A463" s="2" t="s">
        <v>1142</v>
      </c>
      <c r="B463" s="2" t="s">
        <v>1143</v>
      </c>
      <c r="C463" s="2" t="s">
        <v>156</v>
      </c>
      <c r="D463" s="2" t="s">
        <v>152</v>
      </c>
      <c r="E463" s="2" t="s">
        <v>125</v>
      </c>
      <c r="F463" s="2" t="s">
        <v>126</v>
      </c>
      <c r="G463" s="2">
        <v>4</v>
      </c>
      <c r="H463" s="2">
        <v>1340</v>
      </c>
      <c r="I463" s="2">
        <v>0</v>
      </c>
      <c r="J463" s="2">
        <v>5360</v>
      </c>
      <c r="K463" s="2" t="s">
        <v>67</v>
      </c>
      <c r="L463" s="2" t="s">
        <v>54</v>
      </c>
      <c r="M463" s="2" t="s">
        <v>21</v>
      </c>
    </row>
    <row r="464" spans="1:13" x14ac:dyDescent="0.25">
      <c r="A464" s="2" t="s">
        <v>1144</v>
      </c>
      <c r="B464" s="2" t="s">
        <v>1145</v>
      </c>
      <c r="C464" s="2" t="s">
        <v>118</v>
      </c>
      <c r="D464" s="2" t="s">
        <v>51</v>
      </c>
      <c r="E464" s="2" t="s">
        <v>284</v>
      </c>
      <c r="F464" s="2" t="s">
        <v>60</v>
      </c>
      <c r="G464" s="2">
        <v>12</v>
      </c>
      <c r="H464" s="2">
        <v>12730</v>
      </c>
      <c r="I464" s="2">
        <v>0</v>
      </c>
      <c r="J464" s="2">
        <v>152760</v>
      </c>
      <c r="K464" s="2" t="s">
        <v>139</v>
      </c>
      <c r="L464" s="2" t="s">
        <v>173</v>
      </c>
      <c r="M464" s="2" t="s">
        <v>21</v>
      </c>
    </row>
    <row r="465" spans="1:13" x14ac:dyDescent="0.25">
      <c r="A465" s="2" t="s">
        <v>1146</v>
      </c>
      <c r="B465" s="2" t="s">
        <v>1147</v>
      </c>
      <c r="C465" s="2" t="s">
        <v>24</v>
      </c>
      <c r="D465" s="2" t="s">
        <v>16</v>
      </c>
      <c r="E465" s="2" t="s">
        <v>43</v>
      </c>
      <c r="F465" s="2" t="s">
        <v>26</v>
      </c>
      <c r="G465" s="2">
        <v>9</v>
      </c>
      <c r="H465" s="2">
        <v>8580</v>
      </c>
      <c r="I465" s="2">
        <v>0</v>
      </c>
      <c r="J465" s="2">
        <v>77220</v>
      </c>
      <c r="K465" s="2" t="s">
        <v>144</v>
      </c>
      <c r="L465" s="2" t="s">
        <v>54</v>
      </c>
      <c r="M465" s="2" t="s">
        <v>140</v>
      </c>
    </row>
    <row r="466" spans="1:13" x14ac:dyDescent="0.25">
      <c r="A466" s="2" t="s">
        <v>1148</v>
      </c>
      <c r="B466" s="2" t="s">
        <v>882</v>
      </c>
      <c r="C466" s="2" t="s">
        <v>124</v>
      </c>
      <c r="D466" s="2" t="s">
        <v>51</v>
      </c>
      <c r="E466" s="2" t="s">
        <v>231</v>
      </c>
      <c r="F466" s="2" t="s">
        <v>78</v>
      </c>
      <c r="G466" s="2">
        <v>5</v>
      </c>
      <c r="H466" s="2">
        <v>72610</v>
      </c>
      <c r="I466" s="2">
        <v>0</v>
      </c>
      <c r="J466" s="2">
        <v>363050</v>
      </c>
      <c r="K466" s="2" t="s">
        <v>19</v>
      </c>
      <c r="L466" s="2" t="s">
        <v>168</v>
      </c>
      <c r="M466" s="2" t="s">
        <v>821</v>
      </c>
    </row>
    <row r="467" spans="1:13" x14ac:dyDescent="0.25">
      <c r="A467" s="2" t="s">
        <v>781</v>
      </c>
      <c r="B467" s="2" t="s">
        <v>782</v>
      </c>
      <c r="C467" s="2" t="s">
        <v>156</v>
      </c>
      <c r="D467" s="2" t="s">
        <v>51</v>
      </c>
      <c r="E467" s="2" t="s">
        <v>43</v>
      </c>
      <c r="F467" s="2" t="s">
        <v>26</v>
      </c>
      <c r="G467" s="2">
        <v>9</v>
      </c>
      <c r="H467" s="2">
        <v>27640</v>
      </c>
      <c r="I467" s="2">
        <v>15</v>
      </c>
      <c r="J467" s="2">
        <v>211446</v>
      </c>
      <c r="K467" s="2" t="s">
        <v>107</v>
      </c>
      <c r="L467" s="2" t="s">
        <v>79</v>
      </c>
      <c r="M467" s="2" t="s">
        <v>140</v>
      </c>
    </row>
    <row r="468" spans="1:13" x14ac:dyDescent="0.25">
      <c r="A468" s="2" t="s">
        <v>1149</v>
      </c>
      <c r="B468" s="2" t="s">
        <v>479</v>
      </c>
      <c r="C468" s="2" t="s">
        <v>50</v>
      </c>
      <c r="D468" s="2" t="s">
        <v>51</v>
      </c>
      <c r="E468" s="2" t="s">
        <v>92</v>
      </c>
      <c r="F468" s="2" t="s">
        <v>332</v>
      </c>
      <c r="G468" s="2">
        <v>12</v>
      </c>
      <c r="H468" s="2">
        <v>73300</v>
      </c>
      <c r="I468" s="2" t="s">
        <v>107</v>
      </c>
      <c r="J468" s="2">
        <v>791640</v>
      </c>
      <c r="K468" s="2" t="s">
        <v>67</v>
      </c>
      <c r="L468" s="2" t="s">
        <v>344</v>
      </c>
      <c r="M468" s="2" t="s">
        <v>128</v>
      </c>
    </row>
    <row r="469" spans="1:13" x14ac:dyDescent="0.25">
      <c r="A469" s="2" t="s">
        <v>1150</v>
      </c>
      <c r="B469" s="2" t="s">
        <v>1151</v>
      </c>
      <c r="C469" s="2" t="s">
        <v>32</v>
      </c>
      <c r="D469" s="2" t="s">
        <v>33</v>
      </c>
      <c r="E469" s="2" t="s">
        <v>107</v>
      </c>
      <c r="F469" s="2" t="s">
        <v>143</v>
      </c>
      <c r="G469" s="2" t="s">
        <v>223</v>
      </c>
      <c r="H469" s="2">
        <v>20410</v>
      </c>
      <c r="I469" s="2">
        <v>0</v>
      </c>
      <c r="J469" s="2">
        <v>204100</v>
      </c>
      <c r="K469" s="2" t="s">
        <v>67</v>
      </c>
      <c r="L469" s="2" t="s">
        <v>37</v>
      </c>
      <c r="M469" s="2" t="s">
        <v>140</v>
      </c>
    </row>
    <row r="470" spans="1:13" x14ac:dyDescent="0.25">
      <c r="A470" s="2" t="s">
        <v>1152</v>
      </c>
      <c r="B470" s="2" t="s">
        <v>1153</v>
      </c>
      <c r="C470" s="2" t="s">
        <v>1070</v>
      </c>
      <c r="D470" s="2" t="s">
        <v>42</v>
      </c>
      <c r="E470" s="2" t="s">
        <v>34</v>
      </c>
      <c r="F470" s="2" t="s">
        <v>171</v>
      </c>
      <c r="G470" s="2">
        <v>2</v>
      </c>
      <c r="H470" s="2">
        <v>1080</v>
      </c>
      <c r="I470" s="2">
        <v>10</v>
      </c>
      <c r="J470" s="2">
        <v>1944</v>
      </c>
      <c r="K470" s="2" t="s">
        <v>139</v>
      </c>
      <c r="L470" s="2" t="s">
        <v>883</v>
      </c>
      <c r="M470" s="2" t="s">
        <v>107</v>
      </c>
    </row>
    <row r="471" spans="1:13" x14ac:dyDescent="0.25">
      <c r="A471" s="2" t="s">
        <v>1154</v>
      </c>
      <c r="B471" s="2" t="s">
        <v>1155</v>
      </c>
      <c r="C471" s="2" t="s">
        <v>490</v>
      </c>
      <c r="D471" s="2" t="s">
        <v>33</v>
      </c>
      <c r="E471" s="2" t="s">
        <v>77</v>
      </c>
      <c r="F471" s="2" t="s">
        <v>180</v>
      </c>
      <c r="G471" s="2">
        <v>10</v>
      </c>
      <c r="H471" s="2">
        <v>11800</v>
      </c>
      <c r="I471" s="2">
        <v>0</v>
      </c>
      <c r="J471" s="2">
        <v>118000</v>
      </c>
      <c r="K471" s="2" t="s">
        <v>19</v>
      </c>
      <c r="L471" s="2" t="s">
        <v>743</v>
      </c>
      <c r="M471" s="2" t="s">
        <v>47</v>
      </c>
    </row>
    <row r="472" spans="1:13" x14ac:dyDescent="0.25">
      <c r="A472" s="2" t="s">
        <v>1156</v>
      </c>
      <c r="B472" s="2" t="s">
        <v>1157</v>
      </c>
      <c r="C472" s="2" t="s">
        <v>204</v>
      </c>
      <c r="D472" s="2" t="s">
        <v>33</v>
      </c>
      <c r="E472" s="2" t="s">
        <v>82</v>
      </c>
      <c r="F472" s="2" t="s">
        <v>83</v>
      </c>
      <c r="G472" s="2">
        <v>5</v>
      </c>
      <c r="H472" s="2">
        <v>40910</v>
      </c>
      <c r="I472" s="2">
        <v>0</v>
      </c>
      <c r="J472" s="2">
        <v>204550</v>
      </c>
      <c r="K472" s="2" t="s">
        <v>133</v>
      </c>
      <c r="L472" s="2" t="s">
        <v>796</v>
      </c>
      <c r="M472" s="2" t="s">
        <v>38</v>
      </c>
    </row>
    <row r="473" spans="1:13" x14ac:dyDescent="0.25">
      <c r="A473" s="2" t="s">
        <v>1158</v>
      </c>
      <c r="B473" s="2" t="s">
        <v>542</v>
      </c>
      <c r="C473" s="2" t="s">
        <v>41</v>
      </c>
      <c r="D473" s="2" t="s">
        <v>42</v>
      </c>
      <c r="E473" s="2" t="s">
        <v>100</v>
      </c>
      <c r="F473" s="2" t="s">
        <v>132</v>
      </c>
      <c r="G473" s="2">
        <v>10</v>
      </c>
      <c r="H473" s="2">
        <v>570</v>
      </c>
      <c r="I473" s="2">
        <v>10</v>
      </c>
      <c r="J473" s="2">
        <v>5130</v>
      </c>
      <c r="K473" s="2" t="s">
        <v>139</v>
      </c>
      <c r="L473" s="2" t="s">
        <v>339</v>
      </c>
      <c r="M473" s="2"/>
    </row>
    <row r="474" spans="1:13" x14ac:dyDescent="0.25">
      <c r="A474" s="2" t="s">
        <v>1159</v>
      </c>
      <c r="B474" s="2" t="s">
        <v>1160</v>
      </c>
      <c r="C474" s="2" t="s">
        <v>238</v>
      </c>
      <c r="D474" s="2" t="s">
        <v>51</v>
      </c>
      <c r="E474" s="2"/>
      <c r="F474" s="2" t="s">
        <v>290</v>
      </c>
      <c r="G474" s="2">
        <v>11</v>
      </c>
      <c r="H474" s="2">
        <v>25100</v>
      </c>
      <c r="I474" s="2">
        <v>0</v>
      </c>
      <c r="J474" s="2">
        <v>276100</v>
      </c>
      <c r="K474" s="2"/>
      <c r="L474" s="2" t="s">
        <v>344</v>
      </c>
      <c r="M474" s="2" t="s">
        <v>501</v>
      </c>
    </row>
    <row r="475" spans="1:13" x14ac:dyDescent="0.25">
      <c r="A475" s="2" t="s">
        <v>1161</v>
      </c>
      <c r="B475" s="2" t="s">
        <v>1162</v>
      </c>
      <c r="C475" s="2" t="s">
        <v>238</v>
      </c>
      <c r="D475" s="2" t="s">
        <v>51</v>
      </c>
      <c r="E475" s="2" t="s">
        <v>92</v>
      </c>
      <c r="F475" s="2" t="s">
        <v>26</v>
      </c>
      <c r="G475" s="2">
        <v>2</v>
      </c>
      <c r="H475" s="2">
        <v>10190</v>
      </c>
      <c r="I475" s="2" t="s">
        <v>136</v>
      </c>
      <c r="J475" s="2" t="s">
        <v>136</v>
      </c>
      <c r="K475" s="2" t="s">
        <v>94</v>
      </c>
      <c r="L475" s="2" t="s">
        <v>1163</v>
      </c>
      <c r="M475" s="2" t="s">
        <v>96</v>
      </c>
    </row>
    <row r="476" spans="1:13" x14ac:dyDescent="0.25">
      <c r="A476" s="2" t="s">
        <v>1164</v>
      </c>
      <c r="B476" s="2" t="s">
        <v>996</v>
      </c>
      <c r="C476" s="2" t="s">
        <v>76</v>
      </c>
      <c r="D476" s="2" t="s">
        <v>33</v>
      </c>
      <c r="E476" s="2" t="s">
        <v>322</v>
      </c>
      <c r="F476" s="2" t="s">
        <v>180</v>
      </c>
      <c r="G476" s="2">
        <v>4</v>
      </c>
      <c r="H476" s="2">
        <v>71560</v>
      </c>
      <c r="I476" s="2">
        <v>0</v>
      </c>
      <c r="J476" s="2">
        <v>286240</v>
      </c>
      <c r="K476" s="2" t="s">
        <v>94</v>
      </c>
      <c r="L476" s="2" t="s">
        <v>61</v>
      </c>
      <c r="M476" s="2" t="s">
        <v>38</v>
      </c>
    </row>
    <row r="477" spans="1:13" x14ac:dyDescent="0.25">
      <c r="A477" s="2" t="s">
        <v>1165</v>
      </c>
      <c r="B477" s="2" t="s">
        <v>1166</v>
      </c>
      <c r="C477" s="2" t="s">
        <v>198</v>
      </c>
      <c r="D477" s="2" t="s">
        <v>42</v>
      </c>
      <c r="E477" s="2" t="s">
        <v>65</v>
      </c>
      <c r="F477" s="2" t="s">
        <v>66</v>
      </c>
      <c r="G477" s="2">
        <v>4</v>
      </c>
      <c r="H477" s="2">
        <v>2800</v>
      </c>
      <c r="I477" s="2">
        <v>0</v>
      </c>
      <c r="J477" s="2">
        <v>11200</v>
      </c>
      <c r="K477" s="2" t="s">
        <v>120</v>
      </c>
      <c r="L477" s="2" t="s">
        <v>79</v>
      </c>
      <c r="M477" s="2" t="s">
        <v>21</v>
      </c>
    </row>
    <row r="478" spans="1:13" x14ac:dyDescent="0.25">
      <c r="A478" s="2" t="s">
        <v>1167</v>
      </c>
      <c r="B478" s="2" t="s">
        <v>1168</v>
      </c>
      <c r="C478" s="2" t="s">
        <v>238</v>
      </c>
      <c r="D478" s="2" t="s">
        <v>51</v>
      </c>
      <c r="E478" s="2"/>
      <c r="F478" s="2" t="s">
        <v>115</v>
      </c>
      <c r="G478" s="2">
        <v>3</v>
      </c>
      <c r="H478" s="2">
        <v>2280</v>
      </c>
      <c r="I478" s="2">
        <v>0</v>
      </c>
      <c r="J478" s="2">
        <v>6840</v>
      </c>
      <c r="K478" s="2" t="s">
        <v>144</v>
      </c>
      <c r="L478" s="2" t="s">
        <v>411</v>
      </c>
      <c r="M478" s="2" t="s">
        <v>21</v>
      </c>
    </row>
    <row r="479" spans="1:13" x14ac:dyDescent="0.25">
      <c r="A479" s="2" t="s">
        <v>1169</v>
      </c>
      <c r="B479" s="2" t="s">
        <v>1170</v>
      </c>
      <c r="C479" s="2" t="s">
        <v>76</v>
      </c>
      <c r="D479" s="2" t="s">
        <v>33</v>
      </c>
      <c r="E479" s="2" t="s">
        <v>148</v>
      </c>
      <c r="F479" s="2" t="s">
        <v>209</v>
      </c>
      <c r="G479" s="2">
        <v>12</v>
      </c>
      <c r="H479" s="2">
        <v>5750</v>
      </c>
      <c r="I479" s="2">
        <v>0</v>
      </c>
      <c r="J479" s="2">
        <v>69000</v>
      </c>
      <c r="K479" s="2" t="s">
        <v>72</v>
      </c>
      <c r="L479" s="2" t="s">
        <v>176</v>
      </c>
      <c r="M479" s="2" t="s">
        <v>47</v>
      </c>
    </row>
    <row r="480" spans="1:13" x14ac:dyDescent="0.25">
      <c r="A480" s="2" t="s">
        <v>1171</v>
      </c>
      <c r="B480" s="2" t="s">
        <v>1172</v>
      </c>
      <c r="C480" s="2" t="s">
        <v>238</v>
      </c>
      <c r="D480" s="2" t="s">
        <v>51</v>
      </c>
      <c r="E480" s="2" t="s">
        <v>105</v>
      </c>
      <c r="F480" s="2" t="s">
        <v>332</v>
      </c>
      <c r="G480" s="2">
        <v>11</v>
      </c>
      <c r="H480" s="2">
        <v>8300</v>
      </c>
      <c r="I480" s="2">
        <v>10</v>
      </c>
      <c r="J480" s="2">
        <v>82170</v>
      </c>
      <c r="K480" s="2" t="s">
        <v>27</v>
      </c>
      <c r="L480" s="2" t="s">
        <v>440</v>
      </c>
      <c r="M480" s="2" t="s">
        <v>38</v>
      </c>
    </row>
    <row r="481" spans="1:13" x14ac:dyDescent="0.25">
      <c r="A481" s="2" t="s">
        <v>1173</v>
      </c>
      <c r="B481" s="2" t="s">
        <v>1174</v>
      </c>
      <c r="C481" s="2" t="s">
        <v>378</v>
      </c>
      <c r="D481" s="2" t="s">
        <v>51</v>
      </c>
      <c r="E481" s="2" t="s">
        <v>52</v>
      </c>
      <c r="F481" s="2" t="s">
        <v>332</v>
      </c>
      <c r="G481" s="2">
        <v>12</v>
      </c>
      <c r="H481" s="2">
        <v>3300</v>
      </c>
      <c r="I481" s="2">
        <v>0</v>
      </c>
      <c r="J481" s="2">
        <v>39600</v>
      </c>
      <c r="K481" s="2" t="s">
        <v>19</v>
      </c>
      <c r="L481" s="2" t="s">
        <v>473</v>
      </c>
      <c r="M481" s="2" t="s">
        <v>128</v>
      </c>
    </row>
    <row r="482" spans="1:13" x14ac:dyDescent="0.25">
      <c r="A482" s="2" t="s">
        <v>1175</v>
      </c>
      <c r="B482" s="2" t="s">
        <v>283</v>
      </c>
      <c r="C482" s="2" t="s">
        <v>32</v>
      </c>
      <c r="D482" s="2" t="s">
        <v>33</v>
      </c>
      <c r="E482" s="2" t="s">
        <v>111</v>
      </c>
      <c r="F482" s="2" t="s">
        <v>184</v>
      </c>
      <c r="G482" s="2">
        <v>11</v>
      </c>
      <c r="H482" s="2">
        <v>61770</v>
      </c>
      <c r="I482" s="2" t="s">
        <v>223</v>
      </c>
      <c r="J482" s="2">
        <v>679470</v>
      </c>
      <c r="K482" s="2" t="s">
        <v>172</v>
      </c>
      <c r="L482" s="2" t="s">
        <v>73</v>
      </c>
      <c r="M482" s="2" t="s">
        <v>201</v>
      </c>
    </row>
    <row r="483" spans="1:13" x14ac:dyDescent="0.25">
      <c r="A483" s="2" t="s">
        <v>1176</v>
      </c>
      <c r="B483" s="2" t="s">
        <v>1177</v>
      </c>
      <c r="C483" s="2" t="s">
        <v>91</v>
      </c>
      <c r="D483" s="2" t="s">
        <v>51</v>
      </c>
      <c r="E483" s="2" t="s">
        <v>105</v>
      </c>
      <c r="F483" s="2" t="s">
        <v>106</v>
      </c>
      <c r="G483" s="2">
        <v>7</v>
      </c>
      <c r="H483" s="2">
        <v>27090</v>
      </c>
      <c r="I483" s="2">
        <v>15</v>
      </c>
      <c r="J483" s="2">
        <v>161185.5</v>
      </c>
      <c r="K483" s="2" t="s">
        <v>205</v>
      </c>
      <c r="L483" s="2" t="s">
        <v>228</v>
      </c>
      <c r="M483" s="2" t="s">
        <v>47</v>
      </c>
    </row>
    <row r="484" spans="1:13" x14ac:dyDescent="0.25">
      <c r="A484" s="2" t="s">
        <v>1178</v>
      </c>
      <c r="B484" s="2" t="s">
        <v>1179</v>
      </c>
      <c r="C484" s="2" t="s">
        <v>32</v>
      </c>
      <c r="D484" s="2" t="s">
        <v>33</v>
      </c>
      <c r="E484" s="2" t="s">
        <v>119</v>
      </c>
      <c r="F484" s="2" t="s">
        <v>115</v>
      </c>
      <c r="G484" s="2">
        <v>5</v>
      </c>
      <c r="H484" s="2">
        <v>5190</v>
      </c>
      <c r="I484" s="2">
        <v>15</v>
      </c>
      <c r="J484" s="2">
        <v>22057.5</v>
      </c>
      <c r="K484" s="2" t="s">
        <v>136</v>
      </c>
      <c r="L484" s="2" t="s">
        <v>883</v>
      </c>
      <c r="M484" s="2" t="s">
        <v>21</v>
      </c>
    </row>
    <row r="485" spans="1:13" x14ac:dyDescent="0.25">
      <c r="A485" s="2" t="s">
        <v>1180</v>
      </c>
      <c r="B485" s="2" t="s">
        <v>1181</v>
      </c>
      <c r="C485" s="2" t="s">
        <v>449</v>
      </c>
      <c r="D485" s="2" t="s">
        <v>42</v>
      </c>
      <c r="E485" s="2" t="s">
        <v>152</v>
      </c>
      <c r="F485" s="2" t="s">
        <v>44</v>
      </c>
      <c r="G485" s="2">
        <v>10</v>
      </c>
      <c r="H485" s="2">
        <v>4640</v>
      </c>
      <c r="I485" s="2">
        <v>0</v>
      </c>
      <c r="J485" s="2">
        <v>46400</v>
      </c>
      <c r="K485" s="2" t="s">
        <v>205</v>
      </c>
      <c r="L485" s="2" t="s">
        <v>145</v>
      </c>
      <c r="M485" s="2" t="s">
        <v>21</v>
      </c>
    </row>
    <row r="486" spans="1:13" x14ac:dyDescent="0.25">
      <c r="A486" s="2" t="s">
        <v>1182</v>
      </c>
      <c r="B486" s="2" t="s">
        <v>1183</v>
      </c>
      <c r="C486" s="2" t="s">
        <v>50</v>
      </c>
      <c r="D486" s="2" t="s">
        <v>51</v>
      </c>
      <c r="E486" s="2" t="s">
        <v>65</v>
      </c>
      <c r="F486" s="2" t="s">
        <v>101</v>
      </c>
      <c r="G486" s="2">
        <v>1</v>
      </c>
      <c r="H486" s="2">
        <v>8030</v>
      </c>
      <c r="I486" s="2">
        <v>10</v>
      </c>
      <c r="J486" s="2">
        <v>7227</v>
      </c>
      <c r="K486" s="2" t="s">
        <v>139</v>
      </c>
      <c r="L486" s="2" t="s">
        <v>79</v>
      </c>
      <c r="M486" s="2" t="s">
        <v>425</v>
      </c>
    </row>
    <row r="487" spans="1:13" x14ac:dyDescent="0.25">
      <c r="A487" s="2" t="s">
        <v>1184</v>
      </c>
      <c r="B487" s="2" t="s">
        <v>1081</v>
      </c>
      <c r="C487" s="2" t="s">
        <v>135</v>
      </c>
      <c r="D487" s="2" t="s">
        <v>58</v>
      </c>
      <c r="E487" s="2" t="s">
        <v>148</v>
      </c>
      <c r="F487" s="2" t="s">
        <v>209</v>
      </c>
      <c r="G487" s="2">
        <v>12</v>
      </c>
      <c r="H487" s="2">
        <v>12240</v>
      </c>
      <c r="I487" s="2">
        <v>0</v>
      </c>
      <c r="J487" s="2">
        <v>146880</v>
      </c>
      <c r="K487" s="2" t="s">
        <v>87</v>
      </c>
      <c r="L487" s="2" t="s">
        <v>883</v>
      </c>
      <c r="M487" s="2" t="s">
        <v>21</v>
      </c>
    </row>
    <row r="488" spans="1:13" x14ac:dyDescent="0.25">
      <c r="A488" s="2" t="s">
        <v>1185</v>
      </c>
      <c r="B488" s="2" t="s">
        <v>1186</v>
      </c>
      <c r="C488" s="2" t="s">
        <v>24</v>
      </c>
      <c r="D488" s="2" t="s">
        <v>16</v>
      </c>
      <c r="E488" s="2" t="s">
        <v>137</v>
      </c>
      <c r="F488" s="2" t="s">
        <v>164</v>
      </c>
      <c r="G488" s="2">
        <v>8</v>
      </c>
      <c r="H488" s="2">
        <v>3690</v>
      </c>
      <c r="I488" s="2">
        <v>5</v>
      </c>
      <c r="J488" s="2">
        <v>28044</v>
      </c>
      <c r="K488" s="2" t="s">
        <v>133</v>
      </c>
      <c r="L488" s="2" t="s">
        <v>28</v>
      </c>
      <c r="M488" s="2" t="s">
        <v>47</v>
      </c>
    </row>
    <row r="489" spans="1:13" x14ac:dyDescent="0.25">
      <c r="A489" s="2" t="s">
        <v>1187</v>
      </c>
      <c r="B489" s="2" t="s">
        <v>1188</v>
      </c>
      <c r="C489" s="2" t="s">
        <v>57</v>
      </c>
      <c r="D489" s="2" t="s">
        <v>58</v>
      </c>
      <c r="E489" s="2" t="s">
        <v>92</v>
      </c>
      <c r="F489" s="2" t="s">
        <v>332</v>
      </c>
      <c r="G489" s="2">
        <v>3</v>
      </c>
      <c r="H489" s="2">
        <v>-4880</v>
      </c>
      <c r="I489" s="2" t="s">
        <v>136</v>
      </c>
      <c r="J489" s="2"/>
      <c r="K489" s="2" t="s">
        <v>53</v>
      </c>
      <c r="L489" s="2" t="s">
        <v>46</v>
      </c>
      <c r="M489" s="2" t="s">
        <v>21</v>
      </c>
    </row>
    <row r="490" spans="1:13" x14ac:dyDescent="0.25">
      <c r="A490" s="2" t="s">
        <v>1189</v>
      </c>
      <c r="B490" s="2" t="s">
        <v>1190</v>
      </c>
      <c r="C490" s="2" t="s">
        <v>472</v>
      </c>
      <c r="D490" s="2" t="s">
        <v>16</v>
      </c>
      <c r="E490" s="2" t="s">
        <v>34</v>
      </c>
      <c r="F490" s="2" t="s">
        <v>164</v>
      </c>
      <c r="G490" s="2">
        <v>1</v>
      </c>
      <c r="H490" s="2">
        <v>5080</v>
      </c>
      <c r="I490" s="2"/>
      <c r="J490" s="2">
        <v>5080</v>
      </c>
      <c r="K490" s="2" t="s">
        <v>45</v>
      </c>
      <c r="L490" s="2" t="s">
        <v>68</v>
      </c>
      <c r="M490" s="2" t="s">
        <v>201</v>
      </c>
    </row>
    <row r="491" spans="1:13" x14ac:dyDescent="0.25">
      <c r="A491" s="2" t="s">
        <v>1191</v>
      </c>
      <c r="B491" s="2" t="s">
        <v>1192</v>
      </c>
      <c r="C491" s="2" t="s">
        <v>162</v>
      </c>
      <c r="D491" s="2" t="s">
        <v>33</v>
      </c>
      <c r="E491" s="2" t="s">
        <v>92</v>
      </c>
      <c r="F491" s="2" t="s">
        <v>255</v>
      </c>
      <c r="G491" s="2">
        <v>9</v>
      </c>
      <c r="H491" s="2">
        <v>13000</v>
      </c>
      <c r="I491" s="2">
        <v>0</v>
      </c>
      <c r="J491" s="2">
        <v>117000</v>
      </c>
      <c r="K491" s="2" t="s">
        <v>67</v>
      </c>
      <c r="L491" s="2" t="s">
        <v>903</v>
      </c>
      <c r="M491" s="2" t="s">
        <v>21</v>
      </c>
    </row>
    <row r="492" spans="1:13" x14ac:dyDescent="0.25">
      <c r="A492" s="2" t="s">
        <v>1193</v>
      </c>
      <c r="B492" s="2" t="s">
        <v>806</v>
      </c>
      <c r="C492" s="2" t="s">
        <v>1061</v>
      </c>
      <c r="D492" s="2" t="s">
        <v>51</v>
      </c>
      <c r="E492" s="2" t="s">
        <v>322</v>
      </c>
      <c r="F492" s="2" t="s">
        <v>143</v>
      </c>
      <c r="G492" s="2">
        <v>11</v>
      </c>
      <c r="H492" s="2">
        <v>2500</v>
      </c>
      <c r="I492" s="2">
        <v>0</v>
      </c>
      <c r="J492" s="2">
        <v>27500</v>
      </c>
      <c r="K492" s="2" t="s">
        <v>45</v>
      </c>
      <c r="L492" s="2" t="s">
        <v>999</v>
      </c>
      <c r="M492" s="2" t="s">
        <v>29</v>
      </c>
    </row>
    <row r="493" spans="1:13" x14ac:dyDescent="0.25">
      <c r="A493" s="2" t="s">
        <v>1194</v>
      </c>
      <c r="B493" s="2" t="s">
        <v>437</v>
      </c>
      <c r="C493" s="2" t="s">
        <v>41</v>
      </c>
      <c r="D493" s="2" t="s">
        <v>42</v>
      </c>
      <c r="E493" s="2" t="s">
        <v>148</v>
      </c>
      <c r="F493" s="2" t="s">
        <v>379</v>
      </c>
      <c r="G493" s="2">
        <v>4</v>
      </c>
      <c r="H493" s="2">
        <v>24890</v>
      </c>
      <c r="I493" s="2" t="s">
        <v>107</v>
      </c>
      <c r="J493" s="2">
        <v>84626</v>
      </c>
      <c r="K493" s="2" t="s">
        <v>205</v>
      </c>
      <c r="L493" s="2" t="s">
        <v>271</v>
      </c>
      <c r="M493" s="2" t="s">
        <v>21</v>
      </c>
    </row>
    <row r="494" spans="1:13" x14ac:dyDescent="0.25">
      <c r="A494" s="2" t="s">
        <v>1195</v>
      </c>
      <c r="B494" s="2" t="s">
        <v>1196</v>
      </c>
      <c r="C494" s="2" t="s">
        <v>32</v>
      </c>
      <c r="D494" s="2" t="s">
        <v>33</v>
      </c>
      <c r="E494" s="2" t="s">
        <v>52</v>
      </c>
      <c r="F494" s="2" t="s">
        <v>26</v>
      </c>
      <c r="G494" s="2">
        <v>5</v>
      </c>
      <c r="H494" s="2">
        <v>19900</v>
      </c>
      <c r="I494" s="2">
        <v>0</v>
      </c>
      <c r="J494" s="2">
        <v>99500</v>
      </c>
      <c r="K494" s="2" t="s">
        <v>87</v>
      </c>
      <c r="L494" s="2" t="s">
        <v>46</v>
      </c>
      <c r="M494" s="2" t="s">
        <v>47</v>
      </c>
    </row>
    <row r="495" spans="1:13" x14ac:dyDescent="0.25">
      <c r="A495" s="2" t="s">
        <v>1197</v>
      </c>
      <c r="B495" s="2" t="s">
        <v>1198</v>
      </c>
      <c r="C495" s="2" t="s">
        <v>227</v>
      </c>
      <c r="D495" s="2" t="s">
        <v>33</v>
      </c>
      <c r="E495" s="2" t="s">
        <v>52</v>
      </c>
      <c r="F495" s="2" t="s">
        <v>332</v>
      </c>
      <c r="G495" s="2">
        <v>12</v>
      </c>
      <c r="H495" s="2">
        <v>8170</v>
      </c>
      <c r="I495" s="2">
        <v>0</v>
      </c>
      <c r="J495" s="2">
        <v>98040</v>
      </c>
      <c r="K495" s="2" t="s">
        <v>144</v>
      </c>
      <c r="L495" s="2" t="s">
        <v>406</v>
      </c>
      <c r="M495" s="2"/>
    </row>
    <row r="496" spans="1:13" x14ac:dyDescent="0.25">
      <c r="A496" s="2" t="s">
        <v>1199</v>
      </c>
      <c r="B496" s="2" t="s">
        <v>1200</v>
      </c>
      <c r="C496" s="2" t="s">
        <v>64</v>
      </c>
      <c r="D496" s="2" t="s">
        <v>51</v>
      </c>
      <c r="E496" s="2" t="s">
        <v>163</v>
      </c>
      <c r="F496" s="2" t="s">
        <v>164</v>
      </c>
      <c r="G496" s="2">
        <v>11</v>
      </c>
      <c r="H496" s="2">
        <v>3970</v>
      </c>
      <c r="I496" s="2">
        <v>10</v>
      </c>
      <c r="J496" s="2">
        <v>39303</v>
      </c>
      <c r="K496" s="2" t="s">
        <v>205</v>
      </c>
      <c r="L496" s="2" t="s">
        <v>339</v>
      </c>
      <c r="M496" s="2" t="s">
        <v>136</v>
      </c>
    </row>
    <row r="497" spans="1:13" x14ac:dyDescent="0.25">
      <c r="A497" s="2" t="s">
        <v>1201</v>
      </c>
      <c r="B497" s="2" t="s">
        <v>1202</v>
      </c>
      <c r="C497" s="2" t="s">
        <v>41</v>
      </c>
      <c r="D497" s="2" t="s">
        <v>42</v>
      </c>
      <c r="E497" s="2" t="s">
        <v>43</v>
      </c>
      <c r="F497" s="2" t="s">
        <v>255</v>
      </c>
      <c r="G497" s="2">
        <v>5</v>
      </c>
      <c r="H497" s="2">
        <v>11300</v>
      </c>
      <c r="I497" s="2">
        <v>0</v>
      </c>
      <c r="J497" s="2">
        <v>56500</v>
      </c>
      <c r="K497" s="2" t="s">
        <v>144</v>
      </c>
      <c r="L497" s="2" t="s">
        <v>796</v>
      </c>
      <c r="M497" s="2" t="s">
        <v>21</v>
      </c>
    </row>
    <row r="498" spans="1:13" x14ac:dyDescent="0.25">
      <c r="A498" s="2" t="s">
        <v>1203</v>
      </c>
      <c r="B498" s="2" t="s">
        <v>1204</v>
      </c>
      <c r="C498" s="2" t="s">
        <v>32</v>
      </c>
      <c r="D498" s="2" t="s">
        <v>33</v>
      </c>
      <c r="E498" s="2" t="s">
        <v>137</v>
      </c>
      <c r="F498" s="2" t="s">
        <v>35</v>
      </c>
      <c r="G498" s="2">
        <v>2</v>
      </c>
      <c r="H498" s="2">
        <v>20240</v>
      </c>
      <c r="I498" s="2">
        <v>0</v>
      </c>
      <c r="J498" s="2">
        <v>40480</v>
      </c>
      <c r="K498" s="2" t="s">
        <v>94</v>
      </c>
      <c r="L498" s="2" t="s">
        <v>176</v>
      </c>
      <c r="M498" s="2" t="s">
        <v>291</v>
      </c>
    </row>
    <row r="499" spans="1:13" x14ac:dyDescent="0.25">
      <c r="A499" s="2" t="s">
        <v>1205</v>
      </c>
      <c r="B499" s="2" t="s">
        <v>1206</v>
      </c>
      <c r="C499" s="2" t="s">
        <v>76</v>
      </c>
      <c r="D499" s="2" t="s">
        <v>33</v>
      </c>
      <c r="E499" s="2" t="s">
        <v>137</v>
      </c>
      <c r="F499" s="2" t="s">
        <v>199</v>
      </c>
      <c r="G499" s="2">
        <v>8</v>
      </c>
      <c r="H499" s="2" t="s">
        <v>136</v>
      </c>
      <c r="I499" s="2">
        <v>0</v>
      </c>
      <c r="J499" s="2">
        <v>8800</v>
      </c>
      <c r="K499" s="2" t="s">
        <v>157</v>
      </c>
      <c r="L499" s="2" t="s">
        <v>37</v>
      </c>
      <c r="M499" s="2" t="s">
        <v>38</v>
      </c>
    </row>
    <row r="500" spans="1:13" x14ac:dyDescent="0.25">
      <c r="A500" s="2" t="s">
        <v>1207</v>
      </c>
      <c r="B500" s="2" t="s">
        <v>1208</v>
      </c>
      <c r="C500" s="2" t="s">
        <v>32</v>
      </c>
      <c r="D500" s="2" t="s">
        <v>33</v>
      </c>
      <c r="E500" s="2" t="s">
        <v>137</v>
      </c>
      <c r="F500" s="2" t="s">
        <v>374</v>
      </c>
      <c r="G500" s="2">
        <v>7</v>
      </c>
      <c r="H500" s="2">
        <v>25290</v>
      </c>
      <c r="I500" s="2">
        <v>10</v>
      </c>
      <c r="J500" s="2">
        <v>159327</v>
      </c>
      <c r="K500" s="2" t="s">
        <v>72</v>
      </c>
      <c r="L500" s="2" t="s">
        <v>791</v>
      </c>
      <c r="M500" s="2" t="s">
        <v>128</v>
      </c>
    </row>
    <row r="501" spans="1:13" x14ac:dyDescent="0.25">
      <c r="A501" s="2" t="s">
        <v>1209</v>
      </c>
      <c r="B501" s="2" t="s">
        <v>1210</v>
      </c>
      <c r="C501" s="2" t="s">
        <v>64</v>
      </c>
      <c r="D501" s="2" t="s">
        <v>51</v>
      </c>
      <c r="E501" s="2" t="s">
        <v>504</v>
      </c>
      <c r="F501" s="2" t="s">
        <v>435</v>
      </c>
      <c r="G501" s="2" t="s">
        <v>136</v>
      </c>
      <c r="H501" s="2">
        <v>1230</v>
      </c>
      <c r="I501" s="2">
        <v>15</v>
      </c>
      <c r="J501" s="2">
        <v>11500.5</v>
      </c>
      <c r="K501" s="2" t="s">
        <v>19</v>
      </c>
      <c r="L501" s="2" t="s">
        <v>349</v>
      </c>
      <c r="M501" s="2" t="s">
        <v>47</v>
      </c>
    </row>
    <row r="502" spans="1:13" x14ac:dyDescent="0.25">
      <c r="A502" s="2" t="s">
        <v>1211</v>
      </c>
      <c r="B502" s="2" t="s">
        <v>1212</v>
      </c>
      <c r="C502" s="2" t="s">
        <v>557</v>
      </c>
      <c r="D502" s="2" t="s">
        <v>136</v>
      </c>
      <c r="E502" s="2" t="s">
        <v>59</v>
      </c>
      <c r="F502" s="2" t="s">
        <v>435</v>
      </c>
      <c r="G502" s="2">
        <v>9</v>
      </c>
      <c r="H502" s="2">
        <v>4510</v>
      </c>
      <c r="I502" s="2">
        <v>0</v>
      </c>
      <c r="J502" s="2">
        <v>40590</v>
      </c>
      <c r="K502" s="2" t="s">
        <v>19</v>
      </c>
      <c r="L502" s="2" t="s">
        <v>20</v>
      </c>
      <c r="M502" s="2" t="s">
        <v>140</v>
      </c>
    </row>
    <row r="503" spans="1:13" x14ac:dyDescent="0.25">
      <c r="A503" s="2" t="s">
        <v>1213</v>
      </c>
      <c r="B503" s="2" t="s">
        <v>771</v>
      </c>
      <c r="C503" s="2" t="s">
        <v>32</v>
      </c>
      <c r="D503" s="2" t="s">
        <v>33</v>
      </c>
      <c r="E503" s="2" t="s">
        <v>179</v>
      </c>
      <c r="F503" s="2" t="s">
        <v>239</v>
      </c>
      <c r="G503" s="2">
        <v>5</v>
      </c>
      <c r="H503" s="2">
        <v>5660</v>
      </c>
      <c r="I503" s="2"/>
      <c r="J503" s="2">
        <v>28300</v>
      </c>
      <c r="K503" s="2" t="s">
        <v>172</v>
      </c>
      <c r="L503" s="2" t="s">
        <v>37</v>
      </c>
      <c r="M503" s="2" t="s">
        <v>140</v>
      </c>
    </row>
    <row r="504" spans="1:13" x14ac:dyDescent="0.25">
      <c r="A504" s="2" t="s">
        <v>1214</v>
      </c>
      <c r="B504" s="2" t="s">
        <v>1215</v>
      </c>
      <c r="C504" s="2" t="s">
        <v>24</v>
      </c>
      <c r="D504" s="2" t="s">
        <v>16</v>
      </c>
      <c r="E504" s="2" t="s">
        <v>131</v>
      </c>
      <c r="F504" s="2" t="s">
        <v>132</v>
      </c>
      <c r="G504" s="2">
        <v>4</v>
      </c>
      <c r="H504" s="2">
        <v>3370</v>
      </c>
      <c r="I504" s="2">
        <v>10</v>
      </c>
      <c r="J504" s="2">
        <v>12132</v>
      </c>
      <c r="K504" s="2" t="s">
        <v>133</v>
      </c>
      <c r="L504" s="2" t="s">
        <v>411</v>
      </c>
      <c r="M504" s="2" t="s">
        <v>47</v>
      </c>
    </row>
    <row r="505" spans="1:13" x14ac:dyDescent="0.25">
      <c r="A505" s="2" t="s">
        <v>1216</v>
      </c>
      <c r="B505" s="2" t="s">
        <v>1217</v>
      </c>
      <c r="C505" s="2" t="s">
        <v>1070</v>
      </c>
      <c r="D505" s="2" t="s">
        <v>42</v>
      </c>
      <c r="E505" s="2" t="s">
        <v>59</v>
      </c>
      <c r="F505" s="2" t="s">
        <v>252</v>
      </c>
      <c r="G505" s="2">
        <v>4</v>
      </c>
      <c r="H505" s="2">
        <v>8170</v>
      </c>
      <c r="I505" s="2">
        <v>15</v>
      </c>
      <c r="J505" s="2">
        <v>27778</v>
      </c>
      <c r="K505" s="2" t="s">
        <v>138</v>
      </c>
      <c r="L505" s="2" t="s">
        <v>440</v>
      </c>
      <c r="M505" s="2" t="s">
        <v>136</v>
      </c>
    </row>
    <row r="506" spans="1:13" x14ac:dyDescent="0.25">
      <c r="A506" s="2" t="s">
        <v>1218</v>
      </c>
      <c r="B506" s="2" t="s">
        <v>1219</v>
      </c>
      <c r="C506" s="2" t="s">
        <v>449</v>
      </c>
      <c r="D506" s="2" t="s">
        <v>42</v>
      </c>
      <c r="E506" s="2" t="s">
        <v>77</v>
      </c>
      <c r="F506" s="2" t="s">
        <v>224</v>
      </c>
      <c r="G506" s="2">
        <v>8</v>
      </c>
      <c r="H506" s="2">
        <v>3430</v>
      </c>
      <c r="I506" s="2">
        <v>15</v>
      </c>
      <c r="J506" s="2">
        <v>23324</v>
      </c>
      <c r="K506" s="2" t="s">
        <v>120</v>
      </c>
      <c r="L506" s="2" t="s">
        <v>188</v>
      </c>
      <c r="M506" s="2" t="s">
        <v>140</v>
      </c>
    </row>
    <row r="507" spans="1:13" x14ac:dyDescent="0.25">
      <c r="A507" s="2" t="s">
        <v>1220</v>
      </c>
      <c r="B507" s="2" t="s">
        <v>1221</v>
      </c>
      <c r="C507" s="2" t="s">
        <v>238</v>
      </c>
      <c r="D507" s="2" t="s">
        <v>51</v>
      </c>
      <c r="E507" s="2" t="s">
        <v>105</v>
      </c>
      <c r="F507" s="2" t="s">
        <v>332</v>
      </c>
      <c r="G507" s="2">
        <v>12</v>
      </c>
      <c r="H507" s="2">
        <v>20160</v>
      </c>
      <c r="I507" s="2">
        <v>10</v>
      </c>
      <c r="J507" s="2">
        <v>217728</v>
      </c>
      <c r="K507" s="2" t="s">
        <v>45</v>
      </c>
      <c r="L507" s="2" t="s">
        <v>274</v>
      </c>
      <c r="M507" s="2" t="s">
        <v>47</v>
      </c>
    </row>
    <row r="508" spans="1:13" x14ac:dyDescent="0.25">
      <c r="A508" s="2" t="s">
        <v>1222</v>
      </c>
      <c r="B508" s="2" t="s">
        <v>1223</v>
      </c>
      <c r="C508" s="2" t="s">
        <v>156</v>
      </c>
      <c r="D508" s="2" t="s">
        <v>51</v>
      </c>
      <c r="E508" s="2" t="s">
        <v>52</v>
      </c>
      <c r="F508" s="2" t="s">
        <v>106</v>
      </c>
      <c r="G508" s="2">
        <v>10</v>
      </c>
      <c r="H508" s="2">
        <v>18180</v>
      </c>
      <c r="I508" s="2">
        <v>0</v>
      </c>
      <c r="J508" s="2">
        <v>181800</v>
      </c>
      <c r="K508" s="2" t="s">
        <v>205</v>
      </c>
      <c r="L508" s="2" t="s">
        <v>228</v>
      </c>
      <c r="M508" s="2" t="s">
        <v>47</v>
      </c>
    </row>
    <row r="509" spans="1:13" x14ac:dyDescent="0.25">
      <c r="A509" s="2" t="s">
        <v>1224</v>
      </c>
      <c r="B509" s="2" t="s">
        <v>1225</v>
      </c>
      <c r="C509" s="2" t="s">
        <v>76</v>
      </c>
      <c r="D509" s="2" t="s">
        <v>33</v>
      </c>
      <c r="E509" s="2" t="s">
        <v>179</v>
      </c>
      <c r="F509" s="2" t="s">
        <v>143</v>
      </c>
      <c r="G509" s="2">
        <v>10</v>
      </c>
      <c r="H509" s="2">
        <v>41000</v>
      </c>
      <c r="I509" s="2">
        <v>0</v>
      </c>
      <c r="J509" s="2">
        <v>410000</v>
      </c>
      <c r="K509" s="2" t="s">
        <v>120</v>
      </c>
      <c r="L509" s="2" t="s">
        <v>274</v>
      </c>
      <c r="M509" s="2" t="s">
        <v>152</v>
      </c>
    </row>
    <row r="510" spans="1:13" x14ac:dyDescent="0.25">
      <c r="A510" s="2" t="s">
        <v>1226</v>
      </c>
      <c r="B510" s="2" t="s">
        <v>371</v>
      </c>
      <c r="C510" s="2" t="s">
        <v>118</v>
      </c>
      <c r="D510" s="2" t="s">
        <v>51</v>
      </c>
      <c r="E510" s="2" t="s">
        <v>100</v>
      </c>
      <c r="F510" s="2" t="s">
        <v>314</v>
      </c>
      <c r="G510" s="2">
        <v>8</v>
      </c>
      <c r="H510" s="2">
        <v>1330</v>
      </c>
      <c r="I510" s="2">
        <v>5</v>
      </c>
      <c r="J510" s="2">
        <v>10108</v>
      </c>
      <c r="K510" s="2" t="s">
        <v>72</v>
      </c>
      <c r="L510" s="2" t="s">
        <v>349</v>
      </c>
      <c r="M510" s="2" t="s">
        <v>21</v>
      </c>
    </row>
    <row r="511" spans="1:13" x14ac:dyDescent="0.25">
      <c r="A511" s="2" t="s">
        <v>1227</v>
      </c>
      <c r="B511" s="2" t="s">
        <v>1228</v>
      </c>
      <c r="C511" s="2" t="s">
        <v>135</v>
      </c>
      <c r="D511" s="2" t="s">
        <v>58</v>
      </c>
      <c r="E511" s="2" t="s">
        <v>125</v>
      </c>
      <c r="F511" s="2" t="s">
        <v>319</v>
      </c>
      <c r="G511" s="2">
        <v>2</v>
      </c>
      <c r="H511" s="2">
        <v>41080</v>
      </c>
      <c r="I511" s="2" t="s">
        <v>136</v>
      </c>
      <c r="J511" s="2">
        <v>73944</v>
      </c>
      <c r="K511" s="2" t="s">
        <v>53</v>
      </c>
      <c r="L511" s="2" t="s">
        <v>1229</v>
      </c>
      <c r="M511" s="2" t="s">
        <v>47</v>
      </c>
    </row>
    <row r="512" spans="1:13" x14ac:dyDescent="0.25">
      <c r="A512" s="2" t="s">
        <v>1230</v>
      </c>
      <c r="B512" s="2" t="s">
        <v>1231</v>
      </c>
      <c r="C512" s="2" t="s">
        <v>837</v>
      </c>
      <c r="D512" s="2" t="s">
        <v>138</v>
      </c>
      <c r="E512" s="2" t="s">
        <v>125</v>
      </c>
      <c r="F512" s="2" t="s">
        <v>126</v>
      </c>
      <c r="G512" s="2">
        <v>12</v>
      </c>
      <c r="H512" s="2">
        <v>2480</v>
      </c>
      <c r="I512" s="2">
        <v>15</v>
      </c>
      <c r="J512" s="2">
        <v>25296</v>
      </c>
      <c r="K512" s="2" t="s">
        <v>102</v>
      </c>
      <c r="L512" s="2" t="s">
        <v>228</v>
      </c>
      <c r="M512" s="2" t="s">
        <v>47</v>
      </c>
    </row>
    <row r="513" spans="1:13" x14ac:dyDescent="0.25">
      <c r="A513" s="2" t="s">
        <v>1232</v>
      </c>
      <c r="B513" s="2" t="s">
        <v>1233</v>
      </c>
      <c r="C513" s="2" t="s">
        <v>41</v>
      </c>
      <c r="D513" s="2" t="s">
        <v>42</v>
      </c>
      <c r="E513" s="2" t="s">
        <v>163</v>
      </c>
      <c r="F513" s="2" t="s">
        <v>290</v>
      </c>
      <c r="G513" s="2">
        <v>7</v>
      </c>
      <c r="H513" s="2">
        <v>9650</v>
      </c>
      <c r="I513" s="2">
        <v>0</v>
      </c>
      <c r="J513" s="2">
        <v>67550</v>
      </c>
      <c r="K513" s="2" t="s">
        <v>205</v>
      </c>
      <c r="L513" s="2" t="s">
        <v>375</v>
      </c>
      <c r="M513" s="2" t="s">
        <v>107</v>
      </c>
    </row>
    <row r="514" spans="1:13" x14ac:dyDescent="0.25">
      <c r="A514" s="2" t="s">
        <v>1234</v>
      </c>
      <c r="B514" s="2" t="s">
        <v>1122</v>
      </c>
      <c r="C514" s="2" t="s">
        <v>281</v>
      </c>
      <c r="D514" s="2" t="s">
        <v>51</v>
      </c>
      <c r="E514" s="2" t="s">
        <v>43</v>
      </c>
      <c r="F514" s="2" t="s">
        <v>332</v>
      </c>
      <c r="G514" s="2">
        <v>11</v>
      </c>
      <c r="H514" s="2">
        <v>27090</v>
      </c>
      <c r="I514" s="2">
        <v>0</v>
      </c>
      <c r="J514" s="2">
        <v>297990</v>
      </c>
      <c r="K514" s="2" t="s">
        <v>53</v>
      </c>
      <c r="L514" s="2" t="s">
        <v>46</v>
      </c>
      <c r="M514" s="2" t="s">
        <v>21</v>
      </c>
    </row>
    <row r="515" spans="1:13" x14ac:dyDescent="0.25">
      <c r="A515" s="2" t="s">
        <v>1235</v>
      </c>
      <c r="B515" s="2" t="s">
        <v>689</v>
      </c>
      <c r="C515" s="2" t="s">
        <v>24</v>
      </c>
      <c r="D515" s="2" t="s">
        <v>16</v>
      </c>
      <c r="E515" s="2" t="s">
        <v>92</v>
      </c>
      <c r="F515" s="2" t="s">
        <v>26</v>
      </c>
      <c r="G515" s="2">
        <v>12</v>
      </c>
      <c r="H515" s="2">
        <v>71390</v>
      </c>
      <c r="I515" s="2">
        <v>0</v>
      </c>
      <c r="J515" s="2">
        <v>856680</v>
      </c>
      <c r="K515" s="2" t="s">
        <v>172</v>
      </c>
      <c r="L515" s="2" t="s">
        <v>1007</v>
      </c>
      <c r="M515" s="2" t="s">
        <v>29</v>
      </c>
    </row>
    <row r="516" spans="1:13" x14ac:dyDescent="0.25">
      <c r="A516" s="2" t="s">
        <v>978</v>
      </c>
      <c r="B516" s="2" t="s">
        <v>330</v>
      </c>
      <c r="C516" s="2" t="s">
        <v>218</v>
      </c>
      <c r="D516" s="2" t="s">
        <v>33</v>
      </c>
      <c r="E516" s="2" t="s">
        <v>322</v>
      </c>
      <c r="F516" s="2" t="s">
        <v>180</v>
      </c>
      <c r="G516" s="2">
        <v>-1</v>
      </c>
      <c r="H516" s="2">
        <v>19300</v>
      </c>
      <c r="I516" s="2">
        <v>0</v>
      </c>
      <c r="J516" s="2"/>
      <c r="K516" s="2" t="s">
        <v>45</v>
      </c>
      <c r="L516" s="2" t="s">
        <v>387</v>
      </c>
      <c r="M516" s="2" t="s">
        <v>38</v>
      </c>
    </row>
    <row r="517" spans="1:13" x14ac:dyDescent="0.25">
      <c r="A517" s="2" t="s">
        <v>1236</v>
      </c>
      <c r="B517" s="2" t="s">
        <v>247</v>
      </c>
      <c r="C517" s="2" t="s">
        <v>41</v>
      </c>
      <c r="D517" s="2" t="s">
        <v>42</v>
      </c>
      <c r="E517" s="2" t="s">
        <v>119</v>
      </c>
      <c r="F517" s="2" t="s">
        <v>93</v>
      </c>
      <c r="G517" s="2">
        <v>4</v>
      </c>
      <c r="H517" s="2">
        <v>20400</v>
      </c>
      <c r="I517" s="2">
        <v>10</v>
      </c>
      <c r="J517" s="2">
        <v>73440</v>
      </c>
      <c r="K517" s="2" t="s">
        <v>144</v>
      </c>
      <c r="L517" s="2" t="s">
        <v>311</v>
      </c>
      <c r="M517" s="2" t="s">
        <v>47</v>
      </c>
    </row>
    <row r="518" spans="1:13" x14ac:dyDescent="0.25">
      <c r="A518" s="2" t="s">
        <v>1237</v>
      </c>
      <c r="B518" s="2" t="s">
        <v>1238</v>
      </c>
      <c r="C518" s="2" t="s">
        <v>76</v>
      </c>
      <c r="D518" s="2" t="s">
        <v>33</v>
      </c>
      <c r="E518" s="2"/>
      <c r="F518" s="2" t="s">
        <v>209</v>
      </c>
      <c r="G518" s="2">
        <v>5</v>
      </c>
      <c r="H518" s="2">
        <v>2560</v>
      </c>
      <c r="I518" s="2">
        <v>15</v>
      </c>
      <c r="J518" s="2">
        <v>10880</v>
      </c>
      <c r="K518" s="2" t="s">
        <v>87</v>
      </c>
      <c r="L518" s="2" t="s">
        <v>68</v>
      </c>
      <c r="M518" s="2" t="s">
        <v>21</v>
      </c>
    </row>
    <row r="519" spans="1:13" x14ac:dyDescent="0.25">
      <c r="A519" s="2" t="s">
        <v>1239</v>
      </c>
      <c r="B519" s="2" t="s">
        <v>1240</v>
      </c>
      <c r="C519" s="2" t="s">
        <v>1241</v>
      </c>
      <c r="D519" s="2" t="s">
        <v>33</v>
      </c>
      <c r="E519" s="2" t="s">
        <v>195</v>
      </c>
      <c r="F519" s="2" t="s">
        <v>18</v>
      </c>
      <c r="G519" s="2">
        <v>11</v>
      </c>
      <c r="H519" s="2">
        <v>46990</v>
      </c>
      <c r="I519" s="2">
        <v>0</v>
      </c>
      <c r="J519" s="2">
        <v>516890</v>
      </c>
      <c r="K519" s="2" t="s">
        <v>19</v>
      </c>
      <c r="L519" s="2" t="s">
        <v>883</v>
      </c>
      <c r="M519" s="2" t="s">
        <v>21</v>
      </c>
    </row>
    <row r="520" spans="1:13" x14ac:dyDescent="0.25">
      <c r="A520" s="2" t="s">
        <v>1242</v>
      </c>
      <c r="B520" s="2" t="s">
        <v>1243</v>
      </c>
      <c r="C520" s="2" t="s">
        <v>837</v>
      </c>
      <c r="D520" s="2" t="s">
        <v>33</v>
      </c>
      <c r="E520" s="2" t="s">
        <v>223</v>
      </c>
      <c r="F520" s="2" t="s">
        <v>296</v>
      </c>
      <c r="G520" s="2">
        <v>2</v>
      </c>
      <c r="H520" s="2">
        <v>8510</v>
      </c>
      <c r="I520" s="2">
        <v>0</v>
      </c>
      <c r="J520" s="2">
        <v>17020</v>
      </c>
      <c r="K520" s="2" t="s">
        <v>133</v>
      </c>
      <c r="L520" s="2" t="s">
        <v>188</v>
      </c>
      <c r="M520" s="2" t="s">
        <v>201</v>
      </c>
    </row>
    <row r="521" spans="1:13" x14ac:dyDescent="0.25">
      <c r="A521" s="2" t="s">
        <v>1244</v>
      </c>
      <c r="B521" s="2" t="s">
        <v>1245</v>
      </c>
      <c r="C521" s="2" t="s">
        <v>24</v>
      </c>
      <c r="D521" s="2" t="s">
        <v>16</v>
      </c>
      <c r="E521" s="2" t="s">
        <v>284</v>
      </c>
      <c r="F521" s="2" t="s">
        <v>379</v>
      </c>
      <c r="G521" s="2">
        <v>7</v>
      </c>
      <c r="H521" s="2">
        <v>72140</v>
      </c>
      <c r="I521" s="2">
        <v>5</v>
      </c>
      <c r="J521" s="2">
        <v>479731</v>
      </c>
      <c r="K521" s="2" t="s">
        <v>72</v>
      </c>
      <c r="L521" s="2" t="s">
        <v>84</v>
      </c>
      <c r="M521" s="2" t="s">
        <v>47</v>
      </c>
    </row>
    <row r="522" spans="1:13" x14ac:dyDescent="0.25">
      <c r="A522" s="2" t="s">
        <v>1246</v>
      </c>
      <c r="B522" s="2" t="s">
        <v>1247</v>
      </c>
      <c r="C522" s="2" t="s">
        <v>24</v>
      </c>
      <c r="D522" s="2" t="s">
        <v>16</v>
      </c>
      <c r="E522" s="2" t="s">
        <v>148</v>
      </c>
      <c r="F522" s="2" t="s">
        <v>149</v>
      </c>
      <c r="G522" s="2">
        <v>8</v>
      </c>
      <c r="H522" s="2">
        <v>4600</v>
      </c>
      <c r="I522" s="2">
        <v>0</v>
      </c>
      <c r="J522" s="2">
        <v>36800</v>
      </c>
      <c r="K522" s="2" t="s">
        <v>72</v>
      </c>
      <c r="L522" s="2" t="s">
        <v>84</v>
      </c>
      <c r="M522" s="2" t="s">
        <v>128</v>
      </c>
    </row>
    <row r="523" spans="1:13" x14ac:dyDescent="0.25">
      <c r="A523" s="2" t="s">
        <v>1248</v>
      </c>
      <c r="B523" s="2" t="s">
        <v>1249</v>
      </c>
      <c r="C523" s="2" t="s">
        <v>24</v>
      </c>
      <c r="D523" s="2" t="s">
        <v>16</v>
      </c>
      <c r="E523" s="2" t="s">
        <v>25</v>
      </c>
      <c r="F523" s="2" t="s">
        <v>26</v>
      </c>
      <c r="G523" s="2">
        <v>9</v>
      </c>
      <c r="H523" s="2">
        <v>3550</v>
      </c>
      <c r="I523" s="2">
        <v>15</v>
      </c>
      <c r="J523" s="2">
        <v>27157.5</v>
      </c>
      <c r="K523" s="2" t="s">
        <v>120</v>
      </c>
      <c r="L523" s="2" t="s">
        <v>720</v>
      </c>
      <c r="M523" s="2" t="s">
        <v>140</v>
      </c>
    </row>
    <row r="524" spans="1:13" x14ac:dyDescent="0.25">
      <c r="A524" s="2" t="s">
        <v>1250</v>
      </c>
      <c r="B524" s="2" t="s">
        <v>1251</v>
      </c>
      <c r="C524" s="2" t="s">
        <v>156</v>
      </c>
      <c r="D524" s="2" t="s">
        <v>51</v>
      </c>
      <c r="E524" s="2" t="s">
        <v>77</v>
      </c>
      <c r="F524" s="2" t="s">
        <v>543</v>
      </c>
      <c r="G524" s="2">
        <v>8</v>
      </c>
      <c r="H524" s="2">
        <v>45890</v>
      </c>
      <c r="I524" s="2">
        <v>0</v>
      </c>
      <c r="J524" s="2">
        <v>367120</v>
      </c>
      <c r="K524" s="2" t="s">
        <v>87</v>
      </c>
      <c r="L524" s="2" t="s">
        <v>68</v>
      </c>
      <c r="M524" s="2" t="s">
        <v>47</v>
      </c>
    </row>
    <row r="525" spans="1:13" x14ac:dyDescent="0.25">
      <c r="A525" s="2" t="s">
        <v>1252</v>
      </c>
      <c r="B525" s="2" t="s">
        <v>1253</v>
      </c>
      <c r="C525" s="2" t="s">
        <v>227</v>
      </c>
      <c r="D525" s="2" t="s">
        <v>33</v>
      </c>
      <c r="E525" s="2" t="s">
        <v>131</v>
      </c>
      <c r="F525" s="2" t="s">
        <v>319</v>
      </c>
      <c r="G525" s="2">
        <v>7</v>
      </c>
      <c r="H525" s="2">
        <v>7240</v>
      </c>
      <c r="I525" s="2">
        <v>0</v>
      </c>
      <c r="J525" s="2">
        <v>50680</v>
      </c>
      <c r="K525" s="2" t="s">
        <v>67</v>
      </c>
      <c r="L525" s="2" t="s">
        <v>611</v>
      </c>
      <c r="M525" s="2" t="s">
        <v>29</v>
      </c>
    </row>
    <row r="526" spans="1:13" x14ac:dyDescent="0.25">
      <c r="A526" s="2" t="s">
        <v>1254</v>
      </c>
      <c r="B526" s="2" t="s">
        <v>1255</v>
      </c>
      <c r="C526" s="2" t="s">
        <v>118</v>
      </c>
      <c r="D526" s="2" t="s">
        <v>51</v>
      </c>
      <c r="E526" s="2" t="s">
        <v>25</v>
      </c>
      <c r="F526" s="2" t="s">
        <v>93</v>
      </c>
      <c r="G526" s="2">
        <v>6</v>
      </c>
      <c r="H526" s="2">
        <v>2410</v>
      </c>
      <c r="I526" s="2">
        <v>0</v>
      </c>
      <c r="J526" s="2">
        <v>14460</v>
      </c>
      <c r="K526" s="2" t="s">
        <v>102</v>
      </c>
      <c r="L526" s="2" t="s">
        <v>168</v>
      </c>
      <c r="M526" s="2" t="s">
        <v>29</v>
      </c>
    </row>
    <row r="527" spans="1:13" x14ac:dyDescent="0.25">
      <c r="A527" s="2" t="s">
        <v>1256</v>
      </c>
      <c r="B527" s="2" t="s">
        <v>1257</v>
      </c>
      <c r="C527" s="2" t="s">
        <v>198</v>
      </c>
      <c r="D527" s="2" t="s">
        <v>42</v>
      </c>
      <c r="E527" s="2" t="s">
        <v>504</v>
      </c>
      <c r="F527" s="2" t="s">
        <v>209</v>
      </c>
      <c r="G527" s="2">
        <v>7</v>
      </c>
      <c r="H527" s="2">
        <v>16870</v>
      </c>
      <c r="I527" s="2" t="s">
        <v>136</v>
      </c>
      <c r="J527" s="2">
        <v>118090</v>
      </c>
      <c r="K527" s="2" t="s">
        <v>120</v>
      </c>
      <c r="L527" s="2" t="s">
        <v>68</v>
      </c>
      <c r="M527" s="2" t="s">
        <v>47</v>
      </c>
    </row>
    <row r="528" spans="1:13" x14ac:dyDescent="0.25">
      <c r="A528" s="2" t="s">
        <v>1258</v>
      </c>
      <c r="B528" s="2" t="s">
        <v>1259</v>
      </c>
      <c r="C528" s="2" t="s">
        <v>449</v>
      </c>
      <c r="D528" s="2" t="s">
        <v>42</v>
      </c>
      <c r="E528" s="2" t="s">
        <v>43</v>
      </c>
      <c r="F528" s="2" t="s">
        <v>93</v>
      </c>
      <c r="G528" s="2">
        <v>3</v>
      </c>
      <c r="H528" s="2">
        <v>2790</v>
      </c>
      <c r="I528" s="2">
        <v>0</v>
      </c>
      <c r="J528" s="2">
        <v>8370</v>
      </c>
      <c r="K528" s="2" t="s">
        <v>19</v>
      </c>
      <c r="L528" s="2" t="s">
        <v>344</v>
      </c>
      <c r="M528" s="2" t="s">
        <v>291</v>
      </c>
    </row>
    <row r="529" spans="1:13" x14ac:dyDescent="0.25">
      <c r="A529" s="2" t="s">
        <v>1260</v>
      </c>
      <c r="B529" s="2" t="s">
        <v>945</v>
      </c>
      <c r="C529" s="2" t="s">
        <v>244</v>
      </c>
      <c r="D529" s="2" t="s">
        <v>42</v>
      </c>
      <c r="E529" s="2" t="s">
        <v>25</v>
      </c>
      <c r="F529" s="2" t="s">
        <v>26</v>
      </c>
      <c r="G529" s="2" t="s">
        <v>152</v>
      </c>
      <c r="H529" s="2">
        <v>17360</v>
      </c>
      <c r="I529" s="2">
        <v>0</v>
      </c>
      <c r="J529" s="2">
        <v>173600</v>
      </c>
      <c r="K529" s="2" t="s">
        <v>102</v>
      </c>
      <c r="L529" s="2" t="s">
        <v>228</v>
      </c>
      <c r="M529" s="2" t="s">
        <v>21</v>
      </c>
    </row>
    <row r="530" spans="1:13" x14ac:dyDescent="0.25">
      <c r="A530" s="2" t="s">
        <v>1261</v>
      </c>
      <c r="B530" s="2" t="s">
        <v>222</v>
      </c>
      <c r="C530" s="2" t="s">
        <v>24</v>
      </c>
      <c r="D530" s="2" t="s">
        <v>16</v>
      </c>
      <c r="E530" s="2" t="s">
        <v>111</v>
      </c>
      <c r="F530" s="2" t="s">
        <v>224</v>
      </c>
      <c r="G530" s="2">
        <v>8</v>
      </c>
      <c r="H530" s="2">
        <v>58680</v>
      </c>
      <c r="I530" s="2"/>
      <c r="J530" s="2">
        <v>399024</v>
      </c>
      <c r="K530" s="2" t="s">
        <v>27</v>
      </c>
      <c r="L530" s="2" t="s">
        <v>37</v>
      </c>
      <c r="M530" s="2" t="s">
        <v>821</v>
      </c>
    </row>
    <row r="531" spans="1:13" x14ac:dyDescent="0.25">
      <c r="A531" s="2" t="s">
        <v>1262</v>
      </c>
      <c r="B531" s="2" t="s">
        <v>1263</v>
      </c>
      <c r="C531" s="2" t="s">
        <v>24</v>
      </c>
      <c r="D531" s="2" t="s">
        <v>16</v>
      </c>
      <c r="E531" s="2" t="s">
        <v>92</v>
      </c>
      <c r="F531" s="2" t="s">
        <v>93</v>
      </c>
      <c r="G531" s="2">
        <v>2</v>
      </c>
      <c r="H531" s="2">
        <v>8460</v>
      </c>
      <c r="I531" s="2">
        <v>0</v>
      </c>
      <c r="J531" s="2">
        <v>16920</v>
      </c>
      <c r="K531" s="2" t="s">
        <v>67</v>
      </c>
      <c r="L531" s="2" t="s">
        <v>68</v>
      </c>
      <c r="M531" s="2" t="s">
        <v>223</v>
      </c>
    </row>
    <row r="532" spans="1:13" x14ac:dyDescent="0.25">
      <c r="A532" s="2" t="s">
        <v>1264</v>
      </c>
      <c r="B532" s="2" t="s">
        <v>806</v>
      </c>
      <c r="C532" s="2" t="s">
        <v>557</v>
      </c>
      <c r="D532" s="2"/>
      <c r="E532" s="2" t="s">
        <v>137</v>
      </c>
      <c r="F532" s="2" t="s">
        <v>35</v>
      </c>
      <c r="G532" s="2">
        <v>4</v>
      </c>
      <c r="H532" s="2">
        <v>28570</v>
      </c>
      <c r="I532" s="2">
        <v>5</v>
      </c>
      <c r="J532" s="2">
        <v>108566</v>
      </c>
      <c r="K532" s="2" t="s">
        <v>53</v>
      </c>
      <c r="L532" s="2" t="s">
        <v>1114</v>
      </c>
      <c r="M532" s="2" t="s">
        <v>47</v>
      </c>
    </row>
    <row r="533" spans="1:13" x14ac:dyDescent="0.25">
      <c r="A533" s="2" t="s">
        <v>1265</v>
      </c>
      <c r="B533" s="2" t="s">
        <v>1266</v>
      </c>
      <c r="C533" s="2" t="s">
        <v>76</v>
      </c>
      <c r="D533" s="2" t="s">
        <v>33</v>
      </c>
      <c r="E533" s="2" t="s">
        <v>65</v>
      </c>
      <c r="F533" s="2" t="s">
        <v>314</v>
      </c>
      <c r="G533" s="2">
        <v>5</v>
      </c>
      <c r="H533" s="2">
        <v>540</v>
      </c>
      <c r="I533" s="2">
        <v>5</v>
      </c>
      <c r="J533" s="2">
        <v>2565</v>
      </c>
      <c r="K533" s="2" t="s">
        <v>53</v>
      </c>
      <c r="L533" s="2" t="s">
        <v>259</v>
      </c>
      <c r="M533" s="2" t="s">
        <v>21</v>
      </c>
    </row>
    <row r="534" spans="1:13" x14ac:dyDescent="0.25">
      <c r="A534" s="2" t="s">
        <v>1267</v>
      </c>
      <c r="B534" s="2" t="s">
        <v>1268</v>
      </c>
      <c r="C534" s="2" t="s">
        <v>118</v>
      </c>
      <c r="D534" s="2" t="s">
        <v>51</v>
      </c>
      <c r="E534" s="2" t="s">
        <v>179</v>
      </c>
      <c r="F534" s="2" t="s">
        <v>180</v>
      </c>
      <c r="G534" s="2">
        <v>5</v>
      </c>
      <c r="H534" s="2">
        <v>1350</v>
      </c>
      <c r="I534" s="2">
        <v>5</v>
      </c>
      <c r="J534" s="2">
        <v>6412.5</v>
      </c>
      <c r="K534" s="2" t="s">
        <v>133</v>
      </c>
      <c r="L534" s="2" t="s">
        <v>266</v>
      </c>
      <c r="M534" s="2" t="s">
        <v>29</v>
      </c>
    </row>
    <row r="535" spans="1:13" x14ac:dyDescent="0.25">
      <c r="A535" s="2" t="s">
        <v>1269</v>
      </c>
      <c r="B535" s="2" t="s">
        <v>348</v>
      </c>
      <c r="C535" s="2" t="s">
        <v>971</v>
      </c>
      <c r="D535" s="2" t="s">
        <v>33</v>
      </c>
      <c r="E535" s="2" t="s">
        <v>179</v>
      </c>
      <c r="F535" s="2" t="s">
        <v>143</v>
      </c>
      <c r="G535" s="2">
        <v>11</v>
      </c>
      <c r="H535" s="2">
        <v>49630</v>
      </c>
      <c r="I535" s="2">
        <v>0</v>
      </c>
      <c r="J535" s="2">
        <v>545930</v>
      </c>
      <c r="K535" s="2" t="s">
        <v>67</v>
      </c>
      <c r="L535" s="2" t="s">
        <v>883</v>
      </c>
      <c r="M535" s="2" t="s">
        <v>140</v>
      </c>
    </row>
    <row r="536" spans="1:13" x14ac:dyDescent="0.25">
      <c r="A536" s="2" t="s">
        <v>1270</v>
      </c>
      <c r="B536" s="2" t="s">
        <v>731</v>
      </c>
      <c r="C536" s="2" t="s">
        <v>156</v>
      </c>
      <c r="D536" s="2" t="s">
        <v>51</v>
      </c>
      <c r="E536" s="2" t="s">
        <v>322</v>
      </c>
      <c r="F536" s="2" t="s">
        <v>232</v>
      </c>
      <c r="G536" s="2">
        <v>8</v>
      </c>
      <c r="H536" s="2">
        <v>5620</v>
      </c>
      <c r="I536" s="2">
        <v>0</v>
      </c>
      <c r="J536" s="2">
        <v>44960</v>
      </c>
      <c r="K536" s="2" t="s">
        <v>139</v>
      </c>
      <c r="L536" s="2" t="s">
        <v>274</v>
      </c>
      <c r="M536" s="2" t="s">
        <v>201</v>
      </c>
    </row>
    <row r="537" spans="1:13" x14ac:dyDescent="0.25">
      <c r="A537" s="2" t="s">
        <v>1271</v>
      </c>
      <c r="B537" s="2" t="s">
        <v>63</v>
      </c>
      <c r="C537" s="2" t="s">
        <v>227</v>
      </c>
      <c r="D537" s="2" t="s">
        <v>33</v>
      </c>
      <c r="E537" s="2" t="s">
        <v>295</v>
      </c>
      <c r="F537" s="2" t="s">
        <v>319</v>
      </c>
      <c r="G537" s="2">
        <v>8</v>
      </c>
      <c r="H537" s="2">
        <v>20690</v>
      </c>
      <c r="I537" s="2">
        <v>0</v>
      </c>
      <c r="J537" s="2">
        <v>165520</v>
      </c>
      <c r="K537" s="2" t="s">
        <v>45</v>
      </c>
      <c r="L537" s="2" t="s">
        <v>79</v>
      </c>
      <c r="M537" s="2" t="s">
        <v>47</v>
      </c>
    </row>
    <row r="538" spans="1:13" x14ac:dyDescent="0.25">
      <c r="A538" s="2" t="s">
        <v>1272</v>
      </c>
      <c r="B538" s="2" t="s">
        <v>1273</v>
      </c>
      <c r="C538" s="2" t="s">
        <v>124</v>
      </c>
      <c r="D538" s="2" t="s">
        <v>51</v>
      </c>
      <c r="E538" s="2" t="s">
        <v>148</v>
      </c>
      <c r="F538" s="2" t="s">
        <v>83</v>
      </c>
      <c r="G538" s="2">
        <v>11</v>
      </c>
      <c r="H538" s="2">
        <v>58690</v>
      </c>
      <c r="I538" s="2">
        <v>15</v>
      </c>
      <c r="J538" s="2" t="s">
        <v>138</v>
      </c>
      <c r="K538" s="2" t="s">
        <v>36</v>
      </c>
      <c r="L538" s="2" t="s">
        <v>274</v>
      </c>
      <c r="M538" s="2" t="s">
        <v>128</v>
      </c>
    </row>
    <row r="539" spans="1:13" x14ac:dyDescent="0.25">
      <c r="A539" s="2" t="s">
        <v>1274</v>
      </c>
      <c r="B539" s="2" t="s">
        <v>1275</v>
      </c>
      <c r="C539" s="2" t="s">
        <v>118</v>
      </c>
      <c r="D539" s="2" t="s">
        <v>51</v>
      </c>
      <c r="E539" s="2" t="s">
        <v>284</v>
      </c>
      <c r="F539" s="2" t="s">
        <v>83</v>
      </c>
      <c r="G539" s="2">
        <v>12</v>
      </c>
      <c r="H539" s="2">
        <v>13450</v>
      </c>
      <c r="I539" s="2">
        <v>0</v>
      </c>
      <c r="J539" s="2">
        <v>161400</v>
      </c>
      <c r="K539" s="2" t="s">
        <v>87</v>
      </c>
      <c r="L539" s="2" t="s">
        <v>883</v>
      </c>
      <c r="M539" s="2" t="s">
        <v>38</v>
      </c>
    </row>
    <row r="540" spans="1:13" x14ac:dyDescent="0.25">
      <c r="A540" s="2" t="s">
        <v>1276</v>
      </c>
      <c r="B540" s="2" t="s">
        <v>1058</v>
      </c>
      <c r="C540" s="2" t="s">
        <v>449</v>
      </c>
      <c r="D540" s="2" t="s">
        <v>42</v>
      </c>
      <c r="E540" s="2" t="s">
        <v>77</v>
      </c>
      <c r="F540" s="2" t="s">
        <v>224</v>
      </c>
      <c r="G540" s="2"/>
      <c r="H540" s="2">
        <v>11680</v>
      </c>
      <c r="I540" s="2">
        <v>0</v>
      </c>
      <c r="J540" s="2">
        <v>46720</v>
      </c>
      <c r="K540" s="2" t="s">
        <v>67</v>
      </c>
      <c r="L540" s="2" t="s">
        <v>188</v>
      </c>
      <c r="M540" s="2" t="s">
        <v>253</v>
      </c>
    </row>
    <row r="541" spans="1:13" x14ac:dyDescent="0.25">
      <c r="A541" s="2" t="s">
        <v>1277</v>
      </c>
      <c r="B541" s="2" t="s">
        <v>1278</v>
      </c>
      <c r="C541" s="2" t="s">
        <v>135</v>
      </c>
      <c r="D541" s="2" t="s">
        <v>58</v>
      </c>
      <c r="E541" s="2" t="s">
        <v>152</v>
      </c>
      <c r="F541" s="2" t="s">
        <v>374</v>
      </c>
      <c r="G541" s="2">
        <v>5</v>
      </c>
      <c r="H541" s="2">
        <v>13480</v>
      </c>
      <c r="I541" s="2">
        <v>0</v>
      </c>
      <c r="J541" s="2">
        <v>67400</v>
      </c>
      <c r="K541" s="2" t="s">
        <v>172</v>
      </c>
      <c r="L541" s="2" t="s">
        <v>68</v>
      </c>
      <c r="M541" s="2" t="s">
        <v>47</v>
      </c>
    </row>
    <row r="542" spans="1:13" x14ac:dyDescent="0.25">
      <c r="A542" s="2" t="s">
        <v>1279</v>
      </c>
      <c r="B542" s="2" t="s">
        <v>1280</v>
      </c>
      <c r="C542" s="2" t="s">
        <v>449</v>
      </c>
      <c r="D542" s="2" t="s">
        <v>42</v>
      </c>
      <c r="E542" s="2" t="s">
        <v>59</v>
      </c>
      <c r="F542" s="2" t="s">
        <v>435</v>
      </c>
      <c r="G542" s="2">
        <v>9</v>
      </c>
      <c r="H542" s="2">
        <v>8220</v>
      </c>
      <c r="I542" s="2">
        <v>5</v>
      </c>
      <c r="J542" s="2">
        <v>70281</v>
      </c>
      <c r="K542" s="2" t="s">
        <v>205</v>
      </c>
      <c r="L542" s="2" t="s">
        <v>1281</v>
      </c>
      <c r="M542" s="2" t="s">
        <v>21</v>
      </c>
    </row>
    <row r="543" spans="1:13" x14ac:dyDescent="0.25">
      <c r="A543" s="2" t="s">
        <v>1282</v>
      </c>
      <c r="B543" s="2" t="s">
        <v>1283</v>
      </c>
      <c r="C543" s="2" t="s">
        <v>162</v>
      </c>
      <c r="D543" s="2" t="s">
        <v>33</v>
      </c>
      <c r="E543" s="2" t="s">
        <v>65</v>
      </c>
      <c r="F543" s="2" t="s">
        <v>132</v>
      </c>
      <c r="G543" s="2">
        <v>1</v>
      </c>
      <c r="H543" s="2">
        <v>61860</v>
      </c>
      <c r="I543" s="2">
        <v>15</v>
      </c>
      <c r="J543" s="2">
        <v>52581</v>
      </c>
      <c r="K543" s="2" t="s">
        <v>72</v>
      </c>
      <c r="L543" s="2" t="s">
        <v>883</v>
      </c>
      <c r="M543" s="2" t="s">
        <v>140</v>
      </c>
    </row>
    <row r="544" spans="1:13" x14ac:dyDescent="0.25">
      <c r="A544" s="2" t="s">
        <v>1284</v>
      </c>
      <c r="B544" s="2" t="s">
        <v>1285</v>
      </c>
      <c r="C544" s="2" t="s">
        <v>1049</v>
      </c>
      <c r="D544" s="2" t="s">
        <v>58</v>
      </c>
      <c r="E544" s="2" t="s">
        <v>59</v>
      </c>
      <c r="F544" s="2" t="s">
        <v>209</v>
      </c>
      <c r="G544" s="2">
        <v>8</v>
      </c>
      <c r="H544" s="2">
        <v>1380</v>
      </c>
      <c r="I544" s="2">
        <v>0</v>
      </c>
      <c r="J544" s="2">
        <v>11040</v>
      </c>
      <c r="K544" s="2" t="s">
        <v>87</v>
      </c>
      <c r="L544" s="2" t="s">
        <v>112</v>
      </c>
      <c r="M544" s="2" t="s">
        <v>501</v>
      </c>
    </row>
    <row r="545" spans="1:13" x14ac:dyDescent="0.25">
      <c r="A545" s="2" t="s">
        <v>1286</v>
      </c>
      <c r="B545" s="2" t="s">
        <v>957</v>
      </c>
      <c r="C545" s="2" t="s">
        <v>213</v>
      </c>
      <c r="D545" s="2" t="s">
        <v>58</v>
      </c>
      <c r="E545" s="2" t="s">
        <v>77</v>
      </c>
      <c r="F545" s="2" t="s">
        <v>224</v>
      </c>
      <c r="G545" s="2">
        <v>3</v>
      </c>
      <c r="H545" s="2" t="s">
        <v>223</v>
      </c>
      <c r="I545" s="2">
        <v>0</v>
      </c>
      <c r="J545" s="2">
        <v>3690</v>
      </c>
      <c r="K545" s="2" t="s">
        <v>72</v>
      </c>
      <c r="L545" s="2" t="s">
        <v>228</v>
      </c>
      <c r="M545" s="2" t="s">
        <v>29</v>
      </c>
    </row>
    <row r="546" spans="1:13" x14ac:dyDescent="0.25">
      <c r="A546" s="2" t="s">
        <v>1287</v>
      </c>
      <c r="B546" s="2" t="s">
        <v>1288</v>
      </c>
      <c r="C546" s="2" t="s">
        <v>920</v>
      </c>
      <c r="D546" s="2" t="s">
        <v>58</v>
      </c>
      <c r="E546" s="2" t="s">
        <v>82</v>
      </c>
      <c r="F546" s="2" t="s">
        <v>252</v>
      </c>
      <c r="G546" s="2">
        <v>10</v>
      </c>
      <c r="H546" s="2">
        <v>11670</v>
      </c>
      <c r="I546" s="2">
        <v>5</v>
      </c>
      <c r="J546" s="2">
        <v>110865</v>
      </c>
      <c r="K546" s="2" t="s">
        <v>45</v>
      </c>
      <c r="L546" s="2" t="s">
        <v>266</v>
      </c>
      <c r="M546" s="2" t="s">
        <v>21</v>
      </c>
    </row>
    <row r="547" spans="1:13" x14ac:dyDescent="0.25">
      <c r="A547" s="2" t="s">
        <v>1289</v>
      </c>
      <c r="B547" s="2" t="s">
        <v>1290</v>
      </c>
      <c r="C547" s="2" t="s">
        <v>15</v>
      </c>
      <c r="D547" s="2" t="s">
        <v>16</v>
      </c>
      <c r="E547" s="2" t="s">
        <v>17</v>
      </c>
      <c r="F547" s="2" t="s">
        <v>71</v>
      </c>
      <c r="G547" s="2">
        <v>6</v>
      </c>
      <c r="H547" s="2">
        <v>19710</v>
      </c>
      <c r="I547" s="2">
        <v>0</v>
      </c>
      <c r="J547" s="2">
        <v>118260</v>
      </c>
      <c r="K547" s="2" t="s">
        <v>67</v>
      </c>
      <c r="L547" s="2" t="s">
        <v>440</v>
      </c>
      <c r="M547" s="2" t="s">
        <v>21</v>
      </c>
    </row>
    <row r="548" spans="1:13" x14ac:dyDescent="0.25">
      <c r="A548" s="2" t="s">
        <v>1291</v>
      </c>
      <c r="B548" s="2" t="s">
        <v>1292</v>
      </c>
      <c r="C548" s="2" t="s">
        <v>472</v>
      </c>
      <c r="D548" s="2" t="s">
        <v>16</v>
      </c>
      <c r="E548" s="2" t="s">
        <v>100</v>
      </c>
      <c r="F548" s="2" t="s">
        <v>101</v>
      </c>
      <c r="G548" s="2">
        <v>12</v>
      </c>
      <c r="H548" s="2">
        <v>7940</v>
      </c>
      <c r="I548" s="2">
        <v>10</v>
      </c>
      <c r="J548" s="2">
        <v>85752</v>
      </c>
      <c r="K548" s="2" t="s">
        <v>19</v>
      </c>
      <c r="L548" s="2" t="s">
        <v>266</v>
      </c>
      <c r="M548" s="2" t="s">
        <v>29</v>
      </c>
    </row>
    <row r="549" spans="1:13" x14ac:dyDescent="0.25">
      <c r="A549" s="2" t="s">
        <v>1293</v>
      </c>
      <c r="B549" s="2" t="s">
        <v>1294</v>
      </c>
      <c r="C549" s="2" t="s">
        <v>204</v>
      </c>
      <c r="D549" s="2" t="s">
        <v>33</v>
      </c>
      <c r="E549" s="2" t="s">
        <v>17</v>
      </c>
      <c r="F549" s="2" t="s">
        <v>18</v>
      </c>
      <c r="G549" s="2">
        <v>11</v>
      </c>
      <c r="H549" s="2">
        <v>17940</v>
      </c>
      <c r="I549" s="2">
        <v>0</v>
      </c>
      <c r="J549" s="2">
        <v>197340</v>
      </c>
      <c r="K549" s="2" t="s">
        <v>144</v>
      </c>
      <c r="L549" s="2" t="s">
        <v>249</v>
      </c>
      <c r="M549" s="2" t="s">
        <v>29</v>
      </c>
    </row>
    <row r="550" spans="1:13" x14ac:dyDescent="0.25">
      <c r="A550" s="2" t="s">
        <v>1295</v>
      </c>
      <c r="B550" s="2" t="s">
        <v>1296</v>
      </c>
      <c r="C550" s="2" t="s">
        <v>472</v>
      </c>
      <c r="D550" s="2" t="s">
        <v>16</v>
      </c>
      <c r="E550" s="2" t="s">
        <v>195</v>
      </c>
      <c r="F550" s="2" t="s">
        <v>164</v>
      </c>
      <c r="G550" s="2">
        <v>6</v>
      </c>
      <c r="H550" s="2">
        <v>73920</v>
      </c>
      <c r="I550" s="2" t="s">
        <v>136</v>
      </c>
      <c r="J550" s="2">
        <v>443520</v>
      </c>
      <c r="K550" s="2" t="s">
        <v>87</v>
      </c>
      <c r="L550" s="2" t="s">
        <v>79</v>
      </c>
      <c r="M550" s="2" t="s">
        <v>128</v>
      </c>
    </row>
    <row r="551" spans="1:13" x14ac:dyDescent="0.25">
      <c r="A551" s="2" t="s">
        <v>1297</v>
      </c>
      <c r="B551" s="2" t="s">
        <v>1298</v>
      </c>
      <c r="C551" s="2" t="s">
        <v>238</v>
      </c>
      <c r="D551" s="2" t="s">
        <v>51</v>
      </c>
      <c r="E551" s="2" t="s">
        <v>148</v>
      </c>
      <c r="F551" s="2" t="s">
        <v>60</v>
      </c>
      <c r="G551" s="2">
        <v>1</v>
      </c>
      <c r="H551" s="2">
        <v>69850</v>
      </c>
      <c r="I551" s="2">
        <v>0</v>
      </c>
      <c r="J551" s="2">
        <v>69850</v>
      </c>
      <c r="K551" s="2" t="s">
        <v>27</v>
      </c>
      <c r="L551" s="2" t="s">
        <v>406</v>
      </c>
      <c r="M551" s="2" t="s">
        <v>29</v>
      </c>
    </row>
    <row r="552" spans="1:13" x14ac:dyDescent="0.25">
      <c r="A552" s="2" t="s">
        <v>1299</v>
      </c>
      <c r="B552" s="2" t="s">
        <v>1300</v>
      </c>
      <c r="C552" s="2" t="s">
        <v>135</v>
      </c>
      <c r="D552" s="2" t="s">
        <v>58</v>
      </c>
      <c r="E552" s="2" t="s">
        <v>119</v>
      </c>
      <c r="F552" s="2" t="s">
        <v>332</v>
      </c>
      <c r="G552" s="2">
        <v>11</v>
      </c>
      <c r="H552" s="2">
        <v>25670</v>
      </c>
      <c r="I552" s="2">
        <v>0</v>
      </c>
      <c r="J552" s="2">
        <v>282370</v>
      </c>
      <c r="K552" s="2" t="s">
        <v>172</v>
      </c>
      <c r="L552" s="2" t="s">
        <v>339</v>
      </c>
      <c r="M552" s="2" t="s">
        <v>29</v>
      </c>
    </row>
    <row r="553" spans="1:13" x14ac:dyDescent="0.25">
      <c r="A553" s="2" t="s">
        <v>1301</v>
      </c>
      <c r="B553" s="2" t="s">
        <v>1302</v>
      </c>
      <c r="C553" s="2" t="s">
        <v>238</v>
      </c>
      <c r="D553" s="2" t="s">
        <v>51</v>
      </c>
      <c r="E553" s="2" t="s">
        <v>137</v>
      </c>
      <c r="F553" s="2" t="s">
        <v>171</v>
      </c>
      <c r="G553" s="2">
        <v>6</v>
      </c>
      <c r="H553" s="2">
        <v>11310</v>
      </c>
      <c r="I553" s="2">
        <v>0</v>
      </c>
      <c r="J553" s="2">
        <v>67860</v>
      </c>
      <c r="K553" s="2" t="s">
        <v>72</v>
      </c>
      <c r="L553" s="2" t="s">
        <v>698</v>
      </c>
      <c r="M553" s="2" t="s">
        <v>128</v>
      </c>
    </row>
    <row r="554" spans="1:13" x14ac:dyDescent="0.25">
      <c r="A554" s="2" t="s">
        <v>1303</v>
      </c>
      <c r="B554" s="2" t="s">
        <v>1304</v>
      </c>
      <c r="C554" s="2" t="s">
        <v>24</v>
      </c>
      <c r="D554" s="2" t="s">
        <v>16</v>
      </c>
      <c r="E554" s="2" t="s">
        <v>82</v>
      </c>
      <c r="F554" s="2" t="s">
        <v>209</v>
      </c>
      <c r="G554" s="2">
        <v>6</v>
      </c>
      <c r="H554" s="2">
        <v>2390</v>
      </c>
      <c r="I554" s="2"/>
      <c r="J554" s="2">
        <v>14340</v>
      </c>
      <c r="K554" s="2" t="s">
        <v>94</v>
      </c>
      <c r="L554" s="2" t="s">
        <v>274</v>
      </c>
      <c r="M554" s="2" t="s">
        <v>47</v>
      </c>
    </row>
    <row r="555" spans="1:13" x14ac:dyDescent="0.25">
      <c r="A555" s="2" t="s">
        <v>1305</v>
      </c>
      <c r="B555" s="2" t="s">
        <v>1306</v>
      </c>
      <c r="C555" s="2" t="s">
        <v>76</v>
      </c>
      <c r="D555" s="2" t="s">
        <v>33</v>
      </c>
      <c r="E555" s="2" t="s">
        <v>65</v>
      </c>
      <c r="F555" s="2" t="s">
        <v>319</v>
      </c>
      <c r="G555" s="2">
        <v>8</v>
      </c>
      <c r="H555" s="2">
        <v>48600</v>
      </c>
      <c r="I555" s="2">
        <v>10</v>
      </c>
      <c r="J555" s="2">
        <v>349920</v>
      </c>
      <c r="K555" s="2" t="s">
        <v>139</v>
      </c>
      <c r="L555" s="2" t="s">
        <v>411</v>
      </c>
      <c r="M555" s="2" t="s">
        <v>38</v>
      </c>
    </row>
    <row r="556" spans="1:13" x14ac:dyDescent="0.25">
      <c r="A556" s="2" t="s">
        <v>1307</v>
      </c>
      <c r="B556" s="2" t="s">
        <v>1308</v>
      </c>
      <c r="C556" s="2" t="s">
        <v>472</v>
      </c>
      <c r="D556" s="2" t="s">
        <v>16</v>
      </c>
      <c r="E556" s="2" t="s">
        <v>92</v>
      </c>
      <c r="F556" s="2" t="s">
        <v>106</v>
      </c>
      <c r="G556" s="2">
        <v>12</v>
      </c>
      <c r="H556" s="2">
        <v>17530</v>
      </c>
      <c r="I556" s="2">
        <v>0</v>
      </c>
      <c r="J556" s="2">
        <v>210360</v>
      </c>
      <c r="K556" s="2" t="s">
        <v>152</v>
      </c>
      <c r="L556" s="2" t="s">
        <v>883</v>
      </c>
      <c r="M556" s="2" t="s">
        <v>47</v>
      </c>
    </row>
    <row r="557" spans="1:13" x14ac:dyDescent="0.25">
      <c r="A557" s="2" t="s">
        <v>1309</v>
      </c>
      <c r="B557" s="2" t="s">
        <v>1125</v>
      </c>
      <c r="C557" s="2" t="s">
        <v>15</v>
      </c>
      <c r="D557" s="2" t="s">
        <v>16</v>
      </c>
      <c r="E557" s="2" t="s">
        <v>52</v>
      </c>
      <c r="F557" s="2" t="s">
        <v>332</v>
      </c>
      <c r="G557" s="2">
        <v>9</v>
      </c>
      <c r="H557" s="2">
        <v>7430</v>
      </c>
      <c r="I557" s="2">
        <v>0</v>
      </c>
      <c r="J557" s="2" t="s">
        <v>152</v>
      </c>
      <c r="K557" s="2" t="s">
        <v>72</v>
      </c>
      <c r="L557" s="2" t="s">
        <v>54</v>
      </c>
      <c r="M557" s="2" t="s">
        <v>47</v>
      </c>
    </row>
    <row r="558" spans="1:13" x14ac:dyDescent="0.25">
      <c r="A558" s="2" t="s">
        <v>1310</v>
      </c>
      <c r="B558" s="2" t="s">
        <v>1311</v>
      </c>
      <c r="C558" s="2" t="s">
        <v>238</v>
      </c>
      <c r="D558" s="2" t="s">
        <v>51</v>
      </c>
      <c r="E558" s="2" t="s">
        <v>284</v>
      </c>
      <c r="F558" s="2" t="s">
        <v>209</v>
      </c>
      <c r="G558" s="2" t="s">
        <v>138</v>
      </c>
      <c r="H558" s="2">
        <v>480</v>
      </c>
      <c r="I558" s="2">
        <v>0</v>
      </c>
      <c r="J558" s="2">
        <v>5280</v>
      </c>
      <c r="K558" s="2" t="s">
        <v>157</v>
      </c>
      <c r="L558" s="2" t="s">
        <v>440</v>
      </c>
      <c r="M558" s="2" t="s">
        <v>140</v>
      </c>
    </row>
    <row r="559" spans="1:13" x14ac:dyDescent="0.25">
      <c r="A559" s="2" t="s">
        <v>1312</v>
      </c>
      <c r="B559" s="2" t="s">
        <v>1313</v>
      </c>
      <c r="C559" s="2" t="s">
        <v>135</v>
      </c>
      <c r="D559" s="2"/>
      <c r="E559" s="2" t="s">
        <v>284</v>
      </c>
      <c r="F559" s="2" t="s">
        <v>149</v>
      </c>
      <c r="G559" s="2">
        <v>8</v>
      </c>
      <c r="H559" s="2">
        <v>60440</v>
      </c>
      <c r="I559" s="2">
        <v>0</v>
      </c>
      <c r="J559" s="2">
        <v>483520</v>
      </c>
      <c r="K559" s="2" t="s">
        <v>67</v>
      </c>
      <c r="L559" s="2" t="s">
        <v>311</v>
      </c>
      <c r="M559" s="2" t="s">
        <v>21</v>
      </c>
    </row>
    <row r="560" spans="1:13" x14ac:dyDescent="0.25">
      <c r="A560" s="2" t="s">
        <v>1314</v>
      </c>
      <c r="B560" s="2" t="s">
        <v>966</v>
      </c>
      <c r="C560" s="2" t="s">
        <v>156</v>
      </c>
      <c r="D560" s="2" t="s">
        <v>51</v>
      </c>
      <c r="E560" s="2" t="s">
        <v>25</v>
      </c>
      <c r="F560" s="2" t="s">
        <v>248</v>
      </c>
      <c r="G560" s="2">
        <v>8</v>
      </c>
      <c r="H560" s="2">
        <v>17230</v>
      </c>
      <c r="I560" s="2">
        <v>0</v>
      </c>
      <c r="J560" s="2"/>
      <c r="K560" s="2" t="s">
        <v>36</v>
      </c>
      <c r="L560" s="2" t="s">
        <v>200</v>
      </c>
      <c r="M560" s="2"/>
    </row>
    <row r="561" spans="1:13" x14ac:dyDescent="0.25">
      <c r="A561" s="2" t="s">
        <v>1315</v>
      </c>
      <c r="B561" s="2" t="s">
        <v>1316</v>
      </c>
      <c r="C561" s="2" t="s">
        <v>213</v>
      </c>
      <c r="D561" s="2"/>
      <c r="E561" s="2" t="s">
        <v>504</v>
      </c>
      <c r="F561" s="2" t="s">
        <v>252</v>
      </c>
      <c r="G561" s="2">
        <v>1</v>
      </c>
      <c r="H561" s="2">
        <v>17210</v>
      </c>
      <c r="I561" s="2">
        <v>0</v>
      </c>
      <c r="J561" s="2">
        <v>17210</v>
      </c>
      <c r="K561" s="2" t="s">
        <v>127</v>
      </c>
      <c r="L561" s="2" t="s">
        <v>73</v>
      </c>
      <c r="M561" s="2" t="s">
        <v>201</v>
      </c>
    </row>
    <row r="562" spans="1:13" x14ac:dyDescent="0.25">
      <c r="A562" s="2" t="s">
        <v>1317</v>
      </c>
      <c r="B562" s="2" t="s">
        <v>1318</v>
      </c>
      <c r="C562" s="2" t="s">
        <v>204</v>
      </c>
      <c r="D562" s="2" t="s">
        <v>138</v>
      </c>
      <c r="E562" s="2" t="s">
        <v>43</v>
      </c>
      <c r="F562" s="2" t="s">
        <v>26</v>
      </c>
      <c r="G562" s="2">
        <v>4</v>
      </c>
      <c r="H562" s="2">
        <v>480</v>
      </c>
      <c r="I562" s="2">
        <v>0</v>
      </c>
      <c r="J562" s="2">
        <v>1920</v>
      </c>
      <c r="K562" s="2" t="s">
        <v>45</v>
      </c>
      <c r="L562" s="2" t="s">
        <v>883</v>
      </c>
      <c r="M562" s="2" t="s">
        <v>215</v>
      </c>
    </row>
    <row r="563" spans="1:13" x14ac:dyDescent="0.25">
      <c r="A563" s="2" t="s">
        <v>1319</v>
      </c>
      <c r="B563" s="2" t="s">
        <v>1212</v>
      </c>
      <c r="C563" s="2" t="s">
        <v>57</v>
      </c>
      <c r="D563" s="2" t="s">
        <v>58</v>
      </c>
      <c r="E563" s="2" t="s">
        <v>163</v>
      </c>
      <c r="F563" s="2" t="s">
        <v>18</v>
      </c>
      <c r="G563" s="2">
        <v>9</v>
      </c>
      <c r="H563" s="2">
        <v>8250</v>
      </c>
      <c r="I563" s="2">
        <v>10</v>
      </c>
      <c r="J563" s="2">
        <v>66825</v>
      </c>
      <c r="K563" s="2" t="s">
        <v>53</v>
      </c>
      <c r="L563" s="2" t="s">
        <v>95</v>
      </c>
      <c r="M563" s="2" t="s">
        <v>140</v>
      </c>
    </row>
    <row r="564" spans="1:13" x14ac:dyDescent="0.25">
      <c r="A564" s="2" t="s">
        <v>1320</v>
      </c>
      <c r="B564" s="2" t="s">
        <v>1321</v>
      </c>
      <c r="C564" s="2" t="s">
        <v>135</v>
      </c>
      <c r="D564" s="2" t="s">
        <v>58</v>
      </c>
      <c r="E564" s="2" t="s">
        <v>82</v>
      </c>
      <c r="F564" s="2" t="s">
        <v>167</v>
      </c>
      <c r="G564" s="2">
        <v>4</v>
      </c>
      <c r="H564" s="2">
        <v>3400</v>
      </c>
      <c r="I564" s="2">
        <v>15</v>
      </c>
      <c r="J564" s="2">
        <v>11560</v>
      </c>
      <c r="K564" s="2" t="s">
        <v>172</v>
      </c>
      <c r="L564" s="2" t="s">
        <v>271</v>
      </c>
      <c r="M564" s="2" t="s">
        <v>21</v>
      </c>
    </row>
    <row r="565" spans="1:13" x14ac:dyDescent="0.25">
      <c r="A565" s="2" t="s">
        <v>1322</v>
      </c>
      <c r="B565" s="2" t="s">
        <v>405</v>
      </c>
      <c r="C565" s="2" t="s">
        <v>76</v>
      </c>
      <c r="D565" s="2" t="s">
        <v>33</v>
      </c>
      <c r="E565" s="2" t="s">
        <v>148</v>
      </c>
      <c r="F565" s="2" t="s">
        <v>252</v>
      </c>
      <c r="G565" s="2">
        <v>4</v>
      </c>
      <c r="H565" s="2">
        <v>60100</v>
      </c>
      <c r="I565" s="2">
        <v>0</v>
      </c>
      <c r="J565" s="2">
        <v>240400</v>
      </c>
      <c r="K565" s="2" t="s">
        <v>139</v>
      </c>
      <c r="L565" s="2" t="s">
        <v>341</v>
      </c>
      <c r="M565" s="2" t="s">
        <v>21</v>
      </c>
    </row>
    <row r="566" spans="1:13" x14ac:dyDescent="0.25">
      <c r="A566" s="2" t="s">
        <v>1323</v>
      </c>
      <c r="B566" s="2" t="s">
        <v>1324</v>
      </c>
      <c r="C566" s="2" t="s">
        <v>91</v>
      </c>
      <c r="D566" s="2" t="s">
        <v>51</v>
      </c>
      <c r="E566" s="2" t="s">
        <v>52</v>
      </c>
      <c r="F566" s="2" t="s">
        <v>26</v>
      </c>
      <c r="G566" s="2">
        <v>1</v>
      </c>
      <c r="H566" s="2">
        <v>8260</v>
      </c>
      <c r="I566" s="2">
        <v>0</v>
      </c>
      <c r="J566" s="2">
        <v>8260</v>
      </c>
      <c r="K566" s="2" t="s">
        <v>67</v>
      </c>
      <c r="L566" s="2" t="s">
        <v>68</v>
      </c>
      <c r="M566" s="2" t="s">
        <v>47</v>
      </c>
    </row>
    <row r="567" spans="1:13" x14ac:dyDescent="0.25">
      <c r="A567" s="2" t="s">
        <v>1325</v>
      </c>
      <c r="B567" s="2" t="s">
        <v>1326</v>
      </c>
      <c r="C567" s="2" t="s">
        <v>32</v>
      </c>
      <c r="D567" s="2" t="s">
        <v>33</v>
      </c>
      <c r="E567" s="2" t="s">
        <v>34</v>
      </c>
      <c r="F567" s="2" t="s">
        <v>290</v>
      </c>
      <c r="G567" s="2">
        <v>4</v>
      </c>
      <c r="H567" s="2">
        <v>13040</v>
      </c>
      <c r="I567" s="2">
        <v>0</v>
      </c>
      <c r="J567" s="2"/>
      <c r="K567" s="2" t="s">
        <v>139</v>
      </c>
      <c r="L567" s="2" t="s">
        <v>611</v>
      </c>
      <c r="M567" s="2" t="s">
        <v>47</v>
      </c>
    </row>
    <row r="568" spans="1:13" x14ac:dyDescent="0.25">
      <c r="A568" s="2" t="s">
        <v>1327</v>
      </c>
      <c r="B568" s="2" t="s">
        <v>1328</v>
      </c>
      <c r="C568" s="2" t="s">
        <v>41</v>
      </c>
      <c r="D568" s="2" t="s">
        <v>42</v>
      </c>
      <c r="E568" s="2" t="s">
        <v>125</v>
      </c>
      <c r="F568" s="2" t="s">
        <v>296</v>
      </c>
      <c r="G568" s="2">
        <v>7</v>
      </c>
      <c r="H568" s="2">
        <v>25430</v>
      </c>
      <c r="I568" s="2">
        <v>10</v>
      </c>
      <c r="J568" s="2">
        <v>160209</v>
      </c>
      <c r="K568" s="2" t="s">
        <v>139</v>
      </c>
      <c r="L568" s="2" t="s">
        <v>341</v>
      </c>
      <c r="M568" s="2" t="s">
        <v>152</v>
      </c>
    </row>
    <row r="569" spans="1:13" x14ac:dyDescent="0.25">
      <c r="A569" s="2" t="s">
        <v>1329</v>
      </c>
      <c r="B569" s="2" t="s">
        <v>679</v>
      </c>
      <c r="C569" s="2" t="s">
        <v>15</v>
      </c>
      <c r="D569" s="2" t="s">
        <v>16</v>
      </c>
      <c r="E569" s="2" t="s">
        <v>195</v>
      </c>
      <c r="F569" s="2" t="s">
        <v>171</v>
      </c>
      <c r="G569" s="2">
        <v>7</v>
      </c>
      <c r="H569" s="2">
        <v>12120</v>
      </c>
      <c r="I569" s="2">
        <v>5</v>
      </c>
      <c r="J569" s="2">
        <v>80598</v>
      </c>
      <c r="K569" s="2" t="s">
        <v>144</v>
      </c>
      <c r="L569" s="2" t="s">
        <v>95</v>
      </c>
      <c r="M569" s="2" t="s">
        <v>21</v>
      </c>
    </row>
    <row r="570" spans="1:13" x14ac:dyDescent="0.25">
      <c r="A570" s="2" t="s">
        <v>1330</v>
      </c>
      <c r="B570" s="2" t="s">
        <v>735</v>
      </c>
      <c r="C570" s="2"/>
      <c r="D570" s="2" t="s">
        <v>16</v>
      </c>
      <c r="E570" s="2" t="s">
        <v>125</v>
      </c>
      <c r="F570" s="2" t="s">
        <v>314</v>
      </c>
      <c r="G570" s="2">
        <v>4</v>
      </c>
      <c r="H570" s="2">
        <v>3260</v>
      </c>
      <c r="I570" s="2">
        <v>15</v>
      </c>
      <c r="J570" s="2">
        <v>11084</v>
      </c>
      <c r="K570" s="2" t="s">
        <v>133</v>
      </c>
      <c r="L570" s="2" t="s">
        <v>188</v>
      </c>
      <c r="M570" s="2" t="s">
        <v>47</v>
      </c>
    </row>
    <row r="571" spans="1:13" x14ac:dyDescent="0.25">
      <c r="A571" s="2" t="s">
        <v>1331</v>
      </c>
      <c r="B571" s="2" t="s">
        <v>1332</v>
      </c>
      <c r="C571" s="2" t="s">
        <v>76</v>
      </c>
      <c r="D571" s="2" t="s">
        <v>33</v>
      </c>
      <c r="E571" s="2" t="s">
        <v>322</v>
      </c>
      <c r="F571" s="2" t="s">
        <v>180</v>
      </c>
      <c r="G571" s="2">
        <v>5</v>
      </c>
      <c r="H571" s="2">
        <v>3210</v>
      </c>
      <c r="I571" s="2">
        <v>0</v>
      </c>
      <c r="J571" s="2">
        <v>16050</v>
      </c>
      <c r="K571" s="2" t="s">
        <v>94</v>
      </c>
      <c r="L571" s="2" t="s">
        <v>249</v>
      </c>
      <c r="M571" s="2" t="s">
        <v>47</v>
      </c>
    </row>
    <row r="572" spans="1:13" x14ac:dyDescent="0.25">
      <c r="A572" s="2" t="s">
        <v>1333</v>
      </c>
      <c r="B572" s="2" t="s">
        <v>1334</v>
      </c>
      <c r="C572" s="2" t="s">
        <v>41</v>
      </c>
      <c r="D572" s="2" t="s">
        <v>42</v>
      </c>
      <c r="E572" s="2" t="s">
        <v>43</v>
      </c>
      <c r="F572" s="2" t="s">
        <v>248</v>
      </c>
      <c r="G572" s="2">
        <v>7</v>
      </c>
      <c r="H572" s="2">
        <v>13390</v>
      </c>
      <c r="I572" s="2">
        <v>5</v>
      </c>
      <c r="J572" s="2">
        <v>89043.5</v>
      </c>
      <c r="K572" s="2" t="s">
        <v>107</v>
      </c>
      <c r="L572" s="2" t="s">
        <v>375</v>
      </c>
      <c r="M572" s="2" t="s">
        <v>140</v>
      </c>
    </row>
    <row r="573" spans="1:13" x14ac:dyDescent="0.25">
      <c r="A573" s="2" t="s">
        <v>1335</v>
      </c>
      <c r="B573" s="2" t="s">
        <v>1336</v>
      </c>
      <c r="C573" s="2" t="s">
        <v>238</v>
      </c>
      <c r="D573" s="2"/>
      <c r="E573" s="2" t="s">
        <v>148</v>
      </c>
      <c r="F573" s="2" t="s">
        <v>167</v>
      </c>
      <c r="G573" s="2">
        <v>3</v>
      </c>
      <c r="H573" s="2">
        <v>5320</v>
      </c>
      <c r="I573" s="2">
        <v>0</v>
      </c>
      <c r="J573" s="2">
        <v>15960</v>
      </c>
      <c r="K573" s="2" t="s">
        <v>36</v>
      </c>
      <c r="L573" s="2" t="s">
        <v>88</v>
      </c>
      <c r="M573" s="2" t="s">
        <v>140</v>
      </c>
    </row>
    <row r="574" spans="1:13" x14ac:dyDescent="0.25">
      <c r="A574" s="2" t="s">
        <v>1337</v>
      </c>
      <c r="B574" s="2" t="s">
        <v>1338</v>
      </c>
      <c r="C574" s="2" t="s">
        <v>238</v>
      </c>
      <c r="D574" s="2" t="s">
        <v>51</v>
      </c>
      <c r="E574" s="2" t="s">
        <v>295</v>
      </c>
      <c r="F574" s="2" t="s">
        <v>126</v>
      </c>
      <c r="G574" s="2">
        <v>5</v>
      </c>
      <c r="H574" s="2">
        <v>23360</v>
      </c>
      <c r="I574" s="2">
        <v>0</v>
      </c>
      <c r="J574" s="2">
        <v>116800</v>
      </c>
      <c r="K574" s="2" t="s">
        <v>172</v>
      </c>
      <c r="L574" s="2" t="s">
        <v>121</v>
      </c>
      <c r="M574" s="2" t="s">
        <v>140</v>
      </c>
    </row>
    <row r="575" spans="1:13" x14ac:dyDescent="0.25">
      <c r="A575" s="2" t="s">
        <v>1339</v>
      </c>
      <c r="B575" s="2" t="s">
        <v>1340</v>
      </c>
      <c r="C575" s="2" t="s">
        <v>24</v>
      </c>
      <c r="D575" s="2" t="s">
        <v>16</v>
      </c>
      <c r="E575" s="2" t="s">
        <v>195</v>
      </c>
      <c r="F575" s="2" t="s">
        <v>171</v>
      </c>
      <c r="G575" s="2">
        <v>3</v>
      </c>
      <c r="H575" s="2">
        <v>2830</v>
      </c>
      <c r="I575" s="2">
        <v>0</v>
      </c>
      <c r="J575" s="2">
        <v>8490</v>
      </c>
      <c r="K575" s="2" t="s">
        <v>205</v>
      </c>
      <c r="L575" s="2" t="s">
        <v>95</v>
      </c>
      <c r="M575" s="2" t="s">
        <v>21</v>
      </c>
    </row>
    <row r="576" spans="1:13" x14ac:dyDescent="0.25">
      <c r="A576" s="2" t="s">
        <v>1341</v>
      </c>
      <c r="B576" s="2" t="s">
        <v>1342</v>
      </c>
      <c r="C576" s="2" t="s">
        <v>472</v>
      </c>
      <c r="D576" s="2" t="s">
        <v>16</v>
      </c>
      <c r="E576" s="2" t="s">
        <v>295</v>
      </c>
      <c r="F576" s="2" t="s">
        <v>126</v>
      </c>
      <c r="G576" s="2">
        <v>3</v>
      </c>
      <c r="H576" s="2">
        <v>1320</v>
      </c>
      <c r="I576" s="2">
        <v>0</v>
      </c>
      <c r="J576" s="2">
        <v>3960</v>
      </c>
      <c r="K576" s="2" t="s">
        <v>87</v>
      </c>
      <c r="L576" s="2" t="s">
        <v>266</v>
      </c>
      <c r="M576" s="2" t="s">
        <v>140</v>
      </c>
    </row>
    <row r="577" spans="1:13" x14ac:dyDescent="0.25">
      <c r="A577" s="2" t="s">
        <v>1343</v>
      </c>
      <c r="B577" s="2" t="s">
        <v>1344</v>
      </c>
      <c r="C577" s="2" t="s">
        <v>162</v>
      </c>
      <c r="D577" s="2" t="s">
        <v>33</v>
      </c>
      <c r="E577" s="2" t="s">
        <v>504</v>
      </c>
      <c r="F577" s="2" t="s">
        <v>83</v>
      </c>
      <c r="G577" s="2">
        <v>1</v>
      </c>
      <c r="H577" s="2">
        <v>10100</v>
      </c>
      <c r="I577" s="2">
        <v>10</v>
      </c>
      <c r="J577" s="2">
        <v>9090</v>
      </c>
      <c r="K577" s="2" t="s">
        <v>67</v>
      </c>
      <c r="L577" s="2" t="s">
        <v>344</v>
      </c>
      <c r="M577" s="2" t="s">
        <v>47</v>
      </c>
    </row>
    <row r="578" spans="1:13" x14ac:dyDescent="0.25">
      <c r="A578" s="2" t="s">
        <v>1345</v>
      </c>
      <c r="B578" s="2" t="s">
        <v>1026</v>
      </c>
      <c r="C578" s="2" t="s">
        <v>24</v>
      </c>
      <c r="D578" s="2" t="s">
        <v>16</v>
      </c>
      <c r="E578" s="2" t="s">
        <v>284</v>
      </c>
      <c r="F578" s="2" t="s">
        <v>167</v>
      </c>
      <c r="G578" s="2">
        <v>5</v>
      </c>
      <c r="H578" s="2">
        <v>1130</v>
      </c>
      <c r="I578" s="2">
        <v>0</v>
      </c>
      <c r="J578" s="2">
        <v>5650</v>
      </c>
      <c r="K578" s="2" t="s">
        <v>144</v>
      </c>
      <c r="L578" s="2" t="s">
        <v>491</v>
      </c>
      <c r="M578" s="2" t="s">
        <v>201</v>
      </c>
    </row>
    <row r="579" spans="1:13" x14ac:dyDescent="0.25">
      <c r="A579" s="2" t="s">
        <v>1346</v>
      </c>
      <c r="B579" s="2" t="s">
        <v>1347</v>
      </c>
      <c r="C579" s="2" t="s">
        <v>41</v>
      </c>
      <c r="D579" s="2" t="s">
        <v>42</v>
      </c>
      <c r="E579" s="2" t="s">
        <v>195</v>
      </c>
      <c r="F579" s="2" t="s">
        <v>164</v>
      </c>
      <c r="G579" s="2">
        <v>5</v>
      </c>
      <c r="H579" s="2">
        <v>2570</v>
      </c>
      <c r="I579" s="2" t="s">
        <v>136</v>
      </c>
      <c r="J579" s="2">
        <v>12850</v>
      </c>
      <c r="K579" s="2" t="s">
        <v>205</v>
      </c>
      <c r="L579" s="2" t="s">
        <v>138</v>
      </c>
      <c r="M579" s="2" t="s">
        <v>821</v>
      </c>
    </row>
    <row r="580" spans="1:13" x14ac:dyDescent="0.25">
      <c r="A580" s="2" t="s">
        <v>1348</v>
      </c>
      <c r="B580" s="2" t="s">
        <v>593</v>
      </c>
      <c r="C580" s="2" t="s">
        <v>198</v>
      </c>
      <c r="D580" s="2" t="s">
        <v>42</v>
      </c>
      <c r="E580" s="2" t="s">
        <v>77</v>
      </c>
      <c r="F580" s="2" t="s">
        <v>180</v>
      </c>
      <c r="G580" s="2">
        <v>9</v>
      </c>
      <c r="H580" s="2">
        <v>46240</v>
      </c>
      <c r="I580" s="2">
        <v>5</v>
      </c>
      <c r="J580" s="2">
        <v>395352</v>
      </c>
      <c r="K580" s="2" t="s">
        <v>127</v>
      </c>
      <c r="L580" s="2" t="s">
        <v>266</v>
      </c>
      <c r="M580" s="2" t="s">
        <v>425</v>
      </c>
    </row>
    <row r="581" spans="1:13" x14ac:dyDescent="0.25">
      <c r="A581" s="2" t="s">
        <v>1349</v>
      </c>
      <c r="B581" s="2" t="s">
        <v>1350</v>
      </c>
      <c r="C581" s="2" t="s">
        <v>469</v>
      </c>
      <c r="D581" s="2" t="s">
        <v>51</v>
      </c>
      <c r="E581" s="2" t="s">
        <v>59</v>
      </c>
      <c r="F581" s="2" t="s">
        <v>379</v>
      </c>
      <c r="G581" s="2">
        <v>5</v>
      </c>
      <c r="H581" s="2">
        <v>46340</v>
      </c>
      <c r="I581" s="2">
        <v>0</v>
      </c>
      <c r="J581" s="2">
        <v>231700</v>
      </c>
      <c r="K581" s="2" t="s">
        <v>27</v>
      </c>
      <c r="L581" s="2" t="s">
        <v>411</v>
      </c>
      <c r="M581" s="2" t="s">
        <v>47</v>
      </c>
    </row>
    <row r="582" spans="1:13" x14ac:dyDescent="0.25">
      <c r="A582" s="2" t="s">
        <v>1124</v>
      </c>
      <c r="B582" s="2" t="s">
        <v>1125</v>
      </c>
      <c r="C582" s="2" t="s">
        <v>135</v>
      </c>
      <c r="D582" s="2" t="s">
        <v>58</v>
      </c>
      <c r="E582" s="2" t="s">
        <v>138</v>
      </c>
      <c r="F582" s="2" t="s">
        <v>239</v>
      </c>
      <c r="G582" s="2">
        <v>11</v>
      </c>
      <c r="H582" s="2">
        <v>8250</v>
      </c>
      <c r="I582" s="2">
        <v>0</v>
      </c>
      <c r="J582" s="2">
        <v>90750</v>
      </c>
      <c r="K582" s="2" t="s">
        <v>27</v>
      </c>
      <c r="L582" s="2" t="s">
        <v>176</v>
      </c>
      <c r="M582" s="2" t="s">
        <v>47</v>
      </c>
    </row>
    <row r="583" spans="1:13" x14ac:dyDescent="0.25">
      <c r="A583" s="2" t="s">
        <v>1351</v>
      </c>
      <c r="B583" s="2" t="s">
        <v>1352</v>
      </c>
      <c r="C583" s="2" t="s">
        <v>135</v>
      </c>
      <c r="D583" s="2" t="s">
        <v>58</v>
      </c>
      <c r="E583" s="2" t="s">
        <v>137</v>
      </c>
      <c r="F583" s="2" t="s">
        <v>18</v>
      </c>
      <c r="G583" s="2">
        <v>4</v>
      </c>
      <c r="H583" s="2">
        <v>2550</v>
      </c>
      <c r="I583" s="2">
        <v>0</v>
      </c>
      <c r="J583" s="2">
        <v>10200</v>
      </c>
      <c r="K583" s="2" t="s">
        <v>133</v>
      </c>
      <c r="L583" s="2" t="s">
        <v>274</v>
      </c>
      <c r="M583" s="2" t="s">
        <v>140</v>
      </c>
    </row>
    <row r="584" spans="1:13" x14ac:dyDescent="0.25">
      <c r="A584" s="2" t="s">
        <v>1353</v>
      </c>
      <c r="B584" s="2" t="s">
        <v>1354</v>
      </c>
      <c r="C584" s="2" t="s">
        <v>41</v>
      </c>
      <c r="D584" s="2" t="s">
        <v>42</v>
      </c>
      <c r="E584" s="2" t="s">
        <v>65</v>
      </c>
      <c r="F584" s="2" t="s">
        <v>66</v>
      </c>
      <c r="G584" s="2">
        <v>3</v>
      </c>
      <c r="H584" s="2">
        <v>9590</v>
      </c>
      <c r="I584" s="2">
        <v>5</v>
      </c>
      <c r="J584" s="2">
        <v>27331.5</v>
      </c>
      <c r="K584" s="2" t="s">
        <v>120</v>
      </c>
      <c r="L584" s="2" t="s">
        <v>406</v>
      </c>
      <c r="M584" s="2" t="s">
        <v>821</v>
      </c>
    </row>
    <row r="585" spans="1:13" x14ac:dyDescent="0.25">
      <c r="A585" s="2" t="s">
        <v>1355</v>
      </c>
      <c r="B585" s="2" t="s">
        <v>1356</v>
      </c>
      <c r="C585" s="2" t="s">
        <v>15</v>
      </c>
      <c r="D585" s="2" t="s">
        <v>16</v>
      </c>
      <c r="E585" s="2" t="s">
        <v>148</v>
      </c>
      <c r="F585" s="2" t="s">
        <v>435</v>
      </c>
      <c r="G585" s="2">
        <v>2</v>
      </c>
      <c r="H585" s="2">
        <v>-530</v>
      </c>
      <c r="I585" s="2">
        <v>15</v>
      </c>
      <c r="J585" s="2">
        <v>901</v>
      </c>
      <c r="K585" s="2" t="s">
        <v>172</v>
      </c>
      <c r="L585" s="2" t="s">
        <v>136</v>
      </c>
      <c r="M585" s="2" t="s">
        <v>38</v>
      </c>
    </row>
    <row r="586" spans="1:13" x14ac:dyDescent="0.25">
      <c r="A586" s="2" t="s">
        <v>1357</v>
      </c>
      <c r="B586" s="2" t="s">
        <v>1358</v>
      </c>
      <c r="C586" s="2" t="s">
        <v>57</v>
      </c>
      <c r="D586" s="2" t="s">
        <v>58</v>
      </c>
      <c r="E586" s="2" t="s">
        <v>43</v>
      </c>
      <c r="F586" s="2" t="s">
        <v>115</v>
      </c>
      <c r="G586" s="2">
        <v>1</v>
      </c>
      <c r="H586" s="2"/>
      <c r="I586" s="2">
        <v>15</v>
      </c>
      <c r="J586" s="2">
        <v>17025.5</v>
      </c>
      <c r="K586" s="2" t="s">
        <v>87</v>
      </c>
      <c r="L586" s="2" t="s">
        <v>311</v>
      </c>
      <c r="M586" s="2" t="s">
        <v>29</v>
      </c>
    </row>
    <row r="587" spans="1:13" x14ac:dyDescent="0.25">
      <c r="A587" s="2" t="s">
        <v>1359</v>
      </c>
      <c r="B587" s="2" t="s">
        <v>321</v>
      </c>
      <c r="C587" s="2" t="s">
        <v>41</v>
      </c>
      <c r="D587" s="2" t="s">
        <v>42</v>
      </c>
      <c r="E587" s="2" t="s">
        <v>125</v>
      </c>
      <c r="F587" s="2" t="s">
        <v>126</v>
      </c>
      <c r="G587" s="2">
        <v>11</v>
      </c>
      <c r="H587" s="2">
        <v>5430</v>
      </c>
      <c r="I587" s="2">
        <v>5</v>
      </c>
      <c r="J587" s="2">
        <v>56743.5</v>
      </c>
      <c r="K587" s="2" t="s">
        <v>53</v>
      </c>
      <c r="L587" s="2" t="s">
        <v>121</v>
      </c>
      <c r="M587" s="2" t="s">
        <v>21</v>
      </c>
    </row>
    <row r="588" spans="1:13" x14ac:dyDescent="0.25">
      <c r="A588" s="2" t="s">
        <v>1360</v>
      </c>
      <c r="B588" s="2" t="s">
        <v>479</v>
      </c>
      <c r="C588" s="2" t="s">
        <v>472</v>
      </c>
      <c r="D588" s="2"/>
      <c r="E588" s="2" t="s">
        <v>125</v>
      </c>
      <c r="F588" s="2" t="s">
        <v>319</v>
      </c>
      <c r="G588" s="2">
        <v>8</v>
      </c>
      <c r="H588" s="2">
        <v>18130</v>
      </c>
      <c r="I588" s="2">
        <v>10</v>
      </c>
      <c r="J588" s="2">
        <v>130536</v>
      </c>
      <c r="K588" s="2" t="s">
        <v>36</v>
      </c>
      <c r="L588" s="2" t="s">
        <v>176</v>
      </c>
      <c r="M588" s="2" t="s">
        <v>128</v>
      </c>
    </row>
    <row r="589" spans="1:13" x14ac:dyDescent="0.25">
      <c r="A589" s="2" t="s">
        <v>1361</v>
      </c>
      <c r="B589" s="2" t="s">
        <v>1362</v>
      </c>
      <c r="C589" s="2" t="s">
        <v>213</v>
      </c>
      <c r="D589" s="2" t="s">
        <v>58</v>
      </c>
      <c r="E589" s="2" t="s">
        <v>136</v>
      </c>
      <c r="F589" s="2" t="s">
        <v>101</v>
      </c>
      <c r="G589" s="2">
        <v>2</v>
      </c>
      <c r="H589" s="2">
        <v>1090</v>
      </c>
      <c r="I589" s="2">
        <v>0</v>
      </c>
      <c r="J589" s="2">
        <v>2180</v>
      </c>
      <c r="K589" s="2" t="s">
        <v>87</v>
      </c>
      <c r="L589" s="2" t="s">
        <v>387</v>
      </c>
      <c r="M589" s="2" t="s">
        <v>29</v>
      </c>
    </row>
    <row r="590" spans="1:13" x14ac:dyDescent="0.25">
      <c r="A590" s="2" t="s">
        <v>1363</v>
      </c>
      <c r="B590" s="2" t="s">
        <v>1364</v>
      </c>
      <c r="C590" s="2" t="s">
        <v>598</v>
      </c>
      <c r="D590" s="2" t="s">
        <v>42</v>
      </c>
      <c r="E590" s="2" t="s">
        <v>504</v>
      </c>
      <c r="F590" s="2" t="s">
        <v>83</v>
      </c>
      <c r="G590" s="2">
        <v>2</v>
      </c>
      <c r="H590" s="2">
        <v>20650</v>
      </c>
      <c r="I590" s="2">
        <v>10</v>
      </c>
      <c r="J590" s="2">
        <v>37170</v>
      </c>
      <c r="K590" s="2" t="s">
        <v>36</v>
      </c>
      <c r="L590" s="2" t="s">
        <v>274</v>
      </c>
      <c r="M590" s="2" t="s">
        <v>47</v>
      </c>
    </row>
    <row r="591" spans="1:13" x14ac:dyDescent="0.25">
      <c r="A591" s="2" t="s">
        <v>1365</v>
      </c>
      <c r="B591" s="2" t="s">
        <v>1366</v>
      </c>
      <c r="C591" s="2" t="s">
        <v>156</v>
      </c>
      <c r="D591" s="2" t="s">
        <v>51</v>
      </c>
      <c r="E591" s="2" t="s">
        <v>284</v>
      </c>
      <c r="F591" s="2" t="s">
        <v>149</v>
      </c>
      <c r="G591" s="2">
        <v>8</v>
      </c>
      <c r="H591" s="2">
        <v>2800</v>
      </c>
      <c r="I591" s="2">
        <v>15</v>
      </c>
      <c r="J591" s="2">
        <v>19040</v>
      </c>
      <c r="K591" s="2" t="s">
        <v>19</v>
      </c>
      <c r="L591" s="2" t="s">
        <v>375</v>
      </c>
      <c r="M591" s="2" t="s">
        <v>38</v>
      </c>
    </row>
    <row r="592" spans="1:13" x14ac:dyDescent="0.25">
      <c r="A592" s="2" t="s">
        <v>1367</v>
      </c>
      <c r="B592" s="2" t="s">
        <v>1368</v>
      </c>
      <c r="C592" s="2" t="s">
        <v>76</v>
      </c>
      <c r="D592" s="2" t="s">
        <v>33</v>
      </c>
      <c r="E592" s="2" t="s">
        <v>43</v>
      </c>
      <c r="F592" s="2" t="s">
        <v>115</v>
      </c>
      <c r="G592" s="2">
        <v>11</v>
      </c>
      <c r="H592" s="2">
        <v>27570</v>
      </c>
      <c r="I592" s="2">
        <v>0</v>
      </c>
      <c r="J592" s="2" t="s">
        <v>107</v>
      </c>
      <c r="K592" s="2" t="s">
        <v>139</v>
      </c>
      <c r="L592" s="2" t="s">
        <v>188</v>
      </c>
      <c r="M592" s="2" t="s">
        <v>128</v>
      </c>
    </row>
    <row r="593" spans="1:13" x14ac:dyDescent="0.25">
      <c r="A593" s="2" t="s">
        <v>1369</v>
      </c>
      <c r="B593" s="2" t="s">
        <v>1370</v>
      </c>
      <c r="C593" s="2" t="s">
        <v>156</v>
      </c>
      <c r="D593" s="2" t="s">
        <v>51</v>
      </c>
      <c r="E593" s="2"/>
      <c r="F593" s="2" t="s">
        <v>126</v>
      </c>
      <c r="G593" s="2" t="s">
        <v>152</v>
      </c>
      <c r="H593" s="2">
        <v>1120</v>
      </c>
      <c r="I593" s="2">
        <v>15</v>
      </c>
      <c r="J593" s="2">
        <v>1904</v>
      </c>
      <c r="K593" s="2" t="s">
        <v>27</v>
      </c>
      <c r="L593" s="2" t="s">
        <v>411</v>
      </c>
      <c r="M593" s="2" t="s">
        <v>47</v>
      </c>
    </row>
    <row r="594" spans="1:13" x14ac:dyDescent="0.25">
      <c r="A594" s="2" t="s">
        <v>1371</v>
      </c>
      <c r="B594" s="2" t="s">
        <v>1372</v>
      </c>
      <c r="C594" s="2" t="s">
        <v>198</v>
      </c>
      <c r="D594" s="2" t="s">
        <v>42</v>
      </c>
      <c r="E594" s="2" t="s">
        <v>17</v>
      </c>
      <c r="F594" s="2" t="s">
        <v>71</v>
      </c>
      <c r="G594" s="2">
        <v>6</v>
      </c>
      <c r="H594" s="2">
        <v>520</v>
      </c>
      <c r="I594" s="2" t="s">
        <v>223</v>
      </c>
      <c r="J594" s="2">
        <v>3120</v>
      </c>
      <c r="K594" s="2" t="s">
        <v>223</v>
      </c>
      <c r="L594" s="2" t="s">
        <v>311</v>
      </c>
      <c r="M594" s="2" t="s">
        <v>29</v>
      </c>
    </row>
    <row r="595" spans="1:13" x14ac:dyDescent="0.25">
      <c r="A595" s="2" t="s">
        <v>1373</v>
      </c>
      <c r="B595" s="2" t="s">
        <v>1374</v>
      </c>
      <c r="C595" s="2" t="s">
        <v>204</v>
      </c>
      <c r="D595" s="2" t="s">
        <v>33</v>
      </c>
      <c r="E595" s="2" t="s">
        <v>223</v>
      </c>
      <c r="F595" s="2" t="s">
        <v>71</v>
      </c>
      <c r="G595" s="2">
        <v>4</v>
      </c>
      <c r="H595" s="2">
        <v>69830</v>
      </c>
      <c r="I595" s="2"/>
      <c r="J595" s="2">
        <v>279320</v>
      </c>
      <c r="K595" s="2" t="s">
        <v>45</v>
      </c>
      <c r="L595" s="2" t="s">
        <v>1375</v>
      </c>
      <c r="M595" s="2" t="s">
        <v>21</v>
      </c>
    </row>
    <row r="596" spans="1:13" x14ac:dyDescent="0.25">
      <c r="A596" s="2" t="s">
        <v>1376</v>
      </c>
      <c r="B596" s="2" t="s">
        <v>1377</v>
      </c>
      <c r="C596" s="2" t="s">
        <v>91</v>
      </c>
      <c r="D596" s="2" t="s">
        <v>51</v>
      </c>
      <c r="E596" s="2" t="s">
        <v>231</v>
      </c>
      <c r="F596" s="2" t="s">
        <v>239</v>
      </c>
      <c r="G596" s="2">
        <v>2</v>
      </c>
      <c r="H596" s="2">
        <v>11590</v>
      </c>
      <c r="I596" s="2">
        <v>0</v>
      </c>
      <c r="J596" s="2">
        <v>23180</v>
      </c>
      <c r="K596" s="2" t="s">
        <v>144</v>
      </c>
      <c r="L596" s="2" t="s">
        <v>168</v>
      </c>
      <c r="M596" s="2" t="s">
        <v>21</v>
      </c>
    </row>
    <row r="597" spans="1:13" x14ac:dyDescent="0.25">
      <c r="A597" s="2" t="s">
        <v>1378</v>
      </c>
      <c r="B597" s="2" t="s">
        <v>1379</v>
      </c>
      <c r="C597" s="2" t="s">
        <v>24</v>
      </c>
      <c r="D597" s="2" t="s">
        <v>107</v>
      </c>
      <c r="E597" s="2" t="s">
        <v>179</v>
      </c>
      <c r="F597" s="2" t="s">
        <v>543</v>
      </c>
      <c r="G597" s="2">
        <v>12</v>
      </c>
      <c r="H597" s="2">
        <v>470</v>
      </c>
      <c r="I597" s="2">
        <v>15</v>
      </c>
      <c r="J597" s="2">
        <v>4794</v>
      </c>
      <c r="K597" s="2" t="s">
        <v>53</v>
      </c>
      <c r="L597" s="2" t="s">
        <v>440</v>
      </c>
      <c r="M597" s="2" t="s">
        <v>128</v>
      </c>
    </row>
    <row r="598" spans="1:13" x14ac:dyDescent="0.25">
      <c r="A598" s="2" t="s">
        <v>1380</v>
      </c>
      <c r="B598" s="2" t="s">
        <v>1381</v>
      </c>
      <c r="C598" s="2" t="s">
        <v>238</v>
      </c>
      <c r="D598" s="2" t="s">
        <v>51</v>
      </c>
      <c r="E598" s="2" t="s">
        <v>111</v>
      </c>
      <c r="F598" s="2" t="s">
        <v>239</v>
      </c>
      <c r="G598" s="2">
        <v>9</v>
      </c>
      <c r="H598" s="2">
        <v>4790</v>
      </c>
      <c r="I598" s="2">
        <v>0</v>
      </c>
      <c r="J598" s="2">
        <v>43110</v>
      </c>
      <c r="K598" s="2" t="s">
        <v>53</v>
      </c>
      <c r="L598" s="2" t="s">
        <v>794</v>
      </c>
      <c r="M598" s="2" t="s">
        <v>21</v>
      </c>
    </row>
    <row r="599" spans="1:13" x14ac:dyDescent="0.25">
      <c r="A599" s="2" t="s">
        <v>1382</v>
      </c>
      <c r="B599" s="2" t="s">
        <v>1383</v>
      </c>
      <c r="C599" s="2" t="s">
        <v>156</v>
      </c>
      <c r="D599" s="2" t="s">
        <v>51</v>
      </c>
      <c r="E599" s="2" t="s">
        <v>43</v>
      </c>
      <c r="F599" s="2" t="s">
        <v>248</v>
      </c>
      <c r="G599" s="2">
        <v>7</v>
      </c>
      <c r="H599" s="2">
        <v>4660</v>
      </c>
      <c r="I599" s="2">
        <v>10</v>
      </c>
      <c r="J599" s="2">
        <v>29358</v>
      </c>
      <c r="K599" s="2" t="s">
        <v>19</v>
      </c>
      <c r="L599" s="2" t="s">
        <v>776</v>
      </c>
      <c r="M599" s="2" t="s">
        <v>128</v>
      </c>
    </row>
    <row r="600" spans="1:13" x14ac:dyDescent="0.25">
      <c r="A600" s="2" t="s">
        <v>1384</v>
      </c>
      <c r="B600" s="2" t="s">
        <v>1385</v>
      </c>
      <c r="C600" s="2" t="s">
        <v>91</v>
      </c>
      <c r="D600" s="2" t="s">
        <v>51</v>
      </c>
      <c r="E600" s="2" t="s">
        <v>231</v>
      </c>
      <c r="F600" s="2" t="s">
        <v>184</v>
      </c>
      <c r="G600" s="2">
        <v>10</v>
      </c>
      <c r="H600" s="2">
        <v>45210</v>
      </c>
      <c r="I600" s="2">
        <v>5</v>
      </c>
      <c r="J600" s="2">
        <v>429495</v>
      </c>
      <c r="K600" s="2" t="s">
        <v>157</v>
      </c>
      <c r="L600" s="2" t="s">
        <v>274</v>
      </c>
      <c r="M600" s="2" t="s">
        <v>21</v>
      </c>
    </row>
    <row r="601" spans="1:13" x14ac:dyDescent="0.25">
      <c r="A601" s="2" t="s">
        <v>1386</v>
      </c>
      <c r="B601" s="2" t="s">
        <v>1387</v>
      </c>
      <c r="C601" s="2" t="s">
        <v>238</v>
      </c>
      <c r="D601" s="2" t="s">
        <v>51</v>
      </c>
      <c r="E601" s="2" t="s">
        <v>119</v>
      </c>
      <c r="F601" s="2" t="s">
        <v>26</v>
      </c>
      <c r="G601" s="2">
        <v>11</v>
      </c>
      <c r="H601" s="2">
        <v>460</v>
      </c>
      <c r="I601" s="2">
        <v>15</v>
      </c>
      <c r="J601" s="2">
        <v>4301</v>
      </c>
      <c r="K601" s="2" t="s">
        <v>94</v>
      </c>
      <c r="L601" s="2" t="s">
        <v>136</v>
      </c>
      <c r="M601" s="2" t="s">
        <v>140</v>
      </c>
    </row>
    <row r="602" spans="1:13" x14ac:dyDescent="0.25">
      <c r="A602" s="2" t="s">
        <v>1388</v>
      </c>
      <c r="B602" s="2" t="s">
        <v>1389</v>
      </c>
      <c r="C602" s="2" t="s">
        <v>238</v>
      </c>
      <c r="D602" s="2" t="s">
        <v>51</v>
      </c>
      <c r="E602" s="2" t="s">
        <v>52</v>
      </c>
      <c r="F602" s="2" t="s">
        <v>93</v>
      </c>
      <c r="G602" s="2">
        <v>3</v>
      </c>
      <c r="H602" s="2">
        <v>61830</v>
      </c>
      <c r="I602" s="2">
        <v>0</v>
      </c>
      <c r="J602" s="2">
        <v>185490</v>
      </c>
      <c r="K602" s="2" t="s">
        <v>138</v>
      </c>
      <c r="L602" s="2" t="s">
        <v>883</v>
      </c>
      <c r="M602" s="2" t="s">
        <v>21</v>
      </c>
    </row>
    <row r="603" spans="1:13" x14ac:dyDescent="0.25">
      <c r="A603" s="2" t="s">
        <v>1390</v>
      </c>
      <c r="B603" s="2" t="s">
        <v>1391</v>
      </c>
      <c r="C603" s="2" t="s">
        <v>124</v>
      </c>
      <c r="D603" s="2" t="s">
        <v>51</v>
      </c>
      <c r="E603" s="2" t="s">
        <v>17</v>
      </c>
      <c r="F603" s="2" t="s">
        <v>71</v>
      </c>
      <c r="G603" s="2">
        <v>-1</v>
      </c>
      <c r="H603" s="2">
        <v>44570</v>
      </c>
      <c r="I603" s="2">
        <v>10</v>
      </c>
      <c r="J603" s="2">
        <v>160452</v>
      </c>
      <c r="K603" s="2" t="s">
        <v>94</v>
      </c>
      <c r="L603" s="2" t="s">
        <v>375</v>
      </c>
      <c r="M603" s="2" t="s">
        <v>138</v>
      </c>
    </row>
    <row r="604" spans="1:13" x14ac:dyDescent="0.25">
      <c r="A604" s="2" t="s">
        <v>1392</v>
      </c>
      <c r="B604" s="2" t="s">
        <v>1053</v>
      </c>
      <c r="C604" s="2" t="s">
        <v>32</v>
      </c>
      <c r="D604" s="2" t="s">
        <v>33</v>
      </c>
      <c r="E604" s="2" t="s">
        <v>284</v>
      </c>
      <c r="F604" s="2" t="s">
        <v>60</v>
      </c>
      <c r="G604" s="2">
        <v>12</v>
      </c>
      <c r="H604" s="2">
        <v>8490</v>
      </c>
      <c r="I604" s="2">
        <v>5</v>
      </c>
      <c r="J604" s="2">
        <v>96786</v>
      </c>
      <c r="K604" s="2" t="s">
        <v>87</v>
      </c>
      <c r="L604" s="2" t="s">
        <v>61</v>
      </c>
      <c r="M604" s="2" t="s">
        <v>501</v>
      </c>
    </row>
    <row r="605" spans="1:13" x14ac:dyDescent="0.25">
      <c r="A605" s="2" t="s">
        <v>1393</v>
      </c>
      <c r="B605" s="2" t="s">
        <v>1394</v>
      </c>
      <c r="C605" s="2" t="s">
        <v>227</v>
      </c>
      <c r="D605" s="2" t="s">
        <v>33</v>
      </c>
      <c r="E605" s="2" t="s">
        <v>231</v>
      </c>
      <c r="F605" s="2" t="s">
        <v>184</v>
      </c>
      <c r="G605" s="2">
        <v>10</v>
      </c>
      <c r="H605" s="2">
        <v>9920</v>
      </c>
      <c r="I605" s="2">
        <v>0</v>
      </c>
      <c r="J605" s="2">
        <v>99200</v>
      </c>
      <c r="K605" s="2" t="s">
        <v>144</v>
      </c>
      <c r="L605" s="2" t="s">
        <v>748</v>
      </c>
      <c r="M605" s="2" t="s">
        <v>38</v>
      </c>
    </row>
    <row r="606" spans="1:13" x14ac:dyDescent="0.25">
      <c r="A606" s="2" t="s">
        <v>1395</v>
      </c>
      <c r="B606" s="2" t="s">
        <v>1396</v>
      </c>
      <c r="C606" s="2" t="s">
        <v>64</v>
      </c>
      <c r="D606" s="2" t="s">
        <v>51</v>
      </c>
      <c r="E606" s="2" t="s">
        <v>105</v>
      </c>
      <c r="F606" s="2" t="s">
        <v>44</v>
      </c>
      <c r="G606" s="2">
        <v>9</v>
      </c>
      <c r="H606" s="2">
        <v>5070</v>
      </c>
      <c r="I606" s="2">
        <v>0</v>
      </c>
      <c r="J606" s="2">
        <v>45630</v>
      </c>
      <c r="K606" s="2" t="s">
        <v>133</v>
      </c>
      <c r="L606" s="2" t="s">
        <v>266</v>
      </c>
      <c r="M606" s="2" t="s">
        <v>128</v>
      </c>
    </row>
    <row r="607" spans="1:13" x14ac:dyDescent="0.25">
      <c r="A607" s="2" t="s">
        <v>1397</v>
      </c>
      <c r="B607" s="2" t="s">
        <v>1398</v>
      </c>
      <c r="C607" s="2" t="s">
        <v>64</v>
      </c>
      <c r="D607" s="2" t="s">
        <v>51</v>
      </c>
      <c r="E607" s="2" t="s">
        <v>148</v>
      </c>
      <c r="F607" s="2" t="s">
        <v>435</v>
      </c>
      <c r="G607" s="2">
        <v>12</v>
      </c>
      <c r="H607" s="2">
        <v>8500</v>
      </c>
      <c r="I607" s="2">
        <v>0</v>
      </c>
      <c r="J607" s="2">
        <v>102000</v>
      </c>
      <c r="K607" s="2" t="s">
        <v>72</v>
      </c>
      <c r="L607" s="2" t="s">
        <v>168</v>
      </c>
      <c r="M607" s="2" t="s">
        <v>152</v>
      </c>
    </row>
    <row r="608" spans="1:13" x14ac:dyDescent="0.25">
      <c r="A608" s="2" t="s">
        <v>1399</v>
      </c>
      <c r="B608" s="2" t="s">
        <v>1400</v>
      </c>
      <c r="C608" s="2" t="s">
        <v>32</v>
      </c>
      <c r="D608" s="2" t="s">
        <v>33</v>
      </c>
      <c r="E608" s="2" t="s">
        <v>52</v>
      </c>
      <c r="F608" s="2" t="s">
        <v>93</v>
      </c>
      <c r="G608" s="2">
        <v>7</v>
      </c>
      <c r="H608" s="2">
        <v>540</v>
      </c>
      <c r="I608" s="2">
        <v>0</v>
      </c>
      <c r="J608" s="2">
        <v>3780</v>
      </c>
      <c r="K608" s="2" t="s">
        <v>72</v>
      </c>
      <c r="L608" s="2" t="s">
        <v>214</v>
      </c>
      <c r="M608" s="2" t="s">
        <v>21</v>
      </c>
    </row>
    <row r="609" spans="1:13" x14ac:dyDescent="0.25">
      <c r="A609" s="2" t="s">
        <v>1401</v>
      </c>
      <c r="B609" s="2" t="s">
        <v>1402</v>
      </c>
      <c r="C609" s="2" t="s">
        <v>24</v>
      </c>
      <c r="D609" s="2" t="s">
        <v>16</v>
      </c>
      <c r="E609" s="2" t="s">
        <v>82</v>
      </c>
      <c r="F609" s="2" t="s">
        <v>167</v>
      </c>
      <c r="G609" s="2">
        <v>10</v>
      </c>
      <c r="H609" s="2">
        <v>3390</v>
      </c>
      <c r="I609" s="2">
        <v>15</v>
      </c>
      <c r="J609" s="2">
        <v>28815</v>
      </c>
      <c r="K609" s="2" t="s">
        <v>87</v>
      </c>
      <c r="L609" s="2" t="s">
        <v>611</v>
      </c>
      <c r="M609" s="2" t="s">
        <v>128</v>
      </c>
    </row>
    <row r="610" spans="1:13" x14ac:dyDescent="0.25">
      <c r="A610" s="2" t="s">
        <v>1403</v>
      </c>
      <c r="B610" s="2" t="s">
        <v>1404</v>
      </c>
      <c r="C610" s="2" t="s">
        <v>24</v>
      </c>
      <c r="D610" s="2" t="s">
        <v>16</v>
      </c>
      <c r="E610" s="2" t="s">
        <v>179</v>
      </c>
      <c r="F610" s="2" t="s">
        <v>180</v>
      </c>
      <c r="G610" s="2">
        <v>2</v>
      </c>
      <c r="H610" s="2">
        <v>20520</v>
      </c>
      <c r="I610" s="2">
        <v>0</v>
      </c>
      <c r="J610" s="2">
        <v>41040</v>
      </c>
      <c r="K610" s="2" t="s">
        <v>139</v>
      </c>
      <c r="L610" s="2" t="s">
        <v>344</v>
      </c>
      <c r="M610" s="2" t="s">
        <v>47</v>
      </c>
    </row>
    <row r="611" spans="1:13" x14ac:dyDescent="0.25">
      <c r="A611" s="2" t="s">
        <v>1405</v>
      </c>
      <c r="B611" s="2" t="s">
        <v>1406</v>
      </c>
      <c r="C611" s="2" t="s">
        <v>76</v>
      </c>
      <c r="D611" s="2" t="s">
        <v>33</v>
      </c>
      <c r="E611" s="2" t="s">
        <v>119</v>
      </c>
      <c r="F611" s="2" t="s">
        <v>248</v>
      </c>
      <c r="G611" s="2">
        <v>8</v>
      </c>
      <c r="H611" s="2">
        <v>3370</v>
      </c>
      <c r="I611" s="2">
        <v>0</v>
      </c>
      <c r="J611" s="2">
        <v>26960</v>
      </c>
      <c r="K611" s="2" t="s">
        <v>19</v>
      </c>
      <c r="L611" s="2" t="s">
        <v>903</v>
      </c>
      <c r="M611" s="2" t="s">
        <v>821</v>
      </c>
    </row>
    <row r="612" spans="1:13" x14ac:dyDescent="0.25">
      <c r="A612" s="2" t="s">
        <v>1407</v>
      </c>
      <c r="B612" s="2" t="s">
        <v>841</v>
      </c>
      <c r="C612" s="2" t="s">
        <v>110</v>
      </c>
      <c r="D612" s="2" t="s">
        <v>33</v>
      </c>
      <c r="E612" s="2" t="s">
        <v>111</v>
      </c>
      <c r="F612" s="2" t="s">
        <v>543</v>
      </c>
      <c r="G612" s="2">
        <v>4</v>
      </c>
      <c r="H612" s="2">
        <v>18400</v>
      </c>
      <c r="I612" s="2">
        <v>0</v>
      </c>
      <c r="J612" s="2">
        <v>73600</v>
      </c>
      <c r="K612" s="2" t="s">
        <v>139</v>
      </c>
      <c r="L612" s="2" t="s">
        <v>720</v>
      </c>
      <c r="M612" s="2"/>
    </row>
    <row r="613" spans="1:13" x14ac:dyDescent="0.25">
      <c r="A613" s="2" t="s">
        <v>1408</v>
      </c>
      <c r="B613" s="2" t="s">
        <v>413</v>
      </c>
      <c r="C613" s="2" t="s">
        <v>156</v>
      </c>
      <c r="D613" s="2" t="s">
        <v>51</v>
      </c>
      <c r="E613" s="2" t="s">
        <v>137</v>
      </c>
      <c r="F613" s="2" t="s">
        <v>35</v>
      </c>
      <c r="G613" s="2">
        <v>2</v>
      </c>
      <c r="H613" s="2">
        <v>44850</v>
      </c>
      <c r="I613" s="2">
        <v>0</v>
      </c>
      <c r="J613" s="2">
        <v>89700</v>
      </c>
      <c r="K613" s="2" t="s">
        <v>67</v>
      </c>
      <c r="L613" s="2" t="s">
        <v>344</v>
      </c>
      <c r="M613" s="2" t="s">
        <v>21</v>
      </c>
    </row>
    <row r="614" spans="1:13" x14ac:dyDescent="0.25">
      <c r="A614" s="2" t="s">
        <v>1409</v>
      </c>
      <c r="B614" s="2" t="s">
        <v>1410</v>
      </c>
      <c r="C614" s="2" t="s">
        <v>57</v>
      </c>
      <c r="D614" s="2" t="s">
        <v>58</v>
      </c>
      <c r="E614" s="2" t="s">
        <v>504</v>
      </c>
      <c r="F614" s="2" t="s">
        <v>379</v>
      </c>
      <c r="G614" s="2">
        <v>1</v>
      </c>
      <c r="H614" s="2">
        <v>8370</v>
      </c>
      <c r="I614" s="2">
        <v>10</v>
      </c>
      <c r="J614" s="2">
        <v>7533</v>
      </c>
      <c r="K614" s="2" t="s">
        <v>127</v>
      </c>
      <c r="L614" s="2" t="s">
        <v>168</v>
      </c>
      <c r="M614" s="2" t="s">
        <v>21</v>
      </c>
    </row>
    <row r="615" spans="1:13" x14ac:dyDescent="0.25">
      <c r="A615" s="2" t="s">
        <v>1411</v>
      </c>
      <c r="B615" s="2" t="s">
        <v>1412</v>
      </c>
      <c r="C615" s="2" t="s">
        <v>490</v>
      </c>
      <c r="D615" s="2" t="s">
        <v>33</v>
      </c>
      <c r="E615" s="2" t="s">
        <v>295</v>
      </c>
      <c r="F615" s="2" t="s">
        <v>296</v>
      </c>
      <c r="G615" s="2">
        <v>2</v>
      </c>
      <c r="H615" s="2">
        <v>530</v>
      </c>
      <c r="I615" s="2">
        <v>0</v>
      </c>
      <c r="J615" s="2">
        <v>1060</v>
      </c>
      <c r="K615" s="2" t="s">
        <v>27</v>
      </c>
      <c r="L615" s="2" t="s">
        <v>46</v>
      </c>
      <c r="M615" s="2" t="s">
        <v>501</v>
      </c>
    </row>
    <row r="616" spans="1:13" x14ac:dyDescent="0.25">
      <c r="A616" s="2" t="s">
        <v>1413</v>
      </c>
      <c r="B616" s="2" t="s">
        <v>1414</v>
      </c>
      <c r="C616" s="2" t="s">
        <v>452</v>
      </c>
      <c r="D616" s="2" t="s">
        <v>51</v>
      </c>
      <c r="E616" s="2" t="s">
        <v>504</v>
      </c>
      <c r="F616" s="2" t="s">
        <v>435</v>
      </c>
      <c r="G616" s="2">
        <v>1</v>
      </c>
      <c r="H616" s="2">
        <v>18180</v>
      </c>
      <c r="I616" s="2">
        <v>15</v>
      </c>
      <c r="J616" s="2">
        <v>15453</v>
      </c>
      <c r="K616" s="2" t="s">
        <v>120</v>
      </c>
      <c r="L616" s="2" t="s">
        <v>28</v>
      </c>
      <c r="M616" s="2" t="s">
        <v>47</v>
      </c>
    </row>
    <row r="617" spans="1:13" x14ac:dyDescent="0.25">
      <c r="A617" s="2" t="s">
        <v>1415</v>
      </c>
      <c r="B617" s="2" t="s">
        <v>1416</v>
      </c>
      <c r="C617" s="2" t="s">
        <v>32</v>
      </c>
      <c r="D617" s="2" t="s">
        <v>33</v>
      </c>
      <c r="E617" s="2" t="s">
        <v>295</v>
      </c>
      <c r="F617" s="2" t="s">
        <v>66</v>
      </c>
      <c r="G617" s="2">
        <v>3</v>
      </c>
      <c r="H617" s="2">
        <v>1170</v>
      </c>
      <c r="I617" s="2" t="s">
        <v>138</v>
      </c>
      <c r="J617" s="2">
        <v>3510</v>
      </c>
      <c r="K617" s="2" t="s">
        <v>157</v>
      </c>
      <c r="L617" s="2" t="s">
        <v>121</v>
      </c>
      <c r="M617" s="2" t="s">
        <v>291</v>
      </c>
    </row>
    <row r="618" spans="1:13" x14ac:dyDescent="0.25">
      <c r="A618" s="2" t="s">
        <v>1417</v>
      </c>
      <c r="B618" s="2" t="s">
        <v>1418</v>
      </c>
      <c r="C618" s="2" t="s">
        <v>91</v>
      </c>
      <c r="D618" s="2" t="s">
        <v>51</v>
      </c>
      <c r="E618" s="2" t="s">
        <v>77</v>
      </c>
      <c r="F618" s="2" t="s">
        <v>180</v>
      </c>
      <c r="G618" s="2">
        <v>1</v>
      </c>
      <c r="H618" s="2">
        <v>20080</v>
      </c>
      <c r="I618" s="2">
        <v>0</v>
      </c>
      <c r="J618" s="2">
        <v>20080</v>
      </c>
      <c r="K618" s="2" t="s">
        <v>152</v>
      </c>
      <c r="L618" s="2" t="s">
        <v>79</v>
      </c>
      <c r="M618" s="2" t="s">
        <v>128</v>
      </c>
    </row>
    <row r="619" spans="1:13" x14ac:dyDescent="0.25">
      <c r="A619" s="2" t="s">
        <v>1419</v>
      </c>
      <c r="B619" s="2" t="s">
        <v>498</v>
      </c>
      <c r="C619" s="2" t="s">
        <v>227</v>
      </c>
      <c r="D619" s="2" t="s">
        <v>33</v>
      </c>
      <c r="E619" s="2" t="s">
        <v>52</v>
      </c>
      <c r="F619" s="2" t="s">
        <v>44</v>
      </c>
      <c r="G619" s="2">
        <v>10</v>
      </c>
      <c r="H619" s="2">
        <v>1180</v>
      </c>
      <c r="I619" s="2">
        <v>0</v>
      </c>
      <c r="J619" s="2">
        <v>11800</v>
      </c>
      <c r="K619" s="2" t="s">
        <v>127</v>
      </c>
      <c r="L619" s="2" t="s">
        <v>61</v>
      </c>
      <c r="M619" s="2" t="s">
        <v>128</v>
      </c>
    </row>
    <row r="620" spans="1:13" x14ac:dyDescent="0.25">
      <c r="A620" s="2" t="s">
        <v>1148</v>
      </c>
      <c r="B620" s="2" t="s">
        <v>882</v>
      </c>
      <c r="C620" s="2" t="s">
        <v>124</v>
      </c>
      <c r="D620" s="2" t="s">
        <v>51</v>
      </c>
      <c r="E620" s="2" t="s">
        <v>231</v>
      </c>
      <c r="F620" s="2" t="s">
        <v>78</v>
      </c>
      <c r="G620" s="2">
        <v>5</v>
      </c>
      <c r="H620" s="2">
        <v>72610</v>
      </c>
      <c r="I620" s="2">
        <v>0</v>
      </c>
      <c r="J620" s="2">
        <v>363050</v>
      </c>
      <c r="K620" s="2" t="s">
        <v>19</v>
      </c>
      <c r="L620" s="2" t="s">
        <v>168</v>
      </c>
      <c r="M620" s="2" t="s">
        <v>821</v>
      </c>
    </row>
    <row r="621" spans="1:13" x14ac:dyDescent="0.25">
      <c r="A621" s="2" t="s">
        <v>1420</v>
      </c>
      <c r="B621" s="2" t="s">
        <v>919</v>
      </c>
      <c r="C621" s="2" t="s">
        <v>57</v>
      </c>
      <c r="D621" s="2" t="s">
        <v>58</v>
      </c>
      <c r="E621" s="2" t="s">
        <v>34</v>
      </c>
      <c r="F621" s="2" t="s">
        <v>164</v>
      </c>
      <c r="G621" s="2">
        <v>8</v>
      </c>
      <c r="H621" s="2">
        <v>74490</v>
      </c>
      <c r="I621" s="2">
        <v>0</v>
      </c>
      <c r="J621" s="2">
        <v>595920</v>
      </c>
      <c r="K621" s="2" t="s">
        <v>72</v>
      </c>
      <c r="L621" s="2" t="s">
        <v>411</v>
      </c>
      <c r="M621" s="2" t="s">
        <v>47</v>
      </c>
    </row>
    <row r="622" spans="1:13" x14ac:dyDescent="0.25">
      <c r="A622" s="2" t="s">
        <v>1421</v>
      </c>
      <c r="B622" s="2" t="s">
        <v>464</v>
      </c>
      <c r="C622" s="2" t="s">
        <v>135</v>
      </c>
      <c r="D622" s="2" t="s">
        <v>58</v>
      </c>
      <c r="E622" s="2" t="s">
        <v>152</v>
      </c>
      <c r="F622" s="2" t="s">
        <v>106</v>
      </c>
      <c r="G622" s="2">
        <v>6</v>
      </c>
      <c r="H622" s="2">
        <v>46630</v>
      </c>
      <c r="I622" s="2">
        <v>5</v>
      </c>
      <c r="J622" s="2">
        <v>265791</v>
      </c>
      <c r="K622" s="2" t="s">
        <v>27</v>
      </c>
      <c r="L622" s="2" t="s">
        <v>758</v>
      </c>
      <c r="M622" s="2" t="s">
        <v>47</v>
      </c>
    </row>
    <row r="623" spans="1:13" x14ac:dyDescent="0.25">
      <c r="A623" s="2" t="s">
        <v>1422</v>
      </c>
      <c r="B623" s="2" t="s">
        <v>1423</v>
      </c>
      <c r="C623" s="2" t="s">
        <v>32</v>
      </c>
      <c r="D623" s="2" t="s">
        <v>33</v>
      </c>
      <c r="E623" s="2" t="s">
        <v>82</v>
      </c>
      <c r="F623" s="2" t="s">
        <v>252</v>
      </c>
      <c r="G623" s="2">
        <v>11</v>
      </c>
      <c r="H623" s="2">
        <v>8600</v>
      </c>
      <c r="I623" s="2">
        <v>0</v>
      </c>
      <c r="J623" s="2">
        <v>94600</v>
      </c>
      <c r="K623" s="2" t="s">
        <v>36</v>
      </c>
      <c r="L623" s="2" t="s">
        <v>411</v>
      </c>
      <c r="M623" s="2" t="s">
        <v>47</v>
      </c>
    </row>
    <row r="624" spans="1:13" x14ac:dyDescent="0.25">
      <c r="A624" s="2" t="s">
        <v>1424</v>
      </c>
      <c r="B624" s="2" t="s">
        <v>1425</v>
      </c>
      <c r="C624" s="2" t="s">
        <v>531</v>
      </c>
      <c r="D624" s="2" t="s">
        <v>33</v>
      </c>
      <c r="E624" s="2" t="s">
        <v>43</v>
      </c>
      <c r="F624" s="2" t="s">
        <v>26</v>
      </c>
      <c r="G624" s="2">
        <v>3</v>
      </c>
      <c r="H624" s="2">
        <v>1120</v>
      </c>
      <c r="I624" s="2">
        <v>0</v>
      </c>
      <c r="J624" s="2">
        <v>3360</v>
      </c>
      <c r="K624" s="2" t="s">
        <v>45</v>
      </c>
      <c r="L624" s="2" t="s">
        <v>611</v>
      </c>
      <c r="M624" s="2" t="s">
        <v>21</v>
      </c>
    </row>
    <row r="625" spans="1:13" x14ac:dyDescent="0.25">
      <c r="A625" s="2" t="s">
        <v>1426</v>
      </c>
      <c r="B625" s="2" t="s">
        <v>1427</v>
      </c>
      <c r="C625" s="2" t="s">
        <v>198</v>
      </c>
      <c r="D625" s="2"/>
      <c r="E625" s="2" t="s">
        <v>25</v>
      </c>
      <c r="F625" s="2" t="s">
        <v>26</v>
      </c>
      <c r="G625" s="2" t="s">
        <v>152</v>
      </c>
      <c r="H625" s="2">
        <v>2430</v>
      </c>
      <c r="I625" s="2">
        <v>0</v>
      </c>
      <c r="J625" s="2">
        <v>4860</v>
      </c>
      <c r="K625" s="2" t="s">
        <v>172</v>
      </c>
      <c r="L625" s="2" t="s">
        <v>387</v>
      </c>
      <c r="M625" s="2" t="s">
        <v>821</v>
      </c>
    </row>
    <row r="626" spans="1:13" x14ac:dyDescent="0.25">
      <c r="A626" s="2" t="s">
        <v>1428</v>
      </c>
      <c r="B626" s="2" t="s">
        <v>1429</v>
      </c>
      <c r="C626" s="2" t="s">
        <v>41</v>
      </c>
      <c r="D626" s="2" t="s">
        <v>42</v>
      </c>
      <c r="E626" s="2" t="s">
        <v>137</v>
      </c>
      <c r="F626" s="2" t="s">
        <v>18</v>
      </c>
      <c r="G626" s="2">
        <v>2</v>
      </c>
      <c r="H626" s="2">
        <v>560</v>
      </c>
      <c r="I626" s="2">
        <v>0</v>
      </c>
      <c r="J626" s="2">
        <v>1120</v>
      </c>
      <c r="K626" s="2" t="s">
        <v>87</v>
      </c>
      <c r="L626" s="2" t="s">
        <v>176</v>
      </c>
      <c r="M626" s="2" t="s">
        <v>821</v>
      </c>
    </row>
    <row r="627" spans="1:13" x14ac:dyDescent="0.25">
      <c r="A627" s="2" t="s">
        <v>1430</v>
      </c>
      <c r="B627" s="2" t="s">
        <v>1431</v>
      </c>
      <c r="C627" s="2" t="s">
        <v>41</v>
      </c>
      <c r="D627" s="2" t="s">
        <v>42</v>
      </c>
      <c r="E627" s="2" t="s">
        <v>65</v>
      </c>
      <c r="F627" s="2" t="s">
        <v>66</v>
      </c>
      <c r="G627" s="2">
        <v>9</v>
      </c>
      <c r="H627" s="2">
        <v>62700</v>
      </c>
      <c r="I627" s="2">
        <v>0</v>
      </c>
      <c r="J627" s="2">
        <v>564300</v>
      </c>
      <c r="K627" s="2" t="s">
        <v>144</v>
      </c>
      <c r="L627" s="2" t="s">
        <v>206</v>
      </c>
      <c r="M627" s="2" t="s">
        <v>140</v>
      </c>
    </row>
    <row r="628" spans="1:13" x14ac:dyDescent="0.25">
      <c r="A628" s="2" t="s">
        <v>1432</v>
      </c>
      <c r="B628" s="2" t="s">
        <v>1433</v>
      </c>
      <c r="C628" s="2" t="s">
        <v>15</v>
      </c>
      <c r="D628" s="2" t="s">
        <v>16</v>
      </c>
      <c r="E628" s="2" t="s">
        <v>195</v>
      </c>
      <c r="F628" s="2" t="s">
        <v>35</v>
      </c>
      <c r="G628" s="2">
        <v>9</v>
      </c>
      <c r="H628" s="2">
        <v>4950</v>
      </c>
      <c r="I628" s="2">
        <v>0</v>
      </c>
      <c r="J628" s="2">
        <v>44550</v>
      </c>
      <c r="K628" s="2" t="s">
        <v>27</v>
      </c>
      <c r="L628" s="2" t="s">
        <v>339</v>
      </c>
      <c r="M628" s="2" t="s">
        <v>29</v>
      </c>
    </row>
    <row r="629" spans="1:13" x14ac:dyDescent="0.25">
      <c r="A629" s="2" t="s">
        <v>1434</v>
      </c>
      <c r="B629" s="2" t="s">
        <v>1435</v>
      </c>
      <c r="C629" s="2" t="s">
        <v>91</v>
      </c>
      <c r="D629" s="2" t="s">
        <v>51</v>
      </c>
      <c r="E629" s="2" t="s">
        <v>163</v>
      </c>
      <c r="F629" s="2" t="s">
        <v>374</v>
      </c>
      <c r="G629" s="2">
        <v>11</v>
      </c>
      <c r="H629" s="2">
        <v>16670</v>
      </c>
      <c r="I629" s="2">
        <v>0</v>
      </c>
      <c r="J629" s="2">
        <v>183370</v>
      </c>
      <c r="K629" s="2" t="s">
        <v>94</v>
      </c>
      <c r="L629" s="2" t="s">
        <v>428</v>
      </c>
      <c r="M629" s="2" t="s">
        <v>821</v>
      </c>
    </row>
    <row r="630" spans="1:13" x14ac:dyDescent="0.25">
      <c r="A630" s="2" t="s">
        <v>1436</v>
      </c>
      <c r="B630" s="2" t="s">
        <v>1437</v>
      </c>
      <c r="C630" s="2" t="s">
        <v>32</v>
      </c>
      <c r="D630" s="2" t="s">
        <v>33</v>
      </c>
      <c r="E630" s="2" t="s">
        <v>59</v>
      </c>
      <c r="F630" s="2" t="s">
        <v>435</v>
      </c>
      <c r="G630" s="2">
        <v>4</v>
      </c>
      <c r="H630" s="2">
        <v>3180</v>
      </c>
      <c r="I630" s="2">
        <v>0</v>
      </c>
      <c r="J630" s="2">
        <v>12720</v>
      </c>
      <c r="K630" s="2"/>
      <c r="L630" s="2" t="s">
        <v>266</v>
      </c>
      <c r="M630" s="2" t="s">
        <v>38</v>
      </c>
    </row>
    <row r="631" spans="1:13" x14ac:dyDescent="0.25">
      <c r="A631" s="2" t="s">
        <v>1438</v>
      </c>
      <c r="B631" s="2" t="s">
        <v>1439</v>
      </c>
      <c r="C631" s="2" t="s">
        <v>331</v>
      </c>
      <c r="D631" s="2" t="s">
        <v>58</v>
      </c>
      <c r="E631" s="2" t="s">
        <v>34</v>
      </c>
      <c r="F631" s="2" t="s">
        <v>71</v>
      </c>
      <c r="G631" s="2">
        <v>5</v>
      </c>
      <c r="H631" s="2">
        <v>12480</v>
      </c>
      <c r="I631" s="2">
        <v>5</v>
      </c>
      <c r="J631" s="2">
        <v>59280</v>
      </c>
      <c r="K631" s="2" t="s">
        <v>102</v>
      </c>
      <c r="L631" s="2" t="s">
        <v>341</v>
      </c>
      <c r="M631" s="2" t="s">
        <v>38</v>
      </c>
    </row>
    <row r="632" spans="1:13" x14ac:dyDescent="0.25">
      <c r="A632" s="2" t="s">
        <v>1440</v>
      </c>
      <c r="B632" s="2" t="s">
        <v>1441</v>
      </c>
      <c r="C632" s="2" t="s">
        <v>472</v>
      </c>
      <c r="D632" s="2" t="s">
        <v>16</v>
      </c>
      <c r="E632" s="2" t="s">
        <v>82</v>
      </c>
      <c r="F632" s="2" t="s">
        <v>60</v>
      </c>
      <c r="G632" s="2">
        <v>4</v>
      </c>
      <c r="H632" s="2">
        <v>5200</v>
      </c>
      <c r="I632" s="2">
        <v>10</v>
      </c>
      <c r="J632" s="2">
        <v>18720</v>
      </c>
      <c r="K632" s="2" t="s">
        <v>19</v>
      </c>
      <c r="L632" s="2" t="s">
        <v>46</v>
      </c>
      <c r="M632" s="2" t="s">
        <v>21</v>
      </c>
    </row>
    <row r="633" spans="1:13" x14ac:dyDescent="0.25">
      <c r="A633" s="2" t="s">
        <v>1442</v>
      </c>
      <c r="B633" s="2" t="s">
        <v>1247</v>
      </c>
      <c r="C633" s="2" t="s">
        <v>472</v>
      </c>
      <c r="D633" s="2" t="s">
        <v>16</v>
      </c>
      <c r="E633" s="2" t="s">
        <v>504</v>
      </c>
      <c r="F633" s="2" t="s">
        <v>60</v>
      </c>
      <c r="G633" s="2">
        <v>11</v>
      </c>
      <c r="H633" s="2" t="s">
        <v>138</v>
      </c>
      <c r="I633" s="2">
        <v>0</v>
      </c>
      <c r="J633" s="2">
        <v>5940</v>
      </c>
      <c r="K633" s="2" t="s">
        <v>127</v>
      </c>
      <c r="L633" s="2" t="s">
        <v>440</v>
      </c>
      <c r="M633" s="2" t="s">
        <v>29</v>
      </c>
    </row>
    <row r="634" spans="1:13" x14ac:dyDescent="0.25">
      <c r="A634" s="2" t="s">
        <v>407</v>
      </c>
      <c r="B634" s="2" t="s">
        <v>408</v>
      </c>
      <c r="C634" s="2" t="s">
        <v>76</v>
      </c>
      <c r="D634" s="2" t="s">
        <v>33</v>
      </c>
      <c r="E634" s="2" t="s">
        <v>34</v>
      </c>
      <c r="F634" s="2" t="s">
        <v>71</v>
      </c>
      <c r="G634" s="2" t="s">
        <v>152</v>
      </c>
      <c r="H634" s="2">
        <v>2630</v>
      </c>
      <c r="I634" s="2"/>
      <c r="J634" s="2">
        <v>28930</v>
      </c>
      <c r="K634" s="2" t="s">
        <v>139</v>
      </c>
      <c r="L634" s="2" t="s">
        <v>79</v>
      </c>
      <c r="M634" s="2" t="s">
        <v>21</v>
      </c>
    </row>
    <row r="635" spans="1:13" x14ac:dyDescent="0.25">
      <c r="A635" s="2" t="s">
        <v>1443</v>
      </c>
      <c r="B635" s="2" t="s">
        <v>1444</v>
      </c>
      <c r="C635" s="2" t="s">
        <v>24</v>
      </c>
      <c r="D635" s="2" t="s">
        <v>16</v>
      </c>
      <c r="E635" s="2" t="s">
        <v>100</v>
      </c>
      <c r="F635" s="2" t="s">
        <v>126</v>
      </c>
      <c r="G635" s="2">
        <v>7</v>
      </c>
      <c r="H635" s="2">
        <v>8810</v>
      </c>
      <c r="I635" s="2">
        <v>0</v>
      </c>
      <c r="J635" s="2">
        <v>61670</v>
      </c>
      <c r="K635" s="2" t="s">
        <v>102</v>
      </c>
      <c r="L635" s="2" t="s">
        <v>228</v>
      </c>
      <c r="M635" s="2" t="s">
        <v>38</v>
      </c>
    </row>
    <row r="636" spans="1:13" x14ac:dyDescent="0.25">
      <c r="A636" s="2" t="s">
        <v>1445</v>
      </c>
      <c r="B636" s="2" t="s">
        <v>915</v>
      </c>
      <c r="C636" s="2" t="s">
        <v>135</v>
      </c>
      <c r="D636" s="2" t="s">
        <v>138</v>
      </c>
      <c r="E636" s="2" t="s">
        <v>163</v>
      </c>
      <c r="F636" s="2" t="s">
        <v>164</v>
      </c>
      <c r="G636" s="2">
        <v>5</v>
      </c>
      <c r="H636" s="2">
        <v>74220</v>
      </c>
      <c r="I636" s="2">
        <v>0</v>
      </c>
      <c r="J636" s="2">
        <v>371100</v>
      </c>
      <c r="K636" s="2" t="s">
        <v>94</v>
      </c>
      <c r="L636" s="2" t="s">
        <v>121</v>
      </c>
      <c r="M636" s="2" t="s">
        <v>38</v>
      </c>
    </row>
    <row r="637" spans="1:13" x14ac:dyDescent="0.25">
      <c r="A637" s="2" t="s">
        <v>1446</v>
      </c>
      <c r="B637" s="2" t="s">
        <v>1447</v>
      </c>
      <c r="C637" s="2" t="s">
        <v>76</v>
      </c>
      <c r="D637" s="2"/>
      <c r="E637" s="2" t="s">
        <v>25</v>
      </c>
      <c r="F637" s="2" t="s">
        <v>93</v>
      </c>
      <c r="G637" s="2">
        <v>2</v>
      </c>
      <c r="H637" s="2">
        <v>5410</v>
      </c>
      <c r="I637" s="2">
        <v>5</v>
      </c>
      <c r="J637" s="2">
        <v>10279</v>
      </c>
      <c r="K637" s="2" t="s">
        <v>19</v>
      </c>
      <c r="L637" s="2" t="s">
        <v>223</v>
      </c>
      <c r="M637" s="2" t="s">
        <v>21</v>
      </c>
    </row>
    <row r="638" spans="1:13" x14ac:dyDescent="0.25">
      <c r="A638" s="2" t="s">
        <v>1448</v>
      </c>
      <c r="B638" s="2" t="s">
        <v>1221</v>
      </c>
      <c r="C638" s="2" t="s">
        <v>156</v>
      </c>
      <c r="D638" s="2" t="s">
        <v>51</v>
      </c>
      <c r="E638" s="2" t="s">
        <v>148</v>
      </c>
      <c r="F638" s="2" t="s">
        <v>83</v>
      </c>
      <c r="G638" s="2">
        <v>8</v>
      </c>
      <c r="H638" s="2">
        <v>49840</v>
      </c>
      <c r="I638" s="2">
        <v>0</v>
      </c>
      <c r="J638" s="2">
        <v>398720</v>
      </c>
      <c r="K638" s="2" t="s">
        <v>157</v>
      </c>
      <c r="L638" s="2" t="s">
        <v>176</v>
      </c>
      <c r="M638" s="2" t="s">
        <v>47</v>
      </c>
    </row>
    <row r="639" spans="1:13" x14ac:dyDescent="0.25">
      <c r="A639" s="2" t="s">
        <v>1449</v>
      </c>
      <c r="B639" s="2" t="s">
        <v>1450</v>
      </c>
      <c r="C639" s="2" t="s">
        <v>24</v>
      </c>
      <c r="D639" s="2" t="s">
        <v>16</v>
      </c>
      <c r="E639" s="2" t="s">
        <v>43</v>
      </c>
      <c r="F639" s="2" t="s">
        <v>93</v>
      </c>
      <c r="G639" s="2">
        <v>11</v>
      </c>
      <c r="H639" s="2">
        <v>1230</v>
      </c>
      <c r="I639" s="2">
        <v>5</v>
      </c>
      <c r="J639" s="2">
        <v>12853.5</v>
      </c>
      <c r="K639" s="2" t="s">
        <v>36</v>
      </c>
      <c r="L639" s="2" t="s">
        <v>796</v>
      </c>
      <c r="M639" s="2" t="s">
        <v>21</v>
      </c>
    </row>
    <row r="640" spans="1:13" x14ac:dyDescent="0.25">
      <c r="A640" s="2" t="s">
        <v>1451</v>
      </c>
      <c r="B640" s="2" t="s">
        <v>1452</v>
      </c>
      <c r="C640" s="2" t="s">
        <v>198</v>
      </c>
      <c r="D640" s="2" t="s">
        <v>42</v>
      </c>
      <c r="E640" s="2" t="s">
        <v>65</v>
      </c>
      <c r="F640" s="2" t="s">
        <v>296</v>
      </c>
      <c r="G640" s="2">
        <v>3</v>
      </c>
      <c r="H640" s="2">
        <v>23320</v>
      </c>
      <c r="I640" s="2"/>
      <c r="J640" s="2">
        <v>69960</v>
      </c>
      <c r="K640" s="2" t="s">
        <v>87</v>
      </c>
      <c r="L640" s="2" t="s">
        <v>1281</v>
      </c>
      <c r="M640" s="2" t="s">
        <v>47</v>
      </c>
    </row>
    <row r="641" spans="1:13" x14ac:dyDescent="0.25">
      <c r="A641" s="2" t="s">
        <v>1453</v>
      </c>
      <c r="B641" s="2" t="s">
        <v>1454</v>
      </c>
      <c r="C641" s="2" t="s">
        <v>1455</v>
      </c>
      <c r="D641" s="2" t="s">
        <v>16</v>
      </c>
      <c r="E641" s="2" t="s">
        <v>105</v>
      </c>
      <c r="F641" s="2" t="s">
        <v>44</v>
      </c>
      <c r="G641" s="2">
        <v>1</v>
      </c>
      <c r="H641" s="2">
        <v>18550</v>
      </c>
      <c r="I641" s="2">
        <v>0</v>
      </c>
      <c r="J641" s="2">
        <v>18550</v>
      </c>
      <c r="K641" s="2" t="s">
        <v>144</v>
      </c>
      <c r="L641" s="2" t="s">
        <v>79</v>
      </c>
      <c r="M641" s="2" t="s">
        <v>21</v>
      </c>
    </row>
    <row r="642" spans="1:13" x14ac:dyDescent="0.25">
      <c r="A642" s="2" t="s">
        <v>1456</v>
      </c>
      <c r="B642" s="2" t="s">
        <v>1457</v>
      </c>
      <c r="C642" s="2" t="s">
        <v>57</v>
      </c>
      <c r="D642" s="2" t="s">
        <v>58</v>
      </c>
      <c r="E642" s="2" t="s">
        <v>34</v>
      </c>
      <c r="F642" s="2" t="s">
        <v>35</v>
      </c>
      <c r="G642" s="2">
        <v>3</v>
      </c>
      <c r="H642" s="2">
        <v>8520</v>
      </c>
      <c r="I642" s="2">
        <v>5</v>
      </c>
      <c r="J642" s="2">
        <v>24282</v>
      </c>
      <c r="K642" s="2" t="s">
        <v>157</v>
      </c>
      <c r="L642" s="2" t="s">
        <v>46</v>
      </c>
      <c r="M642" s="2" t="s">
        <v>21</v>
      </c>
    </row>
    <row r="643" spans="1:13" x14ac:dyDescent="0.25">
      <c r="A643" s="2" t="s">
        <v>1458</v>
      </c>
      <c r="B643" s="2" t="s">
        <v>1459</v>
      </c>
      <c r="C643" s="2" t="s">
        <v>602</v>
      </c>
      <c r="D643" s="2" t="s">
        <v>16</v>
      </c>
      <c r="E643" s="2" t="s">
        <v>17</v>
      </c>
      <c r="F643" s="2" t="s">
        <v>171</v>
      </c>
      <c r="G643" s="2">
        <v>4</v>
      </c>
      <c r="H643" s="2">
        <v>27650</v>
      </c>
      <c r="I643" s="2">
        <v>0</v>
      </c>
      <c r="J643" s="2">
        <v>110600</v>
      </c>
      <c r="K643" s="2" t="s">
        <v>152</v>
      </c>
      <c r="L643" s="2" t="s">
        <v>112</v>
      </c>
      <c r="M643" s="2" t="s">
        <v>38</v>
      </c>
    </row>
    <row r="644" spans="1:13" x14ac:dyDescent="0.25">
      <c r="A644" s="2" t="s">
        <v>1460</v>
      </c>
      <c r="B644" s="2" t="s">
        <v>677</v>
      </c>
      <c r="C644" s="2" t="s">
        <v>24</v>
      </c>
      <c r="D644" s="2" t="s">
        <v>16</v>
      </c>
      <c r="E644" s="2" t="s">
        <v>284</v>
      </c>
      <c r="F644" s="2" t="s">
        <v>435</v>
      </c>
      <c r="G644" s="2">
        <v>11</v>
      </c>
      <c r="H644" s="2">
        <v>5200</v>
      </c>
      <c r="I644" s="2">
        <v>15</v>
      </c>
      <c r="J644" s="2">
        <v>48620</v>
      </c>
      <c r="K644" s="2" t="s">
        <v>67</v>
      </c>
      <c r="L644" s="2" t="s">
        <v>285</v>
      </c>
      <c r="M644" s="2" t="s">
        <v>140</v>
      </c>
    </row>
    <row r="645" spans="1:13" x14ac:dyDescent="0.25">
      <c r="A645" s="2" t="s">
        <v>1461</v>
      </c>
      <c r="B645" s="2" t="s">
        <v>1439</v>
      </c>
      <c r="C645" s="2" t="s">
        <v>1462</v>
      </c>
      <c r="D645" s="2" t="s">
        <v>58</v>
      </c>
      <c r="E645" s="2" t="s">
        <v>100</v>
      </c>
      <c r="F645" s="2" t="s">
        <v>66</v>
      </c>
      <c r="G645" s="2">
        <v>12</v>
      </c>
      <c r="H645" s="2">
        <v>16470</v>
      </c>
      <c r="I645" s="2">
        <v>0</v>
      </c>
      <c r="J645" s="2">
        <v>197640</v>
      </c>
      <c r="K645" s="2" t="s">
        <v>87</v>
      </c>
      <c r="L645" s="2" t="s">
        <v>245</v>
      </c>
      <c r="M645" s="2" t="s">
        <v>38</v>
      </c>
    </row>
    <row r="646" spans="1:13" x14ac:dyDescent="0.25">
      <c r="A646" s="2" t="s">
        <v>1463</v>
      </c>
      <c r="B646" s="2" t="s">
        <v>1464</v>
      </c>
      <c r="C646" s="2" t="s">
        <v>1465</v>
      </c>
      <c r="D646" s="2" t="s">
        <v>51</v>
      </c>
      <c r="E646" s="2" t="s">
        <v>111</v>
      </c>
      <c r="F646" s="2" t="s">
        <v>232</v>
      </c>
      <c r="G646" s="2">
        <v>12</v>
      </c>
      <c r="H646" s="2">
        <v>7540</v>
      </c>
      <c r="I646" s="2">
        <v>0</v>
      </c>
      <c r="J646" s="2">
        <v>90480</v>
      </c>
      <c r="K646" s="2" t="s">
        <v>152</v>
      </c>
      <c r="L646" s="2" t="s">
        <v>214</v>
      </c>
      <c r="M646" s="2" t="s">
        <v>47</v>
      </c>
    </row>
    <row r="647" spans="1:13" x14ac:dyDescent="0.25">
      <c r="A647" s="2" t="s">
        <v>1466</v>
      </c>
      <c r="B647" s="2" t="s">
        <v>1467</v>
      </c>
      <c r="C647" s="2" t="s">
        <v>57</v>
      </c>
      <c r="D647" s="2"/>
      <c r="E647" s="2" t="s">
        <v>105</v>
      </c>
      <c r="F647" s="2" t="s">
        <v>115</v>
      </c>
      <c r="G647" s="2">
        <v>8</v>
      </c>
      <c r="H647" s="2">
        <v>3570</v>
      </c>
      <c r="I647" s="2" t="s">
        <v>152</v>
      </c>
      <c r="J647" s="2">
        <v>28560</v>
      </c>
      <c r="K647" s="2" t="s">
        <v>19</v>
      </c>
      <c r="L647" s="2" t="s">
        <v>68</v>
      </c>
      <c r="M647" s="2" t="s">
        <v>821</v>
      </c>
    </row>
    <row r="648" spans="1:13" x14ac:dyDescent="0.25">
      <c r="A648" s="2" t="s">
        <v>1468</v>
      </c>
      <c r="B648" s="2" t="s">
        <v>1469</v>
      </c>
      <c r="C648" s="2" t="s">
        <v>198</v>
      </c>
      <c r="D648" s="2" t="s">
        <v>42</v>
      </c>
      <c r="E648" s="2" t="s">
        <v>131</v>
      </c>
      <c r="F648" s="2" t="s">
        <v>126</v>
      </c>
      <c r="G648" s="2">
        <v>3</v>
      </c>
      <c r="H648" s="2">
        <v>2780</v>
      </c>
      <c r="I648" s="2">
        <v>0</v>
      </c>
      <c r="J648" s="2">
        <v>8340</v>
      </c>
      <c r="K648" s="2" t="s">
        <v>94</v>
      </c>
      <c r="L648" s="2" t="s">
        <v>88</v>
      </c>
      <c r="M648" s="2" t="s">
        <v>128</v>
      </c>
    </row>
    <row r="649" spans="1:13" x14ac:dyDescent="0.25">
      <c r="A649" s="2" t="s">
        <v>1470</v>
      </c>
      <c r="B649" s="2" t="s">
        <v>1471</v>
      </c>
      <c r="C649" s="2" t="s">
        <v>156</v>
      </c>
      <c r="D649" s="2" t="s">
        <v>51</v>
      </c>
      <c r="E649" s="2" t="s">
        <v>77</v>
      </c>
      <c r="F649" s="2" t="s">
        <v>543</v>
      </c>
      <c r="G649" s="2">
        <v>5</v>
      </c>
      <c r="H649" s="2">
        <v>3190</v>
      </c>
      <c r="I649" s="2">
        <v>0</v>
      </c>
      <c r="J649" s="2">
        <v>15950</v>
      </c>
      <c r="K649" s="2" t="s">
        <v>205</v>
      </c>
      <c r="L649" s="2" t="s">
        <v>584</v>
      </c>
      <c r="M649" s="2" t="s">
        <v>140</v>
      </c>
    </row>
    <row r="650" spans="1:13" x14ac:dyDescent="0.25">
      <c r="A650" s="2" t="s">
        <v>1472</v>
      </c>
      <c r="B650" s="2" t="s">
        <v>1473</v>
      </c>
      <c r="C650" s="2" t="s">
        <v>110</v>
      </c>
      <c r="D650" s="2" t="s">
        <v>33</v>
      </c>
      <c r="E650" s="2" t="s">
        <v>25</v>
      </c>
      <c r="F650" s="2" t="s">
        <v>248</v>
      </c>
      <c r="G650" s="2">
        <v>12</v>
      </c>
      <c r="H650" s="2">
        <v>4670</v>
      </c>
      <c r="I650" s="2" t="s">
        <v>138</v>
      </c>
      <c r="J650" s="2">
        <v>56040</v>
      </c>
      <c r="K650" s="2" t="s">
        <v>205</v>
      </c>
      <c r="L650" s="2" t="s">
        <v>46</v>
      </c>
      <c r="M650" s="2" t="s">
        <v>21</v>
      </c>
    </row>
    <row r="651" spans="1:13" x14ac:dyDescent="0.25">
      <c r="A651" s="2" t="s">
        <v>1474</v>
      </c>
      <c r="B651" s="2" t="s">
        <v>1475</v>
      </c>
      <c r="C651" s="2" t="s">
        <v>238</v>
      </c>
      <c r="D651" s="2" t="s">
        <v>51</v>
      </c>
      <c r="E651" s="2" t="s">
        <v>59</v>
      </c>
      <c r="F651" s="2" t="s">
        <v>379</v>
      </c>
      <c r="G651" s="2">
        <v>8</v>
      </c>
      <c r="H651" s="2">
        <v>5020</v>
      </c>
      <c r="I651" s="2">
        <v>10</v>
      </c>
      <c r="J651" s="2" t="s">
        <v>152</v>
      </c>
      <c r="K651" s="2" t="s">
        <v>53</v>
      </c>
      <c r="L651" s="2" t="s">
        <v>88</v>
      </c>
      <c r="M651" s="2" t="s">
        <v>128</v>
      </c>
    </row>
    <row r="652" spans="1:13" x14ac:dyDescent="0.25">
      <c r="A652" s="2" t="s">
        <v>1476</v>
      </c>
      <c r="B652" s="2" t="s">
        <v>517</v>
      </c>
      <c r="C652" s="2" t="s">
        <v>118</v>
      </c>
      <c r="D652" s="2" t="s">
        <v>51</v>
      </c>
      <c r="E652" s="2" t="s">
        <v>195</v>
      </c>
      <c r="F652" s="2" t="s">
        <v>18</v>
      </c>
      <c r="G652" s="2">
        <v>3</v>
      </c>
      <c r="H652" s="2">
        <v>41200</v>
      </c>
      <c r="I652" s="2"/>
      <c r="J652" s="2">
        <v>123600</v>
      </c>
      <c r="K652" s="2" t="s">
        <v>27</v>
      </c>
      <c r="L652" s="2" t="s">
        <v>266</v>
      </c>
      <c r="M652" s="2" t="s">
        <v>96</v>
      </c>
    </row>
    <row r="653" spans="1:13" x14ac:dyDescent="0.25">
      <c r="A653" s="2" t="s">
        <v>1477</v>
      </c>
      <c r="B653" s="2" t="s">
        <v>1478</v>
      </c>
      <c r="C653" s="2" t="s">
        <v>198</v>
      </c>
      <c r="D653" s="2" t="s">
        <v>42</v>
      </c>
      <c r="E653" s="2" t="s">
        <v>125</v>
      </c>
      <c r="F653" s="2" t="s">
        <v>219</v>
      </c>
      <c r="G653" s="2">
        <v>10</v>
      </c>
      <c r="H653" s="2">
        <v>7980</v>
      </c>
      <c r="I653" s="2">
        <v>0</v>
      </c>
      <c r="J653" s="2">
        <v>79800</v>
      </c>
      <c r="K653" s="2" t="s">
        <v>139</v>
      </c>
      <c r="L653" s="2" t="s">
        <v>73</v>
      </c>
      <c r="M653" s="2" t="s">
        <v>128</v>
      </c>
    </row>
    <row r="654" spans="1:13" x14ac:dyDescent="0.25">
      <c r="A654" s="2" t="s">
        <v>759</v>
      </c>
      <c r="B654" s="2" t="s">
        <v>760</v>
      </c>
      <c r="C654" s="2" t="s">
        <v>24</v>
      </c>
      <c r="D654" s="2" t="s">
        <v>16</v>
      </c>
      <c r="E654" s="2" t="s">
        <v>322</v>
      </c>
      <c r="F654" s="2" t="s">
        <v>543</v>
      </c>
      <c r="G654" s="2">
        <v>12</v>
      </c>
      <c r="H654" s="2">
        <v>5680</v>
      </c>
      <c r="I654" s="2">
        <v>0</v>
      </c>
      <c r="J654" s="2">
        <v>68160</v>
      </c>
      <c r="K654" s="2" t="s">
        <v>172</v>
      </c>
      <c r="L654" s="2" t="s">
        <v>168</v>
      </c>
      <c r="M654" s="2" t="s">
        <v>21</v>
      </c>
    </row>
    <row r="655" spans="1:13" x14ac:dyDescent="0.25">
      <c r="A655" s="2" t="s">
        <v>1479</v>
      </c>
      <c r="B655" s="2" t="s">
        <v>1480</v>
      </c>
      <c r="C655" s="2" t="s">
        <v>57</v>
      </c>
      <c r="D655" s="2" t="s">
        <v>138</v>
      </c>
      <c r="E655" s="2" t="s">
        <v>195</v>
      </c>
      <c r="F655" s="2" t="s">
        <v>290</v>
      </c>
      <c r="G655" s="2">
        <v>6</v>
      </c>
      <c r="H655" s="2">
        <v>-560</v>
      </c>
      <c r="I655" s="2">
        <v>15</v>
      </c>
      <c r="J655" s="2">
        <v>2856</v>
      </c>
      <c r="K655" s="2" t="s">
        <v>87</v>
      </c>
      <c r="L655" s="2" t="s">
        <v>411</v>
      </c>
      <c r="M655" s="2" t="s">
        <v>38</v>
      </c>
    </row>
    <row r="656" spans="1:13" x14ac:dyDescent="0.25">
      <c r="A656" s="2" t="s">
        <v>1481</v>
      </c>
      <c r="B656" s="2" t="s">
        <v>1482</v>
      </c>
      <c r="C656" s="2" t="s">
        <v>76</v>
      </c>
      <c r="D656" s="2" t="s">
        <v>33</v>
      </c>
      <c r="E656" s="2" t="s">
        <v>231</v>
      </c>
      <c r="F656" s="2" t="s">
        <v>232</v>
      </c>
      <c r="G656" s="2">
        <v>2</v>
      </c>
      <c r="H656" s="2">
        <v>7710</v>
      </c>
      <c r="I656" s="2">
        <v>0</v>
      </c>
      <c r="J656" s="2">
        <v>15420</v>
      </c>
      <c r="K656" s="2" t="s">
        <v>120</v>
      </c>
      <c r="L656" s="2" t="s">
        <v>584</v>
      </c>
      <c r="M656" s="2" t="s">
        <v>47</v>
      </c>
    </row>
    <row r="657" spans="1:13" x14ac:dyDescent="0.25">
      <c r="A657" s="2" t="s">
        <v>864</v>
      </c>
      <c r="B657" s="2" t="s">
        <v>865</v>
      </c>
      <c r="C657" s="2"/>
      <c r="D657" s="2" t="s">
        <v>33</v>
      </c>
      <c r="E657" s="2" t="s">
        <v>82</v>
      </c>
      <c r="F657" s="2" t="s">
        <v>149</v>
      </c>
      <c r="G657" s="2">
        <v>1</v>
      </c>
      <c r="H657" s="2">
        <v>49500</v>
      </c>
      <c r="I657" s="2" t="s">
        <v>136</v>
      </c>
      <c r="J657" s="2">
        <v>49500</v>
      </c>
      <c r="K657" s="2" t="s">
        <v>127</v>
      </c>
      <c r="L657" s="2" t="s">
        <v>73</v>
      </c>
      <c r="M657" s="2" t="s">
        <v>352</v>
      </c>
    </row>
    <row r="658" spans="1:13" x14ac:dyDescent="0.25">
      <c r="A658" s="2" t="s">
        <v>1483</v>
      </c>
      <c r="B658" s="2" t="s">
        <v>1484</v>
      </c>
      <c r="C658" s="2" t="s">
        <v>15</v>
      </c>
      <c r="D658" s="2" t="s">
        <v>16</v>
      </c>
      <c r="E658" s="2" t="s">
        <v>131</v>
      </c>
      <c r="F658" s="2" t="s">
        <v>319</v>
      </c>
      <c r="G658" s="2">
        <v>1</v>
      </c>
      <c r="H658" s="2">
        <v>9140</v>
      </c>
      <c r="I658" s="2">
        <v>0</v>
      </c>
      <c r="J658" s="2" t="s">
        <v>107</v>
      </c>
      <c r="K658" s="2" t="s">
        <v>139</v>
      </c>
      <c r="L658" s="2" t="s">
        <v>61</v>
      </c>
      <c r="M658" s="2" t="s">
        <v>29</v>
      </c>
    </row>
    <row r="659" spans="1:13" x14ac:dyDescent="0.25">
      <c r="A659" s="2" t="s">
        <v>1485</v>
      </c>
      <c r="B659" s="2" t="s">
        <v>364</v>
      </c>
      <c r="C659" s="2" t="s">
        <v>156</v>
      </c>
      <c r="D659" s="2" t="s">
        <v>51</v>
      </c>
      <c r="E659" s="2" t="s">
        <v>92</v>
      </c>
      <c r="F659" s="2" t="s">
        <v>248</v>
      </c>
      <c r="G659" s="2">
        <v>11</v>
      </c>
      <c r="H659" s="2">
        <v>9120</v>
      </c>
      <c r="I659" s="2">
        <v>0</v>
      </c>
      <c r="J659" s="2">
        <v>100320</v>
      </c>
      <c r="K659" s="2" t="s">
        <v>67</v>
      </c>
      <c r="L659" s="2" t="s">
        <v>341</v>
      </c>
      <c r="M659" s="2" t="s">
        <v>140</v>
      </c>
    </row>
    <row r="660" spans="1:13" x14ac:dyDescent="0.25">
      <c r="A660" s="2" t="s">
        <v>1486</v>
      </c>
      <c r="B660" s="2" t="s">
        <v>1487</v>
      </c>
      <c r="C660" s="2" t="s">
        <v>449</v>
      </c>
      <c r="D660" s="2" t="s">
        <v>42</v>
      </c>
      <c r="E660" s="2" t="s">
        <v>125</v>
      </c>
      <c r="F660" s="2" t="s">
        <v>319</v>
      </c>
      <c r="G660" s="2">
        <v>7</v>
      </c>
      <c r="H660" s="2">
        <v>530</v>
      </c>
      <c r="I660" s="2">
        <v>0</v>
      </c>
      <c r="J660" s="2">
        <v>3710</v>
      </c>
      <c r="K660" s="2" t="s">
        <v>205</v>
      </c>
      <c r="L660" s="2" t="s">
        <v>411</v>
      </c>
      <c r="M660" s="2" t="s">
        <v>47</v>
      </c>
    </row>
    <row r="661" spans="1:13" x14ac:dyDescent="0.25">
      <c r="A661" s="2" t="s">
        <v>1488</v>
      </c>
      <c r="B661" s="2" t="s">
        <v>1099</v>
      </c>
      <c r="C661" s="2" t="s">
        <v>41</v>
      </c>
      <c r="D661" s="2" t="s">
        <v>42</v>
      </c>
      <c r="E661" s="2" t="s">
        <v>34</v>
      </c>
      <c r="F661" s="2" t="s">
        <v>171</v>
      </c>
      <c r="G661" s="2">
        <v>2</v>
      </c>
      <c r="H661" s="2">
        <v>12300</v>
      </c>
      <c r="I661" s="2">
        <v>15</v>
      </c>
      <c r="J661" s="2">
        <v>20910</v>
      </c>
      <c r="K661" s="2" t="s">
        <v>67</v>
      </c>
      <c r="L661" s="2" t="s">
        <v>46</v>
      </c>
      <c r="M661" s="2" t="s">
        <v>201</v>
      </c>
    </row>
    <row r="662" spans="1:13" x14ac:dyDescent="0.25">
      <c r="A662" s="2" t="s">
        <v>1489</v>
      </c>
      <c r="B662" s="2" t="s">
        <v>859</v>
      </c>
      <c r="C662" s="2" t="s">
        <v>24</v>
      </c>
      <c r="D662" s="2" t="s">
        <v>16</v>
      </c>
      <c r="E662" s="2" t="s">
        <v>125</v>
      </c>
      <c r="F662" s="2" t="s">
        <v>314</v>
      </c>
      <c r="G662" s="2">
        <v>8</v>
      </c>
      <c r="H662" s="2">
        <v>7500</v>
      </c>
      <c r="I662" s="2">
        <v>0</v>
      </c>
      <c r="J662" s="2">
        <v>60000</v>
      </c>
      <c r="K662" s="2" t="s">
        <v>157</v>
      </c>
      <c r="L662" s="2" t="s">
        <v>266</v>
      </c>
      <c r="M662" s="2" t="s">
        <v>21</v>
      </c>
    </row>
    <row r="663" spans="1:13" x14ac:dyDescent="0.25">
      <c r="A663" s="2" t="s">
        <v>1490</v>
      </c>
      <c r="B663" s="2" t="s">
        <v>1491</v>
      </c>
      <c r="C663" s="2" t="s">
        <v>238</v>
      </c>
      <c r="D663" s="2" t="s">
        <v>51</v>
      </c>
      <c r="E663" s="2" t="s">
        <v>111</v>
      </c>
      <c r="F663" s="2" t="s">
        <v>232</v>
      </c>
      <c r="G663" s="2">
        <v>5</v>
      </c>
      <c r="H663" s="2">
        <v>40770</v>
      </c>
      <c r="I663" s="2">
        <v>5</v>
      </c>
      <c r="J663" s="2">
        <v>193657.5</v>
      </c>
      <c r="K663" s="2" t="s">
        <v>36</v>
      </c>
      <c r="L663" s="2" t="s">
        <v>176</v>
      </c>
      <c r="M663" s="2" t="s">
        <v>47</v>
      </c>
    </row>
    <row r="664" spans="1:13" x14ac:dyDescent="0.25">
      <c r="A664" s="2" t="s">
        <v>1492</v>
      </c>
      <c r="B664" s="2" t="s">
        <v>1493</v>
      </c>
      <c r="C664" s="2" t="s">
        <v>41</v>
      </c>
      <c r="D664" s="2" t="s">
        <v>42</v>
      </c>
      <c r="E664" s="2" t="s">
        <v>179</v>
      </c>
      <c r="F664" s="2" t="s">
        <v>239</v>
      </c>
      <c r="G664" s="2">
        <v>10</v>
      </c>
      <c r="H664" s="2">
        <v>7140</v>
      </c>
      <c r="I664" s="2">
        <v>0</v>
      </c>
      <c r="J664" s="2">
        <v>71400</v>
      </c>
      <c r="K664" s="2" t="s">
        <v>172</v>
      </c>
      <c r="L664" s="2" t="s">
        <v>168</v>
      </c>
      <c r="M664" s="2" t="s">
        <v>21</v>
      </c>
    </row>
    <row r="665" spans="1:13" x14ac:dyDescent="0.25">
      <c r="A665" s="2" t="s">
        <v>1494</v>
      </c>
      <c r="B665" s="2" t="s">
        <v>1495</v>
      </c>
      <c r="C665" s="2" t="s">
        <v>76</v>
      </c>
      <c r="D665" s="2" t="s">
        <v>33</v>
      </c>
      <c r="E665" s="2" t="s">
        <v>137</v>
      </c>
      <c r="F665" s="2" t="s">
        <v>71</v>
      </c>
      <c r="G665" s="2">
        <v>5</v>
      </c>
      <c r="H665" s="2">
        <v>42820</v>
      </c>
      <c r="I665" s="2">
        <v>5</v>
      </c>
      <c r="J665" s="2">
        <v>203395</v>
      </c>
      <c r="K665" s="2" t="s">
        <v>205</v>
      </c>
      <c r="L665" s="2" t="s">
        <v>228</v>
      </c>
      <c r="M665" s="2"/>
    </row>
    <row r="666" spans="1:13" x14ac:dyDescent="0.25">
      <c r="A666" s="2" t="s">
        <v>1496</v>
      </c>
      <c r="B666" s="2" t="s">
        <v>1497</v>
      </c>
      <c r="C666" s="2" t="s">
        <v>194</v>
      </c>
      <c r="D666" s="2" t="s">
        <v>51</v>
      </c>
      <c r="E666" s="2" t="s">
        <v>25</v>
      </c>
      <c r="F666" s="2" t="s">
        <v>248</v>
      </c>
      <c r="G666" s="2">
        <v>2</v>
      </c>
      <c r="H666" s="2">
        <v>49690</v>
      </c>
      <c r="I666" s="2">
        <v>0</v>
      </c>
      <c r="J666" s="2">
        <v>99380</v>
      </c>
      <c r="K666" s="2" t="s">
        <v>127</v>
      </c>
      <c r="L666" s="2" t="s">
        <v>54</v>
      </c>
      <c r="M666" s="2" t="s">
        <v>47</v>
      </c>
    </row>
    <row r="667" spans="1:13" x14ac:dyDescent="0.25">
      <c r="A667" s="2" t="s">
        <v>1498</v>
      </c>
      <c r="B667" s="2" t="s">
        <v>1174</v>
      </c>
      <c r="C667" s="2" t="s">
        <v>1104</v>
      </c>
      <c r="D667" s="2" t="s">
        <v>42</v>
      </c>
      <c r="E667" s="2" t="s">
        <v>125</v>
      </c>
      <c r="F667" s="2" t="s">
        <v>314</v>
      </c>
      <c r="G667" s="2">
        <v>2</v>
      </c>
      <c r="H667" s="2">
        <v>25910</v>
      </c>
      <c r="I667" s="2">
        <v>0</v>
      </c>
      <c r="J667" s="2">
        <v>51820</v>
      </c>
      <c r="K667" s="2" t="s">
        <v>127</v>
      </c>
      <c r="L667" s="2" t="s">
        <v>1375</v>
      </c>
      <c r="M667" s="2" t="s">
        <v>29</v>
      </c>
    </row>
    <row r="668" spans="1:13" x14ac:dyDescent="0.25">
      <c r="A668" s="2" t="s">
        <v>1499</v>
      </c>
      <c r="B668" s="2" t="s">
        <v>1500</v>
      </c>
      <c r="C668" s="2" t="s">
        <v>91</v>
      </c>
      <c r="D668" s="2" t="s">
        <v>51</v>
      </c>
      <c r="E668" s="2" t="s">
        <v>25</v>
      </c>
      <c r="F668" s="2" t="s">
        <v>93</v>
      </c>
      <c r="G668" s="2">
        <v>10</v>
      </c>
      <c r="H668" s="2">
        <v>25650</v>
      </c>
      <c r="I668" s="2">
        <v>0</v>
      </c>
      <c r="J668" s="2">
        <v>256500</v>
      </c>
      <c r="K668" s="2" t="s">
        <v>45</v>
      </c>
      <c r="L668" s="2" t="s">
        <v>349</v>
      </c>
      <c r="M668" s="2" t="s">
        <v>21</v>
      </c>
    </row>
    <row r="669" spans="1:13" x14ac:dyDescent="0.25">
      <c r="A669" s="2" t="s">
        <v>1501</v>
      </c>
      <c r="B669" s="2" t="s">
        <v>677</v>
      </c>
      <c r="C669" s="2" t="s">
        <v>110</v>
      </c>
      <c r="D669" s="2" t="s">
        <v>33</v>
      </c>
      <c r="E669" s="2" t="s">
        <v>195</v>
      </c>
      <c r="F669" s="2" t="s">
        <v>199</v>
      </c>
      <c r="G669" s="2">
        <v>2</v>
      </c>
      <c r="H669" s="2">
        <v>540</v>
      </c>
      <c r="I669" s="2">
        <v>5</v>
      </c>
      <c r="J669" s="2">
        <v>1026</v>
      </c>
      <c r="K669" s="2" t="s">
        <v>133</v>
      </c>
      <c r="L669" s="2" t="s">
        <v>266</v>
      </c>
      <c r="M669" s="2" t="s">
        <v>96</v>
      </c>
    </row>
    <row r="670" spans="1:13" x14ac:dyDescent="0.25">
      <c r="A670" s="2" t="s">
        <v>1502</v>
      </c>
      <c r="B670" s="2" t="s">
        <v>1503</v>
      </c>
      <c r="C670" s="2" t="s">
        <v>156</v>
      </c>
      <c r="D670" s="2" t="s">
        <v>51</v>
      </c>
      <c r="E670" s="2" t="s">
        <v>65</v>
      </c>
      <c r="F670" s="2" t="s">
        <v>66</v>
      </c>
      <c r="G670" s="2">
        <v>11</v>
      </c>
      <c r="H670" s="2">
        <v>1250</v>
      </c>
      <c r="I670" s="2">
        <v>5</v>
      </c>
      <c r="J670" s="2">
        <v>13062.5</v>
      </c>
      <c r="K670" s="2" t="s">
        <v>36</v>
      </c>
      <c r="L670" s="2" t="s">
        <v>1504</v>
      </c>
      <c r="M670" s="2" t="s">
        <v>29</v>
      </c>
    </row>
    <row r="671" spans="1:13" x14ac:dyDescent="0.25">
      <c r="A671" s="2" t="s">
        <v>1505</v>
      </c>
      <c r="B671" s="2" t="s">
        <v>1506</v>
      </c>
      <c r="C671" s="2" t="s">
        <v>162</v>
      </c>
      <c r="D671" s="2" t="s">
        <v>33</v>
      </c>
      <c r="E671" s="2" t="s">
        <v>322</v>
      </c>
      <c r="F671" s="2" t="s">
        <v>543</v>
      </c>
      <c r="G671" s="2" t="s">
        <v>223</v>
      </c>
      <c r="H671" s="2">
        <v>1250</v>
      </c>
      <c r="I671" s="2">
        <v>5</v>
      </c>
      <c r="J671" s="2">
        <v>11875</v>
      </c>
      <c r="K671" s="2" t="s">
        <v>36</v>
      </c>
      <c r="L671" s="2" t="s">
        <v>558</v>
      </c>
      <c r="M671" s="2" t="s">
        <v>47</v>
      </c>
    </row>
    <row r="672" spans="1:13" x14ac:dyDescent="0.25">
      <c r="A672" s="2" t="s">
        <v>1507</v>
      </c>
      <c r="B672" s="2" t="s">
        <v>1508</v>
      </c>
      <c r="C672" s="2" t="s">
        <v>110</v>
      </c>
      <c r="D672" s="2" t="s">
        <v>33</v>
      </c>
      <c r="E672" s="2" t="s">
        <v>111</v>
      </c>
      <c r="F672" s="2" t="s">
        <v>143</v>
      </c>
      <c r="G672" s="2">
        <v>3</v>
      </c>
      <c r="H672" s="2">
        <v>8600</v>
      </c>
      <c r="I672" s="2">
        <v>15</v>
      </c>
      <c r="J672" s="2">
        <v>21930</v>
      </c>
      <c r="K672" s="2" t="s">
        <v>172</v>
      </c>
      <c r="L672" s="2" t="s">
        <v>168</v>
      </c>
      <c r="M672" s="2" t="s">
        <v>140</v>
      </c>
    </row>
    <row r="673" spans="1:13" x14ac:dyDescent="0.25">
      <c r="A673" s="2" t="s">
        <v>1509</v>
      </c>
      <c r="B673" s="2" t="s">
        <v>1344</v>
      </c>
      <c r="C673" s="2" t="s">
        <v>227</v>
      </c>
      <c r="D673" s="2" t="s">
        <v>33</v>
      </c>
      <c r="E673" s="2" t="s">
        <v>105</v>
      </c>
      <c r="F673" s="2" t="s">
        <v>44</v>
      </c>
      <c r="G673" s="2">
        <v>4</v>
      </c>
      <c r="H673" s="2">
        <v>69770</v>
      </c>
      <c r="I673" s="2">
        <v>15</v>
      </c>
      <c r="J673" s="2">
        <v>237218</v>
      </c>
      <c r="K673" s="2" t="s">
        <v>53</v>
      </c>
      <c r="L673" s="2" t="s">
        <v>824</v>
      </c>
      <c r="M673" s="2" t="s">
        <v>128</v>
      </c>
    </row>
    <row r="674" spans="1:13" x14ac:dyDescent="0.25">
      <c r="A674" s="2" t="s">
        <v>1510</v>
      </c>
      <c r="B674" s="2" t="s">
        <v>1511</v>
      </c>
      <c r="C674" s="2" t="s">
        <v>24</v>
      </c>
      <c r="D674" s="2" t="s">
        <v>16</v>
      </c>
      <c r="E674" s="2"/>
      <c r="F674" s="2" t="s">
        <v>379</v>
      </c>
      <c r="G674" s="2">
        <v>7</v>
      </c>
      <c r="H674" s="2">
        <v>13080</v>
      </c>
      <c r="I674" s="2">
        <v>0</v>
      </c>
      <c r="J674" s="2">
        <v>91560</v>
      </c>
      <c r="K674" s="2" t="s">
        <v>157</v>
      </c>
      <c r="L674" s="2" t="s">
        <v>28</v>
      </c>
      <c r="M674" s="2" t="s">
        <v>21</v>
      </c>
    </row>
    <row r="675" spans="1:13" x14ac:dyDescent="0.25">
      <c r="A675" s="2" t="s">
        <v>1512</v>
      </c>
      <c r="B675" s="2" t="s">
        <v>562</v>
      </c>
      <c r="C675" s="2" t="s">
        <v>135</v>
      </c>
      <c r="D675" s="2" t="s">
        <v>58</v>
      </c>
      <c r="E675" s="2" t="s">
        <v>92</v>
      </c>
      <c r="F675" s="2" t="s">
        <v>26</v>
      </c>
      <c r="G675" s="2">
        <v>1</v>
      </c>
      <c r="H675" s="2">
        <v>7570</v>
      </c>
      <c r="I675" s="2">
        <v>5</v>
      </c>
      <c r="J675" s="2">
        <v>7191.5</v>
      </c>
      <c r="K675" s="2" t="s">
        <v>102</v>
      </c>
      <c r="L675" s="2" t="s">
        <v>68</v>
      </c>
      <c r="M675" s="2" t="s">
        <v>210</v>
      </c>
    </row>
    <row r="676" spans="1:13" x14ac:dyDescent="0.25">
      <c r="A676" s="2" t="s">
        <v>1513</v>
      </c>
      <c r="B676" s="2" t="s">
        <v>1514</v>
      </c>
      <c r="C676" s="2" t="s">
        <v>971</v>
      </c>
      <c r="D676" s="2" t="s">
        <v>33</v>
      </c>
      <c r="E676" s="2" t="s">
        <v>43</v>
      </c>
      <c r="F676" s="2" t="s">
        <v>93</v>
      </c>
      <c r="G676" s="2">
        <v>9</v>
      </c>
      <c r="H676" s="2">
        <v>4580</v>
      </c>
      <c r="I676" s="2">
        <v>0</v>
      </c>
      <c r="J676" s="2">
        <v>41220</v>
      </c>
      <c r="K676" s="2" t="s">
        <v>87</v>
      </c>
      <c r="L676" s="2" t="s">
        <v>406</v>
      </c>
      <c r="M676" s="2" t="s">
        <v>38</v>
      </c>
    </row>
    <row r="677" spans="1:13" x14ac:dyDescent="0.25">
      <c r="A677" s="2" t="s">
        <v>1515</v>
      </c>
      <c r="B677" s="2" t="s">
        <v>1516</v>
      </c>
      <c r="C677" s="2" t="s">
        <v>64</v>
      </c>
      <c r="D677" s="2" t="s">
        <v>51</v>
      </c>
      <c r="E677" s="2" t="s">
        <v>131</v>
      </c>
      <c r="F677" s="2" t="s">
        <v>314</v>
      </c>
      <c r="G677" s="2">
        <v>3</v>
      </c>
      <c r="H677" s="2">
        <v>12200</v>
      </c>
      <c r="I677" s="2"/>
      <c r="J677" s="2">
        <v>32940</v>
      </c>
      <c r="K677" s="2" t="s">
        <v>72</v>
      </c>
      <c r="L677" s="2" t="s">
        <v>88</v>
      </c>
      <c r="M677" s="2" t="s">
        <v>128</v>
      </c>
    </row>
    <row r="678" spans="1:13" x14ac:dyDescent="0.25">
      <c r="A678" s="2" t="s">
        <v>1517</v>
      </c>
      <c r="B678" s="2" t="s">
        <v>1255</v>
      </c>
      <c r="C678" s="2" t="s">
        <v>198</v>
      </c>
      <c r="D678" s="2" t="s">
        <v>42</v>
      </c>
      <c r="E678" s="2" t="s">
        <v>65</v>
      </c>
      <c r="F678" s="2" t="s">
        <v>132</v>
      </c>
      <c r="G678" s="2">
        <v>1</v>
      </c>
      <c r="H678" s="2">
        <v>17390</v>
      </c>
      <c r="I678" s="2">
        <v>0</v>
      </c>
      <c r="J678" s="2">
        <v>17390</v>
      </c>
      <c r="K678" s="2" t="s">
        <v>144</v>
      </c>
      <c r="L678" s="2" t="s">
        <v>274</v>
      </c>
      <c r="M678" s="2" t="s">
        <v>29</v>
      </c>
    </row>
    <row r="679" spans="1:13" x14ac:dyDescent="0.25">
      <c r="A679" s="2" t="s">
        <v>1518</v>
      </c>
      <c r="B679" s="2" t="s">
        <v>1519</v>
      </c>
      <c r="C679" s="2" t="s">
        <v>41</v>
      </c>
      <c r="D679" s="2" t="s">
        <v>42</v>
      </c>
      <c r="E679" s="2" t="s">
        <v>138</v>
      </c>
      <c r="F679" s="2" t="s">
        <v>149</v>
      </c>
      <c r="G679" s="2">
        <v>8</v>
      </c>
      <c r="H679" s="2">
        <v>73760</v>
      </c>
      <c r="I679" s="2">
        <v>0</v>
      </c>
      <c r="J679" s="2"/>
      <c r="K679" s="2" t="s">
        <v>45</v>
      </c>
      <c r="L679" s="2" t="s">
        <v>73</v>
      </c>
      <c r="M679" s="2" t="s">
        <v>47</v>
      </c>
    </row>
    <row r="680" spans="1:13" x14ac:dyDescent="0.25">
      <c r="A680" s="2" t="s">
        <v>1520</v>
      </c>
      <c r="B680" s="2" t="s">
        <v>1521</v>
      </c>
      <c r="C680" s="2" t="s">
        <v>837</v>
      </c>
      <c r="D680" s="2" t="s">
        <v>33</v>
      </c>
      <c r="E680" s="2" t="s">
        <v>77</v>
      </c>
      <c r="F680" s="2" t="s">
        <v>543</v>
      </c>
      <c r="G680" s="2">
        <v>4</v>
      </c>
      <c r="H680" s="2">
        <v>12740</v>
      </c>
      <c r="I680" s="2">
        <v>0</v>
      </c>
      <c r="J680" s="2">
        <v>50960</v>
      </c>
      <c r="K680" s="2" t="s">
        <v>45</v>
      </c>
      <c r="L680" s="2" t="s">
        <v>349</v>
      </c>
      <c r="M680" s="2" t="s">
        <v>21</v>
      </c>
    </row>
    <row r="681" spans="1:13" x14ac:dyDescent="0.25">
      <c r="A681" s="2" t="s">
        <v>1522</v>
      </c>
      <c r="B681" s="2" t="s">
        <v>1523</v>
      </c>
      <c r="C681" s="2" t="s">
        <v>135</v>
      </c>
      <c r="D681" s="2" t="s">
        <v>58</v>
      </c>
      <c r="E681" s="2" t="s">
        <v>322</v>
      </c>
      <c r="F681" s="2" t="s">
        <v>184</v>
      </c>
      <c r="G681" s="2">
        <v>11</v>
      </c>
      <c r="H681" s="2">
        <v>5170</v>
      </c>
      <c r="I681" s="2"/>
      <c r="J681" s="2">
        <v>51183</v>
      </c>
      <c r="K681" s="2" t="s">
        <v>139</v>
      </c>
      <c r="L681" s="2" t="s">
        <v>46</v>
      </c>
      <c r="M681" s="2" t="s">
        <v>128</v>
      </c>
    </row>
    <row r="682" spans="1:13" x14ac:dyDescent="0.25">
      <c r="A682" s="2" t="s">
        <v>1524</v>
      </c>
      <c r="B682" s="2" t="s">
        <v>1525</v>
      </c>
      <c r="C682" s="2" t="s">
        <v>162</v>
      </c>
      <c r="D682" s="2" t="s">
        <v>136</v>
      </c>
      <c r="E682" s="2" t="s">
        <v>504</v>
      </c>
      <c r="F682" s="2" t="s">
        <v>83</v>
      </c>
      <c r="G682" s="2">
        <v>12</v>
      </c>
      <c r="H682" s="2">
        <v>5690</v>
      </c>
      <c r="I682" s="2"/>
      <c r="J682" s="2">
        <v>58038</v>
      </c>
      <c r="K682" s="2" t="s">
        <v>102</v>
      </c>
      <c r="L682" s="2" t="s">
        <v>1526</v>
      </c>
      <c r="M682" s="2" t="s">
        <v>21</v>
      </c>
    </row>
    <row r="683" spans="1:13" x14ac:dyDescent="0.25">
      <c r="A683" s="2" t="s">
        <v>1527</v>
      </c>
      <c r="B683" s="2" t="s">
        <v>1528</v>
      </c>
      <c r="C683" s="2" t="s">
        <v>449</v>
      </c>
      <c r="D683" s="2" t="s">
        <v>42</v>
      </c>
      <c r="E683" s="2" t="s">
        <v>295</v>
      </c>
      <c r="F683" s="2" t="s">
        <v>101</v>
      </c>
      <c r="G683" s="2">
        <v>8</v>
      </c>
      <c r="H683" s="2">
        <v>7300</v>
      </c>
      <c r="I683" s="2">
        <v>15</v>
      </c>
      <c r="J683" s="2">
        <v>49640</v>
      </c>
      <c r="K683" s="2" t="s">
        <v>133</v>
      </c>
      <c r="L683" s="2" t="s">
        <v>1007</v>
      </c>
      <c r="M683" s="2" t="s">
        <v>47</v>
      </c>
    </row>
    <row r="684" spans="1:13" x14ac:dyDescent="0.25">
      <c r="A684" s="2" t="s">
        <v>1529</v>
      </c>
      <c r="B684" s="2" t="s">
        <v>1530</v>
      </c>
      <c r="C684" s="2" t="s">
        <v>76</v>
      </c>
      <c r="D684" s="2" t="s">
        <v>33</v>
      </c>
      <c r="E684" s="2" t="s">
        <v>65</v>
      </c>
      <c r="F684" s="2" t="s">
        <v>126</v>
      </c>
      <c r="G684" s="2">
        <v>7</v>
      </c>
      <c r="H684" s="2">
        <v>16840</v>
      </c>
      <c r="I684" s="2">
        <v>15</v>
      </c>
      <c r="J684" s="2">
        <v>100198</v>
      </c>
      <c r="K684" s="2" t="s">
        <v>139</v>
      </c>
      <c r="L684" s="2" t="s">
        <v>311</v>
      </c>
      <c r="M684" s="2" t="s">
        <v>21</v>
      </c>
    </row>
    <row r="685" spans="1:13" x14ac:dyDescent="0.25">
      <c r="A685" s="2" t="s">
        <v>1479</v>
      </c>
      <c r="B685" s="2" t="s">
        <v>1480</v>
      </c>
      <c r="C685" s="2" t="s">
        <v>57</v>
      </c>
      <c r="D685" s="2" t="s">
        <v>138</v>
      </c>
      <c r="E685" s="2" t="s">
        <v>195</v>
      </c>
      <c r="F685" s="2" t="s">
        <v>290</v>
      </c>
      <c r="G685" s="2">
        <v>6</v>
      </c>
      <c r="H685" s="2">
        <v>-560</v>
      </c>
      <c r="I685" s="2">
        <v>15</v>
      </c>
      <c r="J685" s="2">
        <v>2856</v>
      </c>
      <c r="K685" s="2" t="s">
        <v>87</v>
      </c>
      <c r="L685" s="2" t="s">
        <v>411</v>
      </c>
      <c r="M685" s="2" t="s">
        <v>38</v>
      </c>
    </row>
    <row r="686" spans="1:13" x14ac:dyDescent="0.25">
      <c r="A686" s="2" t="s">
        <v>1531</v>
      </c>
      <c r="B686" s="2" t="s">
        <v>1532</v>
      </c>
      <c r="C686" s="2" t="s">
        <v>971</v>
      </c>
      <c r="D686" s="2" t="s">
        <v>33</v>
      </c>
      <c r="E686" s="2" t="s">
        <v>131</v>
      </c>
      <c r="F686" s="2" t="s">
        <v>296</v>
      </c>
      <c r="G686" s="2">
        <v>6</v>
      </c>
      <c r="H686" s="2">
        <v>16660</v>
      </c>
      <c r="I686" s="2"/>
      <c r="J686" s="2">
        <v>94962</v>
      </c>
      <c r="K686" s="2" t="s">
        <v>45</v>
      </c>
      <c r="L686" s="2" t="s">
        <v>901</v>
      </c>
      <c r="M686" s="2" t="s">
        <v>21</v>
      </c>
    </row>
    <row r="687" spans="1:13" x14ac:dyDescent="0.25">
      <c r="A687" s="2" t="s">
        <v>1533</v>
      </c>
      <c r="B687" s="2" t="s">
        <v>1534</v>
      </c>
      <c r="C687" s="2" t="s">
        <v>76</v>
      </c>
      <c r="D687" s="2" t="s">
        <v>33</v>
      </c>
      <c r="E687" s="2" t="s">
        <v>17</v>
      </c>
      <c r="F687" s="2" t="s">
        <v>290</v>
      </c>
      <c r="G687" s="2" t="s">
        <v>152</v>
      </c>
      <c r="H687" s="2">
        <v>3170</v>
      </c>
      <c r="I687" s="2" t="s">
        <v>152</v>
      </c>
      <c r="J687" s="2">
        <v>22190</v>
      </c>
      <c r="K687" s="2" t="s">
        <v>53</v>
      </c>
      <c r="L687" s="2" t="s">
        <v>20</v>
      </c>
      <c r="M687" s="2"/>
    </row>
    <row r="688" spans="1:13" x14ac:dyDescent="0.25">
      <c r="A688" s="2" t="s">
        <v>1535</v>
      </c>
      <c r="B688" s="2" t="s">
        <v>1473</v>
      </c>
      <c r="C688" s="2" t="s">
        <v>238</v>
      </c>
      <c r="D688" s="2" t="s">
        <v>51</v>
      </c>
      <c r="E688" s="2" t="s">
        <v>223</v>
      </c>
      <c r="F688" s="2" t="s">
        <v>219</v>
      </c>
      <c r="G688" s="2">
        <v>9</v>
      </c>
      <c r="H688" s="2">
        <v>3510</v>
      </c>
      <c r="I688" s="2">
        <v>0</v>
      </c>
      <c r="J688" s="2">
        <v>31590</v>
      </c>
      <c r="K688" s="2" t="s">
        <v>102</v>
      </c>
      <c r="L688" s="2" t="s">
        <v>999</v>
      </c>
      <c r="M688" s="2" t="s">
        <v>47</v>
      </c>
    </row>
    <row r="689" spans="1:13" x14ac:dyDescent="0.25">
      <c r="A689" s="2" t="s">
        <v>1536</v>
      </c>
      <c r="B689" s="2" t="s">
        <v>1537</v>
      </c>
      <c r="C689" s="2" t="s">
        <v>213</v>
      </c>
      <c r="D689" s="2" t="s">
        <v>58</v>
      </c>
      <c r="E689" s="2" t="s">
        <v>231</v>
      </c>
      <c r="F689" s="2" t="s">
        <v>180</v>
      </c>
      <c r="G689" s="2">
        <v>1</v>
      </c>
      <c r="H689" s="2">
        <v>2270</v>
      </c>
      <c r="I689" s="2">
        <v>10</v>
      </c>
      <c r="J689" s="2">
        <v>2043</v>
      </c>
      <c r="K689" s="2" t="s">
        <v>87</v>
      </c>
      <c r="L689" s="2" t="s">
        <v>406</v>
      </c>
      <c r="M689" s="2" t="s">
        <v>128</v>
      </c>
    </row>
    <row r="690" spans="1:13" x14ac:dyDescent="0.25">
      <c r="A690" s="2" t="s">
        <v>1538</v>
      </c>
      <c r="B690" s="2" t="s">
        <v>1539</v>
      </c>
      <c r="C690" s="2" t="s">
        <v>91</v>
      </c>
      <c r="D690" s="2" t="s">
        <v>51</v>
      </c>
      <c r="E690" s="2" t="s">
        <v>125</v>
      </c>
      <c r="F690" s="2" t="s">
        <v>319</v>
      </c>
      <c r="G690" s="2">
        <v>7</v>
      </c>
      <c r="H690" s="2">
        <v>65290</v>
      </c>
      <c r="I690" s="2">
        <v>10</v>
      </c>
      <c r="J690" s="2">
        <v>411327</v>
      </c>
      <c r="K690" s="2" t="s">
        <v>157</v>
      </c>
      <c r="L690" s="2" t="s">
        <v>796</v>
      </c>
      <c r="M690" s="2" t="s">
        <v>21</v>
      </c>
    </row>
    <row r="691" spans="1:13" x14ac:dyDescent="0.25">
      <c r="A691" s="2" t="s">
        <v>1540</v>
      </c>
      <c r="B691" s="2" t="s">
        <v>1122</v>
      </c>
      <c r="C691" s="2" t="s">
        <v>238</v>
      </c>
      <c r="D691" s="2" t="s">
        <v>51</v>
      </c>
      <c r="E691" s="2" t="s">
        <v>131</v>
      </c>
      <c r="F691" s="2" t="s">
        <v>132</v>
      </c>
      <c r="G691" s="2">
        <v>4</v>
      </c>
      <c r="H691" s="2">
        <v>16850</v>
      </c>
      <c r="I691" s="2">
        <v>0</v>
      </c>
      <c r="J691" s="2">
        <v>67400</v>
      </c>
      <c r="K691" s="2"/>
      <c r="L691" s="2" t="s">
        <v>776</v>
      </c>
      <c r="M691" s="2" t="s">
        <v>47</v>
      </c>
    </row>
    <row r="692" spans="1:13" x14ac:dyDescent="0.25">
      <c r="A692" s="2" t="s">
        <v>1541</v>
      </c>
      <c r="B692" s="2" t="s">
        <v>1542</v>
      </c>
      <c r="C692" s="2" t="s">
        <v>99</v>
      </c>
      <c r="D692" s="2" t="s">
        <v>152</v>
      </c>
      <c r="E692" s="2" t="s">
        <v>111</v>
      </c>
      <c r="F692" s="2" t="s">
        <v>543</v>
      </c>
      <c r="G692" s="2">
        <v>6</v>
      </c>
      <c r="H692" s="2">
        <v>27870</v>
      </c>
      <c r="I692" s="2" t="s">
        <v>152</v>
      </c>
      <c r="J692" s="2">
        <v>158859</v>
      </c>
      <c r="K692" s="2" t="s">
        <v>139</v>
      </c>
      <c r="L692" s="2" t="s">
        <v>176</v>
      </c>
      <c r="M692" s="2" t="s">
        <v>47</v>
      </c>
    </row>
    <row r="693" spans="1:13" x14ac:dyDescent="0.25">
      <c r="A693" s="2" t="s">
        <v>1543</v>
      </c>
      <c r="B693" s="2" t="s">
        <v>1544</v>
      </c>
      <c r="C693" s="2" t="s">
        <v>472</v>
      </c>
      <c r="D693" s="2" t="s">
        <v>16</v>
      </c>
      <c r="E693" s="2" t="s">
        <v>25</v>
      </c>
      <c r="F693" s="2" t="s">
        <v>93</v>
      </c>
      <c r="G693" s="2">
        <v>9</v>
      </c>
      <c r="H693" s="2">
        <v>19350</v>
      </c>
      <c r="I693" s="2"/>
      <c r="J693" s="2">
        <v>156735</v>
      </c>
      <c r="K693" s="2" t="s">
        <v>72</v>
      </c>
      <c r="L693" s="2" t="s">
        <v>375</v>
      </c>
      <c r="M693" s="2" t="s">
        <v>47</v>
      </c>
    </row>
    <row r="694" spans="1:13" x14ac:dyDescent="0.25">
      <c r="A694" s="2" t="s">
        <v>1545</v>
      </c>
      <c r="B694" s="2" t="s">
        <v>1231</v>
      </c>
      <c r="C694" s="2" t="s">
        <v>41</v>
      </c>
      <c r="D694" s="2" t="s">
        <v>42</v>
      </c>
      <c r="E694" s="2" t="s">
        <v>92</v>
      </c>
      <c r="F694" s="2" t="s">
        <v>248</v>
      </c>
      <c r="G694" s="2">
        <v>8</v>
      </c>
      <c r="H694" s="2">
        <v>71790</v>
      </c>
      <c r="I694" s="2">
        <v>0</v>
      </c>
      <c r="J694" s="2">
        <v>574320</v>
      </c>
      <c r="K694" s="2" t="s">
        <v>87</v>
      </c>
      <c r="L694" s="2" t="s">
        <v>200</v>
      </c>
      <c r="M694" s="2" t="s">
        <v>47</v>
      </c>
    </row>
    <row r="695" spans="1:13" x14ac:dyDescent="0.25">
      <c r="A695" s="2" t="s">
        <v>1546</v>
      </c>
      <c r="B695" s="2" t="s">
        <v>1547</v>
      </c>
      <c r="C695" s="2" t="s">
        <v>135</v>
      </c>
      <c r="D695" s="2" t="s">
        <v>58</v>
      </c>
      <c r="E695" s="2" t="s">
        <v>17</v>
      </c>
      <c r="F695" s="2" t="s">
        <v>374</v>
      </c>
      <c r="G695" s="2">
        <v>4</v>
      </c>
      <c r="H695" s="2">
        <v>1290</v>
      </c>
      <c r="I695" s="2">
        <v>15</v>
      </c>
      <c r="J695" s="2">
        <v>4386</v>
      </c>
      <c r="K695" s="2" t="s">
        <v>139</v>
      </c>
      <c r="L695" s="2" t="s">
        <v>46</v>
      </c>
      <c r="M695" s="2" t="s">
        <v>47</v>
      </c>
    </row>
    <row r="696" spans="1:13" x14ac:dyDescent="0.25">
      <c r="A696" s="2" t="s">
        <v>1548</v>
      </c>
      <c r="B696" s="2" t="s">
        <v>1549</v>
      </c>
      <c r="C696" s="2" t="s">
        <v>657</v>
      </c>
      <c r="D696" s="2" t="s">
        <v>58</v>
      </c>
      <c r="E696" s="2" t="s">
        <v>43</v>
      </c>
      <c r="F696" s="2" t="s">
        <v>248</v>
      </c>
      <c r="G696" s="2">
        <v>6</v>
      </c>
      <c r="H696" s="2">
        <v>4970</v>
      </c>
      <c r="I696" s="2">
        <v>0</v>
      </c>
      <c r="J696" s="2">
        <v>29820</v>
      </c>
      <c r="K696" s="2" t="s">
        <v>205</v>
      </c>
      <c r="L696" s="2" t="s">
        <v>285</v>
      </c>
      <c r="M696" s="2" t="s">
        <v>21</v>
      </c>
    </row>
    <row r="697" spans="1:13" x14ac:dyDescent="0.25">
      <c r="A697" s="2" t="s">
        <v>1550</v>
      </c>
      <c r="B697" s="2" t="s">
        <v>81</v>
      </c>
      <c r="C697" s="2" t="s">
        <v>64</v>
      </c>
      <c r="D697" s="2" t="s">
        <v>51</v>
      </c>
      <c r="E697" s="2" t="s">
        <v>17</v>
      </c>
      <c r="F697" s="2" t="s">
        <v>164</v>
      </c>
      <c r="G697" s="2">
        <v>7</v>
      </c>
      <c r="H697" s="2">
        <v>8290</v>
      </c>
      <c r="I697" s="2" t="s">
        <v>136</v>
      </c>
      <c r="J697" s="2">
        <v>58030</v>
      </c>
      <c r="K697" s="2" t="s">
        <v>45</v>
      </c>
      <c r="L697" s="2" t="s">
        <v>406</v>
      </c>
      <c r="M697" s="2" t="s">
        <v>21</v>
      </c>
    </row>
    <row r="698" spans="1:13" x14ac:dyDescent="0.25">
      <c r="A698" s="2" t="s">
        <v>1551</v>
      </c>
      <c r="B698" s="2" t="s">
        <v>1552</v>
      </c>
      <c r="C698" s="2" t="s">
        <v>238</v>
      </c>
      <c r="D698" s="2" t="s">
        <v>51</v>
      </c>
      <c r="E698" s="2" t="s">
        <v>322</v>
      </c>
      <c r="F698" s="2" t="s">
        <v>180</v>
      </c>
      <c r="G698" s="2">
        <v>9</v>
      </c>
      <c r="H698" s="2">
        <v>470</v>
      </c>
      <c r="I698" s="2">
        <v>15</v>
      </c>
      <c r="J698" s="2">
        <v>3595.5</v>
      </c>
      <c r="K698" s="2" t="s">
        <v>45</v>
      </c>
      <c r="L698" s="2" t="s">
        <v>168</v>
      </c>
      <c r="M698" s="2" t="s">
        <v>29</v>
      </c>
    </row>
    <row r="699" spans="1:13" x14ac:dyDescent="0.25">
      <c r="A699" s="2" t="s">
        <v>1553</v>
      </c>
      <c r="B699" s="2" t="s">
        <v>1554</v>
      </c>
      <c r="C699" s="2" t="s">
        <v>238</v>
      </c>
      <c r="D699" s="2" t="s">
        <v>51</v>
      </c>
      <c r="E699" s="2" t="s">
        <v>137</v>
      </c>
      <c r="F699" s="2" t="s">
        <v>171</v>
      </c>
      <c r="G699" s="2">
        <v>2</v>
      </c>
      <c r="H699" s="2">
        <v>67910</v>
      </c>
      <c r="I699" s="2">
        <v>0</v>
      </c>
      <c r="J699" s="2"/>
      <c r="K699" s="2" t="s">
        <v>127</v>
      </c>
      <c r="L699" s="2" t="s">
        <v>1526</v>
      </c>
      <c r="M699" s="2" t="s">
        <v>210</v>
      </c>
    </row>
    <row r="700" spans="1:13" x14ac:dyDescent="0.25">
      <c r="A700" s="2" t="s">
        <v>1555</v>
      </c>
      <c r="B700" s="2" t="s">
        <v>1556</v>
      </c>
      <c r="C700" s="2" t="s">
        <v>41</v>
      </c>
      <c r="D700" s="2" t="s">
        <v>42</v>
      </c>
      <c r="E700" s="2" t="s">
        <v>163</v>
      </c>
      <c r="F700" s="2" t="s">
        <v>71</v>
      </c>
      <c r="G700" s="2">
        <v>11</v>
      </c>
      <c r="H700" s="2">
        <v>8750</v>
      </c>
      <c r="I700" s="2">
        <v>15</v>
      </c>
      <c r="J700" s="2">
        <v>81812.5</v>
      </c>
      <c r="K700" s="2" t="s">
        <v>72</v>
      </c>
      <c r="L700" s="2" t="s">
        <v>387</v>
      </c>
      <c r="M700" s="2" t="s">
        <v>201</v>
      </c>
    </row>
    <row r="701" spans="1:13" x14ac:dyDescent="0.25">
      <c r="A701" s="2" t="s">
        <v>1557</v>
      </c>
      <c r="B701" s="2" t="s">
        <v>1558</v>
      </c>
      <c r="C701" s="2" t="s">
        <v>227</v>
      </c>
      <c r="D701" s="2" t="s">
        <v>33</v>
      </c>
      <c r="E701" s="2" t="s">
        <v>119</v>
      </c>
      <c r="F701" s="2" t="s">
        <v>93</v>
      </c>
      <c r="G701" s="2">
        <v>8</v>
      </c>
      <c r="H701" s="2">
        <v>2700</v>
      </c>
      <c r="I701" s="2">
        <v>0</v>
      </c>
      <c r="J701" s="2">
        <v>21600</v>
      </c>
      <c r="K701" s="2" t="s">
        <v>144</v>
      </c>
      <c r="L701" s="2" t="s">
        <v>136</v>
      </c>
      <c r="M701" s="2" t="s">
        <v>21</v>
      </c>
    </row>
    <row r="702" spans="1:13" x14ac:dyDescent="0.25">
      <c r="A702" s="2" t="s">
        <v>1559</v>
      </c>
      <c r="B702" s="2" t="s">
        <v>1560</v>
      </c>
      <c r="C702" s="2" t="s">
        <v>110</v>
      </c>
      <c r="D702" s="2" t="s">
        <v>33</v>
      </c>
      <c r="E702" s="2" t="s">
        <v>179</v>
      </c>
      <c r="F702" s="2" t="s">
        <v>543</v>
      </c>
      <c r="G702" s="2">
        <v>7</v>
      </c>
      <c r="H702" s="2">
        <v>11010</v>
      </c>
      <c r="I702" s="2">
        <v>15</v>
      </c>
      <c r="J702" s="2">
        <v>65509.5</v>
      </c>
      <c r="K702" s="2" t="s">
        <v>107</v>
      </c>
      <c r="L702" s="2" t="s">
        <v>37</v>
      </c>
      <c r="M702" s="2" t="s">
        <v>29</v>
      </c>
    </row>
    <row r="703" spans="1:13" x14ac:dyDescent="0.25">
      <c r="A703" s="2" t="s">
        <v>1561</v>
      </c>
      <c r="B703" s="2" t="s">
        <v>1562</v>
      </c>
      <c r="C703" s="2" t="s">
        <v>32</v>
      </c>
      <c r="D703" s="2" t="s">
        <v>33</v>
      </c>
      <c r="E703" s="2" t="s">
        <v>82</v>
      </c>
      <c r="F703" s="2" t="s">
        <v>83</v>
      </c>
      <c r="G703" s="2">
        <v>11</v>
      </c>
      <c r="H703" s="2">
        <v>9980</v>
      </c>
      <c r="I703" s="2">
        <v>0</v>
      </c>
      <c r="J703" s="2" t="s">
        <v>107</v>
      </c>
      <c r="K703" s="2" t="s">
        <v>136</v>
      </c>
      <c r="L703" s="2" t="s">
        <v>107</v>
      </c>
      <c r="M703" s="2" t="s">
        <v>128</v>
      </c>
    </row>
    <row r="704" spans="1:13" x14ac:dyDescent="0.25">
      <c r="A704" s="2" t="s">
        <v>1563</v>
      </c>
      <c r="B704" s="2" t="s">
        <v>1564</v>
      </c>
      <c r="C704" s="2" t="s">
        <v>238</v>
      </c>
      <c r="D704" s="2" t="s">
        <v>51</v>
      </c>
      <c r="E704" s="2"/>
      <c r="F704" s="2" t="s">
        <v>232</v>
      </c>
      <c r="G704" s="2">
        <v>7</v>
      </c>
      <c r="H704" s="2">
        <v>470</v>
      </c>
      <c r="I704" s="2">
        <v>10</v>
      </c>
      <c r="J704" s="2">
        <v>2961</v>
      </c>
      <c r="K704" s="2" t="s">
        <v>67</v>
      </c>
      <c r="L704" s="2" t="s">
        <v>387</v>
      </c>
      <c r="M704" s="2" t="s">
        <v>128</v>
      </c>
    </row>
    <row r="705" spans="1:13" x14ac:dyDescent="0.25">
      <c r="A705" s="2" t="s">
        <v>1565</v>
      </c>
      <c r="B705" s="2" t="s">
        <v>1566</v>
      </c>
      <c r="C705" s="2" t="s">
        <v>557</v>
      </c>
      <c r="D705" s="2" t="s">
        <v>223</v>
      </c>
      <c r="E705" s="2" t="s">
        <v>100</v>
      </c>
      <c r="F705" s="2" t="s">
        <v>319</v>
      </c>
      <c r="G705" s="2">
        <v>10</v>
      </c>
      <c r="H705" s="2">
        <v>16770</v>
      </c>
      <c r="I705" s="2" t="s">
        <v>152</v>
      </c>
      <c r="J705" s="2">
        <v>167700</v>
      </c>
      <c r="K705" s="2" t="s">
        <v>102</v>
      </c>
      <c r="L705" s="2" t="s">
        <v>311</v>
      </c>
      <c r="M705" s="2" t="s">
        <v>47</v>
      </c>
    </row>
    <row r="706" spans="1:13" x14ac:dyDescent="0.25">
      <c r="A706" s="2" t="s">
        <v>1567</v>
      </c>
      <c r="B706" s="2" t="s">
        <v>1568</v>
      </c>
      <c r="C706" s="2" t="s">
        <v>657</v>
      </c>
      <c r="D706" s="2" t="s">
        <v>58</v>
      </c>
      <c r="E706" s="2" t="s">
        <v>77</v>
      </c>
      <c r="F706" s="2" t="s">
        <v>184</v>
      </c>
      <c r="G706" s="2">
        <v>10</v>
      </c>
      <c r="H706" s="2">
        <v>49620</v>
      </c>
      <c r="I706" s="2">
        <v>0</v>
      </c>
      <c r="J706" s="2">
        <v>496200</v>
      </c>
      <c r="K706" s="2" t="s">
        <v>133</v>
      </c>
      <c r="L706" s="2" t="s">
        <v>344</v>
      </c>
      <c r="M706" s="2" t="s">
        <v>38</v>
      </c>
    </row>
    <row r="707" spans="1:13" x14ac:dyDescent="0.25">
      <c r="A707" s="2" t="s">
        <v>1569</v>
      </c>
      <c r="B707" s="2" t="s">
        <v>1063</v>
      </c>
      <c r="C707" s="2" t="s">
        <v>244</v>
      </c>
      <c r="D707" s="2" t="s">
        <v>42</v>
      </c>
      <c r="E707" s="2" t="s">
        <v>34</v>
      </c>
      <c r="F707" s="2" t="s">
        <v>290</v>
      </c>
      <c r="G707" s="2">
        <v>10</v>
      </c>
      <c r="H707" s="2">
        <v>41960</v>
      </c>
      <c r="I707" s="2">
        <v>15</v>
      </c>
      <c r="J707" s="2">
        <v>356660</v>
      </c>
      <c r="K707" s="2" t="s">
        <v>120</v>
      </c>
      <c r="L707" s="2" t="s">
        <v>54</v>
      </c>
      <c r="M707" s="2" t="s">
        <v>47</v>
      </c>
    </row>
    <row r="708" spans="1:13" x14ac:dyDescent="0.25">
      <c r="A708" s="2" t="s">
        <v>1570</v>
      </c>
      <c r="B708" s="2" t="s">
        <v>1571</v>
      </c>
      <c r="C708" s="2" t="s">
        <v>57</v>
      </c>
      <c r="D708" s="2" t="s">
        <v>58</v>
      </c>
      <c r="E708" s="2" t="s">
        <v>25</v>
      </c>
      <c r="F708" s="2" t="s">
        <v>332</v>
      </c>
      <c r="G708" s="2">
        <v>4</v>
      </c>
      <c r="H708" s="2">
        <v>450</v>
      </c>
      <c r="I708" s="2">
        <v>0</v>
      </c>
      <c r="J708" s="2" t="s">
        <v>223</v>
      </c>
      <c r="K708" s="2" t="s">
        <v>172</v>
      </c>
      <c r="L708" s="2" t="s">
        <v>883</v>
      </c>
      <c r="M708" s="2" t="s">
        <v>29</v>
      </c>
    </row>
    <row r="709" spans="1:13" x14ac:dyDescent="0.25">
      <c r="A709" s="2" t="s">
        <v>1572</v>
      </c>
      <c r="B709" s="2" t="s">
        <v>1573</v>
      </c>
      <c r="C709" s="2" t="s">
        <v>32</v>
      </c>
      <c r="D709" s="2" t="s">
        <v>33</v>
      </c>
      <c r="E709" s="2" t="s">
        <v>322</v>
      </c>
      <c r="F709" s="2" t="s">
        <v>180</v>
      </c>
      <c r="G709" s="2">
        <v>6</v>
      </c>
      <c r="H709" s="2">
        <v>50860</v>
      </c>
      <c r="I709" s="2">
        <v>0</v>
      </c>
      <c r="J709" s="2">
        <v>305160</v>
      </c>
      <c r="K709" s="2" t="s">
        <v>127</v>
      </c>
      <c r="L709" s="2" t="s">
        <v>473</v>
      </c>
      <c r="M709" s="2" t="s">
        <v>128</v>
      </c>
    </row>
    <row r="710" spans="1:13" x14ac:dyDescent="0.25">
      <c r="A710" s="2" t="s">
        <v>1574</v>
      </c>
      <c r="B710" s="2" t="s">
        <v>1575</v>
      </c>
      <c r="C710" s="2" t="s">
        <v>204</v>
      </c>
      <c r="D710" s="2" t="s">
        <v>33</v>
      </c>
      <c r="E710" s="2" t="s">
        <v>119</v>
      </c>
      <c r="F710" s="2" t="s">
        <v>248</v>
      </c>
      <c r="G710" s="2">
        <v>10</v>
      </c>
      <c r="H710" s="2">
        <v>3990</v>
      </c>
      <c r="I710" s="2">
        <v>5</v>
      </c>
      <c r="J710" s="2">
        <v>37905</v>
      </c>
      <c r="K710" s="2" t="s">
        <v>36</v>
      </c>
      <c r="L710" s="2" t="s">
        <v>611</v>
      </c>
      <c r="M710" s="2" t="s">
        <v>47</v>
      </c>
    </row>
    <row r="711" spans="1:13" x14ac:dyDescent="0.25">
      <c r="A711" s="2" t="s">
        <v>1576</v>
      </c>
      <c r="B711" s="2" t="s">
        <v>1577</v>
      </c>
      <c r="C711" s="2" t="s">
        <v>57</v>
      </c>
      <c r="D711" s="2" t="s">
        <v>58</v>
      </c>
      <c r="E711" s="2" t="s">
        <v>295</v>
      </c>
      <c r="F711" s="2" t="s">
        <v>132</v>
      </c>
      <c r="G711" s="2">
        <v>7</v>
      </c>
      <c r="H711" s="2">
        <v>9630</v>
      </c>
      <c r="I711" s="2">
        <v>5</v>
      </c>
      <c r="J711" s="2">
        <v>64039.5</v>
      </c>
      <c r="K711" s="2" t="s">
        <v>172</v>
      </c>
      <c r="L711" s="2" t="s">
        <v>266</v>
      </c>
      <c r="M711" s="2" t="s">
        <v>215</v>
      </c>
    </row>
    <row r="712" spans="1:13" x14ac:dyDescent="0.25">
      <c r="A712" s="2" t="s">
        <v>1578</v>
      </c>
      <c r="B712" s="2" t="s">
        <v>1579</v>
      </c>
      <c r="C712" s="2" t="s">
        <v>227</v>
      </c>
      <c r="D712" s="2" t="s">
        <v>33</v>
      </c>
      <c r="E712" s="2" t="s">
        <v>179</v>
      </c>
      <c r="F712" s="2" t="s">
        <v>543</v>
      </c>
      <c r="G712" s="2">
        <v>10</v>
      </c>
      <c r="H712" s="2">
        <v>2280</v>
      </c>
      <c r="I712" s="2">
        <v>10</v>
      </c>
      <c r="J712" s="2">
        <v>20520</v>
      </c>
      <c r="K712" s="2" t="s">
        <v>139</v>
      </c>
      <c r="L712" s="2" t="s">
        <v>173</v>
      </c>
      <c r="M712" s="2" t="s">
        <v>47</v>
      </c>
    </row>
    <row r="713" spans="1:13" x14ac:dyDescent="0.25">
      <c r="A713" s="2" t="s">
        <v>1580</v>
      </c>
      <c r="B713" s="2" t="s">
        <v>191</v>
      </c>
      <c r="C713" s="2" t="s">
        <v>138</v>
      </c>
      <c r="D713" s="2" t="s">
        <v>33</v>
      </c>
      <c r="E713" s="2" t="s">
        <v>111</v>
      </c>
      <c r="F713" s="2" t="s">
        <v>180</v>
      </c>
      <c r="G713" s="2">
        <v>1</v>
      </c>
      <c r="H713" s="2">
        <v>3210</v>
      </c>
      <c r="I713" s="2">
        <v>15</v>
      </c>
      <c r="J713" s="2">
        <v>2728.5</v>
      </c>
      <c r="K713" s="2" t="s">
        <v>157</v>
      </c>
      <c r="L713" s="2" t="s">
        <v>796</v>
      </c>
      <c r="M713" s="2" t="s">
        <v>501</v>
      </c>
    </row>
    <row r="714" spans="1:13" x14ac:dyDescent="0.25">
      <c r="A714" s="2" t="s">
        <v>1581</v>
      </c>
      <c r="B714" s="2" t="s">
        <v>230</v>
      </c>
      <c r="C714" s="2" t="s">
        <v>213</v>
      </c>
      <c r="D714" s="2" t="s">
        <v>58</v>
      </c>
      <c r="E714" s="2" t="s">
        <v>179</v>
      </c>
      <c r="F714" s="2" t="s">
        <v>239</v>
      </c>
      <c r="G714" s="2">
        <v>4</v>
      </c>
      <c r="H714" s="2">
        <v>7880</v>
      </c>
      <c r="I714" s="2">
        <v>10</v>
      </c>
      <c r="J714" s="2">
        <v>28368</v>
      </c>
      <c r="K714" s="2" t="s">
        <v>172</v>
      </c>
      <c r="L714" s="2"/>
      <c r="M714" s="2" t="s">
        <v>47</v>
      </c>
    </row>
    <row r="715" spans="1:13" x14ac:dyDescent="0.25">
      <c r="A715" s="2" t="s">
        <v>1582</v>
      </c>
      <c r="B715" s="2" t="s">
        <v>1083</v>
      </c>
      <c r="C715" s="2" t="s">
        <v>32</v>
      </c>
      <c r="D715" s="2" t="s">
        <v>33</v>
      </c>
      <c r="E715" s="2" t="s">
        <v>284</v>
      </c>
      <c r="F715" s="2" t="s">
        <v>252</v>
      </c>
      <c r="G715" s="2">
        <v>3</v>
      </c>
      <c r="H715" s="2">
        <v>8150</v>
      </c>
      <c r="I715" s="2">
        <v>5</v>
      </c>
      <c r="J715" s="2">
        <v>23227.5</v>
      </c>
      <c r="K715" s="2" t="s">
        <v>27</v>
      </c>
      <c r="L715" s="2" t="s">
        <v>720</v>
      </c>
      <c r="M715" s="2" t="s">
        <v>47</v>
      </c>
    </row>
    <row r="716" spans="1:13" x14ac:dyDescent="0.25">
      <c r="A716" s="2" t="s">
        <v>1583</v>
      </c>
      <c r="B716" s="2" t="s">
        <v>1444</v>
      </c>
      <c r="C716" s="2" t="s">
        <v>15</v>
      </c>
      <c r="D716" s="2" t="s">
        <v>16</v>
      </c>
      <c r="E716" s="2" t="s">
        <v>77</v>
      </c>
      <c r="F716" s="2" t="s">
        <v>143</v>
      </c>
      <c r="G716" s="2">
        <v>4</v>
      </c>
      <c r="H716" s="2">
        <v>12770</v>
      </c>
      <c r="I716" s="2">
        <v>10</v>
      </c>
      <c r="J716" s="2">
        <v>45972</v>
      </c>
      <c r="K716" s="2" t="s">
        <v>53</v>
      </c>
      <c r="L716" s="2" t="s">
        <v>341</v>
      </c>
      <c r="M716" s="2" t="s">
        <v>47</v>
      </c>
    </row>
    <row r="717" spans="1:13" x14ac:dyDescent="0.25">
      <c r="A717" s="2" t="s">
        <v>1584</v>
      </c>
      <c r="B717" s="2" t="s">
        <v>1190</v>
      </c>
      <c r="C717" s="2" t="s">
        <v>24</v>
      </c>
      <c r="D717" s="2" t="s">
        <v>16</v>
      </c>
      <c r="E717" s="2" t="s">
        <v>195</v>
      </c>
      <c r="F717" s="2" t="s">
        <v>18</v>
      </c>
      <c r="G717" s="2" t="s">
        <v>152</v>
      </c>
      <c r="H717" s="2">
        <v>12460</v>
      </c>
      <c r="I717" s="2">
        <v>0</v>
      </c>
      <c r="J717" s="2">
        <v>137060</v>
      </c>
      <c r="K717" s="2" t="s">
        <v>36</v>
      </c>
      <c r="L717" s="2" t="s">
        <v>168</v>
      </c>
      <c r="M717" s="2" t="s">
        <v>140</v>
      </c>
    </row>
    <row r="718" spans="1:13" x14ac:dyDescent="0.25">
      <c r="A718" s="2" t="s">
        <v>1585</v>
      </c>
      <c r="B718" s="2" t="s">
        <v>1586</v>
      </c>
      <c r="C718" s="2" t="s">
        <v>24</v>
      </c>
      <c r="D718" s="2" t="s">
        <v>16</v>
      </c>
      <c r="E718" s="2" t="s">
        <v>163</v>
      </c>
      <c r="F718" s="2" t="s">
        <v>18</v>
      </c>
      <c r="G718" s="2">
        <v>11</v>
      </c>
      <c r="H718" s="2">
        <v>5230</v>
      </c>
      <c r="I718" s="2">
        <v>0</v>
      </c>
      <c r="J718" s="2">
        <v>57530</v>
      </c>
      <c r="K718" s="2"/>
      <c r="L718" s="2" t="s">
        <v>406</v>
      </c>
      <c r="M718" s="2" t="s">
        <v>47</v>
      </c>
    </row>
    <row r="719" spans="1:13" x14ac:dyDescent="0.25">
      <c r="A719" s="2" t="s">
        <v>1587</v>
      </c>
      <c r="B719" s="2" t="s">
        <v>1588</v>
      </c>
      <c r="C719" s="2" t="s">
        <v>156</v>
      </c>
      <c r="D719" s="2" t="s">
        <v>51</v>
      </c>
      <c r="E719" s="2" t="s">
        <v>105</v>
      </c>
      <c r="F719" s="2" t="s">
        <v>248</v>
      </c>
      <c r="G719" s="2">
        <v>4</v>
      </c>
      <c r="H719" s="2">
        <v>20630</v>
      </c>
      <c r="I719" s="2">
        <v>15</v>
      </c>
      <c r="J719" s="2">
        <v>70142</v>
      </c>
      <c r="K719" s="2" t="s">
        <v>157</v>
      </c>
      <c r="L719" s="2" t="s">
        <v>152</v>
      </c>
      <c r="M719" s="2" t="s">
        <v>140</v>
      </c>
    </row>
    <row r="720" spans="1:13" x14ac:dyDescent="0.25">
      <c r="A720" s="2" t="s">
        <v>1589</v>
      </c>
      <c r="B720" s="2" t="s">
        <v>1590</v>
      </c>
      <c r="C720" s="2" t="s">
        <v>50</v>
      </c>
      <c r="D720" s="2" t="s">
        <v>51</v>
      </c>
      <c r="E720" s="2" t="s">
        <v>284</v>
      </c>
      <c r="F720" s="2" t="s">
        <v>379</v>
      </c>
      <c r="G720" s="2">
        <v>5</v>
      </c>
      <c r="H720" s="2">
        <v>2410</v>
      </c>
      <c r="I720" s="2">
        <v>10</v>
      </c>
      <c r="J720" s="2">
        <v>10845</v>
      </c>
      <c r="K720" s="2" t="s">
        <v>127</v>
      </c>
      <c r="L720" s="2" t="s">
        <v>185</v>
      </c>
      <c r="M720" s="2" t="s">
        <v>47</v>
      </c>
    </row>
    <row r="721" spans="1:13" x14ac:dyDescent="0.25">
      <c r="A721" s="2" t="s">
        <v>1305</v>
      </c>
      <c r="B721" s="2" t="s">
        <v>1306</v>
      </c>
      <c r="C721" s="2" t="s">
        <v>76</v>
      </c>
      <c r="D721" s="2" t="s">
        <v>33</v>
      </c>
      <c r="E721" s="2" t="s">
        <v>65</v>
      </c>
      <c r="F721" s="2" t="s">
        <v>319</v>
      </c>
      <c r="G721" s="2">
        <v>8</v>
      </c>
      <c r="H721" s="2">
        <v>48600</v>
      </c>
      <c r="I721" s="2">
        <v>10</v>
      </c>
      <c r="J721" s="2">
        <v>349920</v>
      </c>
      <c r="K721" s="2" t="s">
        <v>139</v>
      </c>
      <c r="L721" s="2" t="s">
        <v>411</v>
      </c>
      <c r="M721" s="2" t="s">
        <v>38</v>
      </c>
    </row>
    <row r="722" spans="1:13" x14ac:dyDescent="0.25">
      <c r="A722" s="2" t="s">
        <v>1591</v>
      </c>
      <c r="B722" s="2" t="s">
        <v>1592</v>
      </c>
      <c r="C722" s="2" t="s">
        <v>110</v>
      </c>
      <c r="D722" s="2" t="s">
        <v>33</v>
      </c>
      <c r="E722" s="2" t="s">
        <v>77</v>
      </c>
      <c r="F722" s="2" t="s">
        <v>184</v>
      </c>
      <c r="G722" s="2">
        <v>3</v>
      </c>
      <c r="H722" s="2">
        <v>2300</v>
      </c>
      <c r="I722" s="2">
        <v>0</v>
      </c>
      <c r="J722" s="2" t="s">
        <v>107</v>
      </c>
      <c r="K722" s="2" t="s">
        <v>205</v>
      </c>
      <c r="L722" s="2" t="s">
        <v>274</v>
      </c>
      <c r="M722" s="2" t="s">
        <v>140</v>
      </c>
    </row>
    <row r="723" spans="1:13" x14ac:dyDescent="0.25">
      <c r="A723" s="2" t="s">
        <v>1593</v>
      </c>
      <c r="B723" s="2" t="s">
        <v>1594</v>
      </c>
      <c r="C723" s="2" t="s">
        <v>557</v>
      </c>
      <c r="D723" s="2" t="s">
        <v>16</v>
      </c>
      <c r="E723" s="2" t="s">
        <v>137</v>
      </c>
      <c r="F723" s="2" t="s">
        <v>35</v>
      </c>
      <c r="G723" s="2"/>
      <c r="H723" s="2">
        <v>9940</v>
      </c>
      <c r="I723" s="2">
        <v>15</v>
      </c>
      <c r="J723" s="2">
        <v>42245</v>
      </c>
      <c r="K723" s="2" t="s">
        <v>144</v>
      </c>
      <c r="L723" s="2" t="s">
        <v>46</v>
      </c>
      <c r="M723" s="2" t="s">
        <v>29</v>
      </c>
    </row>
    <row r="724" spans="1:13" x14ac:dyDescent="0.25">
      <c r="A724" s="2" t="s">
        <v>1595</v>
      </c>
      <c r="B724" s="2" t="s">
        <v>1596</v>
      </c>
      <c r="C724" s="2" t="s">
        <v>238</v>
      </c>
      <c r="D724" s="2" t="s">
        <v>51</v>
      </c>
      <c r="E724" s="2" t="s">
        <v>295</v>
      </c>
      <c r="F724" s="2" t="s">
        <v>296</v>
      </c>
      <c r="G724" s="2" t="s">
        <v>136</v>
      </c>
      <c r="H724" s="2">
        <v>26810</v>
      </c>
      <c r="I724" s="2">
        <v>15</v>
      </c>
      <c r="J724" s="2">
        <v>91154</v>
      </c>
      <c r="K724" s="2" t="s">
        <v>53</v>
      </c>
      <c r="L724" s="2" t="s">
        <v>73</v>
      </c>
      <c r="M724" s="2" t="s">
        <v>47</v>
      </c>
    </row>
    <row r="725" spans="1:13" x14ac:dyDescent="0.25">
      <c r="A725" s="2" t="s">
        <v>1597</v>
      </c>
      <c r="B725" s="2" t="s">
        <v>1174</v>
      </c>
      <c r="C725" s="2" t="s">
        <v>238</v>
      </c>
      <c r="D725" s="2" t="s">
        <v>51</v>
      </c>
      <c r="E725" s="2" t="s">
        <v>148</v>
      </c>
      <c r="F725" s="2" t="s">
        <v>83</v>
      </c>
      <c r="G725" s="2">
        <v>9</v>
      </c>
      <c r="H725" s="2">
        <v>8830</v>
      </c>
      <c r="I725" s="2"/>
      <c r="J725" s="2">
        <v>75496.5</v>
      </c>
      <c r="K725" s="2" t="s">
        <v>127</v>
      </c>
      <c r="L725" s="2" t="s">
        <v>311</v>
      </c>
      <c r="M725" s="2" t="s">
        <v>47</v>
      </c>
    </row>
    <row r="726" spans="1:13" x14ac:dyDescent="0.25">
      <c r="A726" s="2" t="s">
        <v>1598</v>
      </c>
      <c r="B726" s="2" t="s">
        <v>1599</v>
      </c>
      <c r="C726" s="2" t="s">
        <v>472</v>
      </c>
      <c r="D726" s="2" t="s">
        <v>16</v>
      </c>
      <c r="E726" s="2" t="s">
        <v>322</v>
      </c>
      <c r="F726" s="2" t="s">
        <v>239</v>
      </c>
      <c r="G726" s="2">
        <v>11</v>
      </c>
      <c r="H726" s="2">
        <v>4520</v>
      </c>
      <c r="I726" s="2">
        <v>0</v>
      </c>
      <c r="J726" s="2">
        <v>49720</v>
      </c>
      <c r="K726" s="2" t="s">
        <v>157</v>
      </c>
      <c r="L726" s="2" t="s">
        <v>341</v>
      </c>
      <c r="M726" s="2" t="s">
        <v>47</v>
      </c>
    </row>
    <row r="727" spans="1:13" x14ac:dyDescent="0.25">
      <c r="A727" s="2" t="s">
        <v>1600</v>
      </c>
      <c r="B727" s="2" t="s">
        <v>1601</v>
      </c>
      <c r="C727" s="2" t="s">
        <v>416</v>
      </c>
      <c r="D727" s="2" t="s">
        <v>33</v>
      </c>
      <c r="E727" s="2" t="s">
        <v>138</v>
      </c>
      <c r="F727" s="2" t="s">
        <v>374</v>
      </c>
      <c r="G727" s="2">
        <v>12</v>
      </c>
      <c r="H727" s="2">
        <v>12220</v>
      </c>
      <c r="I727" s="2">
        <v>0</v>
      </c>
      <c r="J727" s="2">
        <v>146640</v>
      </c>
      <c r="K727" s="2" t="s">
        <v>102</v>
      </c>
      <c r="L727" s="2" t="s">
        <v>249</v>
      </c>
      <c r="M727" s="2" t="s">
        <v>821</v>
      </c>
    </row>
    <row r="728" spans="1:13" x14ac:dyDescent="0.25">
      <c r="A728" s="2" t="s">
        <v>1602</v>
      </c>
      <c r="B728" s="2" t="s">
        <v>1603</v>
      </c>
      <c r="C728" s="2" t="s">
        <v>213</v>
      </c>
      <c r="D728" s="2" t="s">
        <v>58</v>
      </c>
      <c r="E728" s="2"/>
      <c r="F728" s="2" t="s">
        <v>255</v>
      </c>
      <c r="G728" s="2">
        <v>1</v>
      </c>
      <c r="H728" s="2">
        <v>18910</v>
      </c>
      <c r="I728" s="2">
        <v>0</v>
      </c>
      <c r="J728" s="2">
        <v>18910</v>
      </c>
      <c r="K728" s="2" t="s">
        <v>127</v>
      </c>
      <c r="L728" s="2" t="s">
        <v>88</v>
      </c>
      <c r="M728" s="2" t="s">
        <v>47</v>
      </c>
    </row>
    <row r="729" spans="1:13" x14ac:dyDescent="0.25">
      <c r="A729" s="2" t="s">
        <v>1604</v>
      </c>
      <c r="B729" s="2" t="s">
        <v>1605</v>
      </c>
      <c r="C729" s="2" t="s">
        <v>76</v>
      </c>
      <c r="D729" s="2" t="s">
        <v>33</v>
      </c>
      <c r="E729" s="2" t="s">
        <v>111</v>
      </c>
      <c r="F729" s="2" t="s">
        <v>239</v>
      </c>
      <c r="G729" s="2">
        <v>6</v>
      </c>
      <c r="H729" s="2">
        <v>4620</v>
      </c>
      <c r="I729" s="2">
        <v>15</v>
      </c>
      <c r="J729" s="2"/>
      <c r="K729" s="2" t="s">
        <v>36</v>
      </c>
      <c r="L729" s="2" t="s">
        <v>61</v>
      </c>
      <c r="M729" s="2" t="s">
        <v>128</v>
      </c>
    </row>
    <row r="730" spans="1:13" x14ac:dyDescent="0.25">
      <c r="A730" s="2" t="s">
        <v>1606</v>
      </c>
      <c r="B730" s="2" t="s">
        <v>1607</v>
      </c>
      <c r="C730" s="2" t="s">
        <v>50</v>
      </c>
      <c r="D730" s="2" t="s">
        <v>51</v>
      </c>
      <c r="E730" s="2" t="s">
        <v>195</v>
      </c>
      <c r="F730" s="2" t="s">
        <v>290</v>
      </c>
      <c r="G730" s="2">
        <v>6</v>
      </c>
      <c r="H730" s="2">
        <v>59680</v>
      </c>
      <c r="I730" s="2">
        <v>0</v>
      </c>
      <c r="J730" s="2">
        <v>358080</v>
      </c>
      <c r="K730" s="2" t="s">
        <v>133</v>
      </c>
      <c r="L730" s="2" t="s">
        <v>720</v>
      </c>
      <c r="M730" s="2" t="s">
        <v>140</v>
      </c>
    </row>
    <row r="731" spans="1:13" x14ac:dyDescent="0.25">
      <c r="A731" s="2" t="s">
        <v>1608</v>
      </c>
      <c r="B731" s="2" t="s">
        <v>855</v>
      </c>
      <c r="C731" s="2" t="s">
        <v>110</v>
      </c>
      <c r="D731" s="2" t="s">
        <v>33</v>
      </c>
      <c r="E731" s="2" t="s">
        <v>100</v>
      </c>
      <c r="F731" s="2" t="s">
        <v>219</v>
      </c>
      <c r="G731" s="2">
        <v>2</v>
      </c>
      <c r="H731" s="2">
        <v>530</v>
      </c>
      <c r="I731" s="2">
        <v>15</v>
      </c>
      <c r="J731" s="2">
        <v>901</v>
      </c>
      <c r="K731" s="2" t="s">
        <v>127</v>
      </c>
      <c r="L731" s="2" t="s">
        <v>228</v>
      </c>
      <c r="M731" s="2" t="s">
        <v>47</v>
      </c>
    </row>
    <row r="732" spans="1:13" x14ac:dyDescent="0.25">
      <c r="A732" s="2" t="s">
        <v>1609</v>
      </c>
      <c r="B732" s="2" t="s">
        <v>1610</v>
      </c>
      <c r="C732" s="2" t="s">
        <v>91</v>
      </c>
      <c r="D732" s="2" t="s">
        <v>51</v>
      </c>
      <c r="E732" s="2" t="s">
        <v>195</v>
      </c>
      <c r="F732" s="2" t="s">
        <v>35</v>
      </c>
      <c r="G732" s="2">
        <v>11</v>
      </c>
      <c r="H732" s="2">
        <v>19110</v>
      </c>
      <c r="I732" s="2">
        <v>5</v>
      </c>
      <c r="J732" s="2">
        <v>199699.5</v>
      </c>
      <c r="K732" s="2" t="s">
        <v>67</v>
      </c>
      <c r="L732" s="2" t="s">
        <v>37</v>
      </c>
      <c r="M732" s="2" t="s">
        <v>29</v>
      </c>
    </row>
    <row r="733" spans="1:13" x14ac:dyDescent="0.25">
      <c r="A733" s="2" t="s">
        <v>1611</v>
      </c>
      <c r="B733" s="2" t="s">
        <v>1612</v>
      </c>
      <c r="C733" s="2" t="s">
        <v>162</v>
      </c>
      <c r="D733" s="2" t="s">
        <v>33</v>
      </c>
      <c r="E733" s="2" t="s">
        <v>152</v>
      </c>
      <c r="F733" s="2" t="s">
        <v>66</v>
      </c>
      <c r="G733" s="2">
        <v>7</v>
      </c>
      <c r="H733" s="2">
        <v>60260</v>
      </c>
      <c r="I733" s="2">
        <v>0</v>
      </c>
      <c r="J733" s="2">
        <v>421820</v>
      </c>
      <c r="K733" s="2" t="s">
        <v>144</v>
      </c>
      <c r="L733" s="2" t="s">
        <v>73</v>
      </c>
      <c r="M733" s="2" t="s">
        <v>501</v>
      </c>
    </row>
    <row r="734" spans="1:13" x14ac:dyDescent="0.25">
      <c r="A734" s="2" t="s">
        <v>1613</v>
      </c>
      <c r="B734" s="2" t="s">
        <v>1079</v>
      </c>
      <c r="C734" s="2" t="s">
        <v>135</v>
      </c>
      <c r="D734" s="2" t="s">
        <v>58</v>
      </c>
      <c r="E734" s="2" t="s">
        <v>148</v>
      </c>
      <c r="F734" s="2" t="s">
        <v>435</v>
      </c>
      <c r="G734" s="2">
        <v>2</v>
      </c>
      <c r="H734" s="2">
        <v>3390</v>
      </c>
      <c r="I734" s="2">
        <v>5</v>
      </c>
      <c r="J734" s="2">
        <v>6441</v>
      </c>
      <c r="K734" s="2" t="s">
        <v>27</v>
      </c>
      <c r="L734" s="2" t="s">
        <v>68</v>
      </c>
      <c r="M734" s="2" t="s">
        <v>21</v>
      </c>
    </row>
    <row r="735" spans="1:13" x14ac:dyDescent="0.25">
      <c r="A735" s="2" t="s">
        <v>1614</v>
      </c>
      <c r="B735" s="2" t="s">
        <v>1615</v>
      </c>
      <c r="C735" s="2" t="s">
        <v>110</v>
      </c>
      <c r="D735" s="2" t="s">
        <v>33</v>
      </c>
      <c r="E735" s="2" t="s">
        <v>163</v>
      </c>
      <c r="F735" s="2" t="s">
        <v>199</v>
      </c>
      <c r="G735" s="2">
        <v>10</v>
      </c>
      <c r="H735" s="2">
        <v>2770</v>
      </c>
      <c r="I735" s="2">
        <v>5</v>
      </c>
      <c r="J735" s="2">
        <v>26315</v>
      </c>
      <c r="K735" s="2" t="s">
        <v>120</v>
      </c>
      <c r="L735" s="2" t="s">
        <v>349</v>
      </c>
      <c r="M735" s="2" t="s">
        <v>47</v>
      </c>
    </row>
    <row r="736" spans="1:13" x14ac:dyDescent="0.25">
      <c r="A736" s="2" t="s">
        <v>1616</v>
      </c>
      <c r="B736" s="2" t="s">
        <v>1617</v>
      </c>
      <c r="C736" s="2" t="s">
        <v>135</v>
      </c>
      <c r="D736" s="2" t="s">
        <v>58</v>
      </c>
      <c r="E736" s="2" t="s">
        <v>77</v>
      </c>
      <c r="F736" s="2" t="s">
        <v>224</v>
      </c>
      <c r="G736" s="2">
        <v>2</v>
      </c>
      <c r="H736" s="2">
        <v>43540</v>
      </c>
      <c r="I736" s="2">
        <v>5</v>
      </c>
      <c r="J736" s="2">
        <v>82726</v>
      </c>
      <c r="K736" s="2" t="s">
        <v>94</v>
      </c>
      <c r="L736" s="2" t="s">
        <v>61</v>
      </c>
      <c r="M736" s="2" t="s">
        <v>47</v>
      </c>
    </row>
    <row r="737" spans="1:13" x14ac:dyDescent="0.25">
      <c r="A737" s="2" t="s">
        <v>1618</v>
      </c>
      <c r="B737" s="2" t="s">
        <v>1619</v>
      </c>
      <c r="C737" s="2" t="s">
        <v>162</v>
      </c>
      <c r="D737" s="2" t="s">
        <v>152</v>
      </c>
      <c r="E737" s="2" t="s">
        <v>65</v>
      </c>
      <c r="F737" s="2" t="s">
        <v>296</v>
      </c>
      <c r="G737" s="2">
        <v>3</v>
      </c>
      <c r="H737" s="2">
        <v>12090</v>
      </c>
      <c r="I737" s="2">
        <v>0</v>
      </c>
      <c r="J737" s="2">
        <v>36270</v>
      </c>
      <c r="K737" s="2" t="s">
        <v>205</v>
      </c>
      <c r="L737" s="2" t="s">
        <v>73</v>
      </c>
      <c r="M737" s="2" t="s">
        <v>210</v>
      </c>
    </row>
    <row r="738" spans="1:13" x14ac:dyDescent="0.25">
      <c r="A738" s="2" t="s">
        <v>1620</v>
      </c>
      <c r="B738" s="2" t="s">
        <v>1621</v>
      </c>
      <c r="C738" s="2" t="s">
        <v>204</v>
      </c>
      <c r="D738" s="2" t="s">
        <v>33</v>
      </c>
      <c r="E738" s="2" t="s">
        <v>125</v>
      </c>
      <c r="F738" s="2" t="s">
        <v>126</v>
      </c>
      <c r="G738" s="2">
        <v>6</v>
      </c>
      <c r="H738" s="2">
        <v>510</v>
      </c>
      <c r="I738" s="2">
        <v>0</v>
      </c>
      <c r="J738" s="2"/>
      <c r="K738" s="2" t="s">
        <v>27</v>
      </c>
      <c r="L738" s="2" t="s">
        <v>112</v>
      </c>
      <c r="M738" s="2" t="s">
        <v>47</v>
      </c>
    </row>
    <row r="739" spans="1:13" x14ac:dyDescent="0.25">
      <c r="A739" s="2" t="s">
        <v>1622</v>
      </c>
      <c r="B739" s="2" t="s">
        <v>1623</v>
      </c>
      <c r="C739" s="2" t="s">
        <v>472</v>
      </c>
      <c r="D739" s="2" t="s">
        <v>16</v>
      </c>
      <c r="E739" s="2"/>
      <c r="F739" s="2" t="s">
        <v>314</v>
      </c>
      <c r="G739" s="2">
        <v>8</v>
      </c>
      <c r="H739" s="2">
        <v>8520</v>
      </c>
      <c r="I739" s="2">
        <v>15</v>
      </c>
      <c r="J739" s="2">
        <v>57936</v>
      </c>
      <c r="K739" s="2" t="s">
        <v>139</v>
      </c>
      <c r="L739" s="2" t="s">
        <v>152</v>
      </c>
      <c r="M739" s="2" t="s">
        <v>21</v>
      </c>
    </row>
    <row r="740" spans="1:13" x14ac:dyDescent="0.25">
      <c r="A740" s="2" t="s">
        <v>1624</v>
      </c>
      <c r="B740" s="2" t="s">
        <v>1625</v>
      </c>
      <c r="C740" s="2" t="s">
        <v>156</v>
      </c>
      <c r="D740" s="2" t="s">
        <v>51</v>
      </c>
      <c r="E740" s="2" t="s">
        <v>105</v>
      </c>
      <c r="F740" s="2" t="s">
        <v>106</v>
      </c>
      <c r="G740" s="2">
        <v>11</v>
      </c>
      <c r="H740" s="2">
        <v>3670</v>
      </c>
      <c r="I740" s="2">
        <v>10</v>
      </c>
      <c r="J740" s="2">
        <v>36333</v>
      </c>
      <c r="K740" s="2" t="s">
        <v>45</v>
      </c>
      <c r="L740" s="2" t="s">
        <v>1626</v>
      </c>
      <c r="M740" s="2" t="s">
        <v>47</v>
      </c>
    </row>
    <row r="741" spans="1:13" x14ac:dyDescent="0.25">
      <c r="A741" s="2" t="s">
        <v>1627</v>
      </c>
      <c r="B741" s="2" t="s">
        <v>1628</v>
      </c>
      <c r="C741" s="2" t="s">
        <v>156</v>
      </c>
      <c r="D741" s="2" t="s">
        <v>51</v>
      </c>
      <c r="E741" s="2" t="s">
        <v>231</v>
      </c>
      <c r="F741" s="2" t="s">
        <v>143</v>
      </c>
      <c r="G741" s="2">
        <v>11</v>
      </c>
      <c r="H741" s="2">
        <v>12040</v>
      </c>
      <c r="I741" s="2">
        <v>0</v>
      </c>
      <c r="J741" s="2">
        <v>132440</v>
      </c>
      <c r="K741" s="2" t="s">
        <v>120</v>
      </c>
      <c r="L741" s="2" t="s">
        <v>73</v>
      </c>
      <c r="M741" s="2" t="s">
        <v>38</v>
      </c>
    </row>
    <row r="742" spans="1:13" x14ac:dyDescent="0.25">
      <c r="A742" s="2" t="s">
        <v>1629</v>
      </c>
      <c r="B742" s="2" t="s">
        <v>1630</v>
      </c>
      <c r="C742" s="2" t="s">
        <v>416</v>
      </c>
      <c r="D742" s="2" t="s">
        <v>33</v>
      </c>
      <c r="E742" s="2" t="s">
        <v>119</v>
      </c>
      <c r="F742" s="2" t="s">
        <v>44</v>
      </c>
      <c r="G742" s="2">
        <v>11</v>
      </c>
      <c r="H742" s="2">
        <v>8990</v>
      </c>
      <c r="I742" s="2">
        <v>0</v>
      </c>
      <c r="J742" s="2">
        <v>98890</v>
      </c>
      <c r="K742" s="2" t="s">
        <v>27</v>
      </c>
      <c r="L742" s="2" t="s">
        <v>473</v>
      </c>
      <c r="M742" s="2" t="s">
        <v>47</v>
      </c>
    </row>
    <row r="743" spans="1:13" x14ac:dyDescent="0.25">
      <c r="A743" s="2" t="s">
        <v>1631</v>
      </c>
      <c r="B743" s="2" t="s">
        <v>1632</v>
      </c>
      <c r="C743" s="2" t="s">
        <v>76</v>
      </c>
      <c r="D743" s="2" t="s">
        <v>33</v>
      </c>
      <c r="E743" s="2" t="s">
        <v>163</v>
      </c>
      <c r="F743" s="2" t="s">
        <v>171</v>
      </c>
      <c r="G743" s="2">
        <v>10</v>
      </c>
      <c r="H743" s="2">
        <v>65040</v>
      </c>
      <c r="I743" s="2">
        <v>0</v>
      </c>
      <c r="J743" s="2">
        <v>650400</v>
      </c>
      <c r="K743" s="2" t="s">
        <v>205</v>
      </c>
      <c r="L743" s="2" t="s">
        <v>188</v>
      </c>
      <c r="M743" s="2" t="s">
        <v>29</v>
      </c>
    </row>
    <row r="744" spans="1:13" x14ac:dyDescent="0.25">
      <c r="A744" s="2" t="s">
        <v>1633</v>
      </c>
      <c r="B744" s="2" t="s">
        <v>1634</v>
      </c>
      <c r="C744" s="2" t="s">
        <v>57</v>
      </c>
      <c r="D744" s="2"/>
      <c r="E744" s="2" t="s">
        <v>131</v>
      </c>
      <c r="F744" s="2" t="s">
        <v>314</v>
      </c>
      <c r="G744" s="2">
        <v>1</v>
      </c>
      <c r="H744" s="2">
        <v>9220</v>
      </c>
      <c r="I744" s="2">
        <v>15</v>
      </c>
      <c r="J744" s="2">
        <v>7837</v>
      </c>
      <c r="K744" s="2" t="s">
        <v>87</v>
      </c>
      <c r="L744" s="2" t="s">
        <v>176</v>
      </c>
      <c r="M744" s="2"/>
    </row>
    <row r="745" spans="1:13" x14ac:dyDescent="0.25">
      <c r="A745" s="2" t="s">
        <v>1635</v>
      </c>
      <c r="B745" s="2" t="s">
        <v>1532</v>
      </c>
      <c r="C745" s="2" t="s">
        <v>244</v>
      </c>
      <c r="D745" s="2" t="s">
        <v>42</v>
      </c>
      <c r="E745" s="2" t="s">
        <v>43</v>
      </c>
      <c r="F745" s="2" t="s">
        <v>26</v>
      </c>
      <c r="G745" s="2">
        <v>11</v>
      </c>
      <c r="H745" s="2">
        <v>1090</v>
      </c>
      <c r="I745" s="2">
        <v>0</v>
      </c>
      <c r="J745" s="2">
        <v>11990</v>
      </c>
      <c r="K745" s="2" t="s">
        <v>133</v>
      </c>
      <c r="L745" s="2" t="s">
        <v>61</v>
      </c>
      <c r="M745" s="2" t="s">
        <v>47</v>
      </c>
    </row>
    <row r="746" spans="1:13" x14ac:dyDescent="0.25">
      <c r="A746" s="2" t="s">
        <v>1636</v>
      </c>
      <c r="B746" s="2" t="s">
        <v>1141</v>
      </c>
      <c r="C746" s="2" t="s">
        <v>156</v>
      </c>
      <c r="D746" s="2" t="s">
        <v>51</v>
      </c>
      <c r="E746" s="2" t="s">
        <v>295</v>
      </c>
      <c r="F746" s="2" t="s">
        <v>126</v>
      </c>
      <c r="G746" s="2">
        <v>8</v>
      </c>
      <c r="H746" s="2">
        <v>22950</v>
      </c>
      <c r="I746" s="2">
        <v>0</v>
      </c>
      <c r="J746" s="2">
        <v>183600</v>
      </c>
      <c r="K746" s="2" t="s">
        <v>144</v>
      </c>
      <c r="L746" s="2" t="s">
        <v>68</v>
      </c>
      <c r="M746" s="2" t="s">
        <v>21</v>
      </c>
    </row>
    <row r="747" spans="1:13" x14ac:dyDescent="0.25">
      <c r="A747" s="2" t="s">
        <v>1637</v>
      </c>
      <c r="B747" s="2" t="s">
        <v>1638</v>
      </c>
      <c r="C747" s="2" t="s">
        <v>416</v>
      </c>
      <c r="D747" s="2" t="s">
        <v>33</v>
      </c>
      <c r="E747" s="2" t="s">
        <v>137</v>
      </c>
      <c r="F747" s="2" t="s">
        <v>164</v>
      </c>
      <c r="G747" s="2">
        <v>4</v>
      </c>
      <c r="H747" s="2">
        <v>60270</v>
      </c>
      <c r="I747" s="2">
        <v>0</v>
      </c>
      <c r="J747" s="2">
        <v>241080</v>
      </c>
      <c r="K747" s="2" t="s">
        <v>172</v>
      </c>
      <c r="L747" s="2" t="s">
        <v>136</v>
      </c>
      <c r="M747" s="2" t="s">
        <v>107</v>
      </c>
    </row>
    <row r="748" spans="1:13" x14ac:dyDescent="0.25">
      <c r="A748" s="2" t="s">
        <v>1639</v>
      </c>
      <c r="B748" s="2" t="s">
        <v>1640</v>
      </c>
      <c r="C748" s="2" t="s">
        <v>162</v>
      </c>
      <c r="D748" s="2" t="s">
        <v>33</v>
      </c>
      <c r="E748" s="2" t="s">
        <v>179</v>
      </c>
      <c r="F748" s="2" t="s">
        <v>180</v>
      </c>
      <c r="G748" s="2">
        <v>2</v>
      </c>
      <c r="H748" s="2">
        <v>3990</v>
      </c>
      <c r="I748" s="2">
        <v>10</v>
      </c>
      <c r="J748" s="2">
        <v>7182</v>
      </c>
      <c r="K748" s="2" t="s">
        <v>87</v>
      </c>
      <c r="L748" s="2" t="s">
        <v>61</v>
      </c>
      <c r="M748" s="2" t="s">
        <v>253</v>
      </c>
    </row>
    <row r="749" spans="1:13" x14ac:dyDescent="0.25">
      <c r="A749" s="2" t="s">
        <v>1641</v>
      </c>
      <c r="B749" s="2" t="s">
        <v>1642</v>
      </c>
      <c r="C749" s="2" t="s">
        <v>41</v>
      </c>
      <c r="D749" s="2" t="s">
        <v>42</v>
      </c>
      <c r="E749" s="2" t="s">
        <v>82</v>
      </c>
      <c r="F749" s="2" t="s">
        <v>209</v>
      </c>
      <c r="G749" s="2">
        <v>4</v>
      </c>
      <c r="H749" s="2">
        <v>7900</v>
      </c>
      <c r="I749" s="2">
        <v>0</v>
      </c>
      <c r="J749" s="2">
        <v>31600</v>
      </c>
      <c r="K749" s="2" t="s">
        <v>45</v>
      </c>
      <c r="L749" s="2" t="s">
        <v>344</v>
      </c>
      <c r="M749" s="2" t="s">
        <v>47</v>
      </c>
    </row>
    <row r="750" spans="1:13" x14ac:dyDescent="0.25">
      <c r="A750" s="2" t="s">
        <v>1449</v>
      </c>
      <c r="B750" s="2" t="s">
        <v>1450</v>
      </c>
      <c r="C750" s="2" t="s">
        <v>24</v>
      </c>
      <c r="D750" s="2" t="s">
        <v>16</v>
      </c>
      <c r="E750" s="2" t="s">
        <v>43</v>
      </c>
      <c r="F750" s="2" t="s">
        <v>93</v>
      </c>
      <c r="G750" s="2">
        <v>11</v>
      </c>
      <c r="H750" s="2">
        <v>1230</v>
      </c>
      <c r="I750" s="2">
        <v>5</v>
      </c>
      <c r="J750" s="2">
        <v>12853.5</v>
      </c>
      <c r="K750" s="2" t="s">
        <v>36</v>
      </c>
      <c r="L750" s="2" t="s">
        <v>796</v>
      </c>
      <c r="M750" s="2" t="s">
        <v>21</v>
      </c>
    </row>
    <row r="751" spans="1:13" x14ac:dyDescent="0.25">
      <c r="A751" s="2" t="s">
        <v>1643</v>
      </c>
      <c r="B751" s="2" t="s">
        <v>1644</v>
      </c>
      <c r="C751" s="2" t="s">
        <v>238</v>
      </c>
      <c r="D751" s="2" t="s">
        <v>51</v>
      </c>
      <c r="E751" s="2" t="s">
        <v>77</v>
      </c>
      <c r="F751" s="2" t="s">
        <v>184</v>
      </c>
      <c r="G751" s="2">
        <v>4</v>
      </c>
      <c r="H751" s="2">
        <v>8160</v>
      </c>
      <c r="I751" s="2">
        <v>5</v>
      </c>
      <c r="J751" s="2">
        <v>31008</v>
      </c>
      <c r="K751" s="2" t="s">
        <v>53</v>
      </c>
      <c r="L751" s="2" t="s">
        <v>428</v>
      </c>
      <c r="M751" s="2" t="s">
        <v>38</v>
      </c>
    </row>
    <row r="752" spans="1:13" x14ac:dyDescent="0.25">
      <c r="A752" s="2" t="s">
        <v>1645</v>
      </c>
      <c r="B752" s="2" t="s">
        <v>1646</v>
      </c>
      <c r="C752" s="2" t="s">
        <v>135</v>
      </c>
      <c r="D752" s="2" t="s">
        <v>58</v>
      </c>
      <c r="E752" s="2" t="s">
        <v>148</v>
      </c>
      <c r="F752" s="2" t="s">
        <v>252</v>
      </c>
      <c r="G752" s="2">
        <v>6</v>
      </c>
      <c r="H752" s="2"/>
      <c r="I752" s="2">
        <v>0</v>
      </c>
      <c r="J752" s="2">
        <v>378180</v>
      </c>
      <c r="K752" s="2" t="s">
        <v>87</v>
      </c>
      <c r="L752" s="2" t="s">
        <v>796</v>
      </c>
      <c r="M752" s="2" t="s">
        <v>47</v>
      </c>
    </row>
    <row r="753" spans="1:13" x14ac:dyDescent="0.25">
      <c r="A753" s="2" t="s">
        <v>1647</v>
      </c>
      <c r="B753" s="2" t="s">
        <v>1648</v>
      </c>
      <c r="C753" s="2" t="s">
        <v>57</v>
      </c>
      <c r="D753" s="2" t="s">
        <v>58</v>
      </c>
      <c r="E753" s="2" t="s">
        <v>131</v>
      </c>
      <c r="F753" s="2" t="s">
        <v>296</v>
      </c>
      <c r="G753" s="2">
        <v>12</v>
      </c>
      <c r="H753" s="2">
        <v>540</v>
      </c>
      <c r="I753" s="2">
        <v>15</v>
      </c>
      <c r="J753" s="2">
        <v>5508</v>
      </c>
      <c r="K753" s="2" t="s">
        <v>45</v>
      </c>
      <c r="L753" s="2" t="s">
        <v>206</v>
      </c>
      <c r="M753" s="2" t="s">
        <v>47</v>
      </c>
    </row>
    <row r="754" spans="1:13" x14ac:dyDescent="0.25">
      <c r="A754" s="2" t="s">
        <v>1649</v>
      </c>
      <c r="B754" s="2" t="s">
        <v>1650</v>
      </c>
      <c r="C754" s="2" t="s">
        <v>57</v>
      </c>
      <c r="D754" s="2" t="s">
        <v>58</v>
      </c>
      <c r="E754" s="2" t="s">
        <v>504</v>
      </c>
      <c r="F754" s="2" t="s">
        <v>167</v>
      </c>
      <c r="G754" s="2">
        <v>12</v>
      </c>
      <c r="H754" s="2">
        <v>490</v>
      </c>
      <c r="I754" s="2">
        <v>0</v>
      </c>
      <c r="J754" s="2">
        <v>5880</v>
      </c>
      <c r="K754" s="2" t="s">
        <v>36</v>
      </c>
      <c r="L754" s="2" t="s">
        <v>68</v>
      </c>
      <c r="M754" s="2" t="s">
        <v>29</v>
      </c>
    </row>
    <row r="755" spans="1:13" x14ac:dyDescent="0.25">
      <c r="A755" s="2" t="s">
        <v>1651</v>
      </c>
      <c r="B755" s="2" t="s">
        <v>1652</v>
      </c>
      <c r="C755" s="2" t="s">
        <v>238</v>
      </c>
      <c r="D755" s="2" t="s">
        <v>51</v>
      </c>
      <c r="E755" s="2" t="s">
        <v>119</v>
      </c>
      <c r="F755" s="2" t="s">
        <v>248</v>
      </c>
      <c r="G755" s="2">
        <v>7</v>
      </c>
      <c r="H755" s="2">
        <v>1180</v>
      </c>
      <c r="I755" s="2">
        <v>0</v>
      </c>
      <c r="J755" s="2">
        <v>8260</v>
      </c>
      <c r="K755" s="2" t="s">
        <v>94</v>
      </c>
      <c r="L755" s="2" t="s">
        <v>658</v>
      </c>
      <c r="M755" s="2" t="s">
        <v>47</v>
      </c>
    </row>
    <row r="756" spans="1:13" x14ac:dyDescent="0.25">
      <c r="A756" s="2" t="s">
        <v>1653</v>
      </c>
      <c r="B756" s="2" t="s">
        <v>1654</v>
      </c>
      <c r="C756" s="2" t="s">
        <v>227</v>
      </c>
      <c r="D756" s="2" t="s">
        <v>33</v>
      </c>
      <c r="E756" s="2" t="s">
        <v>111</v>
      </c>
      <c r="F756" s="2" t="s">
        <v>224</v>
      </c>
      <c r="G756" s="2">
        <v>10</v>
      </c>
      <c r="H756" s="2">
        <v>6930</v>
      </c>
      <c r="I756" s="2">
        <v>0</v>
      </c>
      <c r="J756" s="2">
        <v>69300</v>
      </c>
      <c r="K756" s="2" t="s">
        <v>53</v>
      </c>
      <c r="L756" s="2" t="s">
        <v>54</v>
      </c>
      <c r="M756" s="2" t="s">
        <v>47</v>
      </c>
    </row>
    <row r="757" spans="1:13" x14ac:dyDescent="0.25">
      <c r="A757" s="2" t="s">
        <v>1655</v>
      </c>
      <c r="B757" s="2" t="s">
        <v>1656</v>
      </c>
      <c r="C757" s="2" t="s">
        <v>50</v>
      </c>
      <c r="D757" s="2" t="s">
        <v>51</v>
      </c>
      <c r="E757" s="2" t="s">
        <v>92</v>
      </c>
      <c r="F757" s="2" t="s">
        <v>44</v>
      </c>
      <c r="G757" s="2">
        <v>7</v>
      </c>
      <c r="H757" s="2">
        <v>10860</v>
      </c>
      <c r="I757" s="2">
        <v>0</v>
      </c>
      <c r="J757" s="2">
        <v>76020</v>
      </c>
      <c r="K757" s="2" t="s">
        <v>94</v>
      </c>
      <c r="L757" s="2" t="s">
        <v>646</v>
      </c>
      <c r="M757" s="2" t="s">
        <v>47</v>
      </c>
    </row>
    <row r="758" spans="1:13" x14ac:dyDescent="0.25">
      <c r="A758" s="2" t="s">
        <v>1657</v>
      </c>
      <c r="B758" s="2" t="s">
        <v>1658</v>
      </c>
      <c r="C758" s="2" t="s">
        <v>41</v>
      </c>
      <c r="D758" s="2" t="s">
        <v>42</v>
      </c>
      <c r="E758" s="2"/>
      <c r="F758" s="2" t="s">
        <v>115</v>
      </c>
      <c r="G758" s="2">
        <v>4</v>
      </c>
      <c r="H758" s="2">
        <v>41020</v>
      </c>
      <c r="I758" s="2">
        <v>0</v>
      </c>
      <c r="J758" s="2" t="s">
        <v>223</v>
      </c>
      <c r="K758" s="2" t="s">
        <v>72</v>
      </c>
      <c r="L758" s="2" t="s">
        <v>95</v>
      </c>
      <c r="M758" s="2" t="s">
        <v>128</v>
      </c>
    </row>
    <row r="759" spans="1:13" x14ac:dyDescent="0.25">
      <c r="A759" s="2" t="s">
        <v>1659</v>
      </c>
      <c r="B759" s="2" t="s">
        <v>1660</v>
      </c>
      <c r="C759" s="2" t="s">
        <v>50</v>
      </c>
      <c r="D759" s="2" t="s">
        <v>51</v>
      </c>
      <c r="E759" s="2" t="s">
        <v>59</v>
      </c>
      <c r="F759" s="2" t="s">
        <v>167</v>
      </c>
      <c r="G759" s="2">
        <v>2</v>
      </c>
      <c r="H759" s="2">
        <v>58630</v>
      </c>
      <c r="I759" s="2">
        <v>0</v>
      </c>
      <c r="J759" s="2">
        <v>117260</v>
      </c>
      <c r="K759" s="2" t="s">
        <v>87</v>
      </c>
      <c r="L759" s="2" t="s">
        <v>285</v>
      </c>
      <c r="M759" s="2" t="s">
        <v>128</v>
      </c>
    </row>
    <row r="760" spans="1:13" x14ac:dyDescent="0.25">
      <c r="A760" s="2" t="s">
        <v>1661</v>
      </c>
      <c r="B760" s="2" t="s">
        <v>1662</v>
      </c>
      <c r="C760" s="2" t="s">
        <v>32</v>
      </c>
      <c r="D760" s="2" t="s">
        <v>33</v>
      </c>
      <c r="E760" s="2" t="s">
        <v>105</v>
      </c>
      <c r="F760" s="2" t="s">
        <v>93</v>
      </c>
      <c r="G760" s="2">
        <v>9</v>
      </c>
      <c r="H760" s="2" t="s">
        <v>136</v>
      </c>
      <c r="I760" s="2">
        <v>0</v>
      </c>
      <c r="J760" s="2">
        <v>4410</v>
      </c>
      <c r="K760" s="2" t="s">
        <v>19</v>
      </c>
      <c r="L760" s="2" t="s">
        <v>411</v>
      </c>
      <c r="M760" s="2"/>
    </row>
    <row r="761" spans="1:13" x14ac:dyDescent="0.25">
      <c r="A761" s="2" t="s">
        <v>1663</v>
      </c>
      <c r="B761" s="2" t="s">
        <v>1664</v>
      </c>
      <c r="C761" s="2" t="s">
        <v>76</v>
      </c>
      <c r="D761" s="2" t="s">
        <v>33</v>
      </c>
      <c r="E761" s="2" t="s">
        <v>25</v>
      </c>
      <c r="F761" s="2" t="s">
        <v>115</v>
      </c>
      <c r="G761" s="2">
        <v>2</v>
      </c>
      <c r="H761" s="2">
        <v>2260</v>
      </c>
      <c r="I761" s="2">
        <v>5</v>
      </c>
      <c r="J761" s="2">
        <v>4294</v>
      </c>
      <c r="K761" s="2" t="s">
        <v>94</v>
      </c>
      <c r="L761" s="2" t="s">
        <v>341</v>
      </c>
      <c r="M761" s="2" t="s">
        <v>128</v>
      </c>
    </row>
    <row r="762" spans="1:13" x14ac:dyDescent="0.25">
      <c r="A762" s="2" t="s">
        <v>1665</v>
      </c>
      <c r="B762" s="2" t="s">
        <v>1292</v>
      </c>
      <c r="C762" s="2" t="s">
        <v>41</v>
      </c>
      <c r="D762" s="2" t="s">
        <v>42</v>
      </c>
      <c r="E762" s="2" t="s">
        <v>137</v>
      </c>
      <c r="F762" s="2" t="s">
        <v>374</v>
      </c>
      <c r="G762" s="2">
        <v>2</v>
      </c>
      <c r="H762" s="2">
        <v>19370</v>
      </c>
      <c r="I762" s="2">
        <v>0</v>
      </c>
      <c r="J762" s="2">
        <v>38740</v>
      </c>
      <c r="K762" s="2" t="s">
        <v>133</v>
      </c>
      <c r="L762" s="2" t="s">
        <v>112</v>
      </c>
      <c r="M762" s="2" t="s">
        <v>128</v>
      </c>
    </row>
    <row r="763" spans="1:13" x14ac:dyDescent="0.25">
      <c r="A763" s="2" t="s">
        <v>1666</v>
      </c>
      <c r="B763" s="2" t="s">
        <v>1667</v>
      </c>
      <c r="C763" s="2" t="s">
        <v>1465</v>
      </c>
      <c r="D763" s="2" t="s">
        <v>51</v>
      </c>
      <c r="E763" s="2" t="s">
        <v>100</v>
      </c>
      <c r="F763" s="2" t="s">
        <v>126</v>
      </c>
      <c r="G763" s="2">
        <v>9</v>
      </c>
      <c r="H763" s="2">
        <v>13660</v>
      </c>
      <c r="I763" s="2">
        <v>15</v>
      </c>
      <c r="J763" s="2">
        <v>104499</v>
      </c>
      <c r="K763" s="2" t="s">
        <v>102</v>
      </c>
      <c r="L763" s="2" t="s">
        <v>349</v>
      </c>
      <c r="M763" s="2" t="s">
        <v>47</v>
      </c>
    </row>
    <row r="764" spans="1:13" x14ac:dyDescent="0.25">
      <c r="A764" s="2" t="s">
        <v>1668</v>
      </c>
      <c r="B764" s="2" t="s">
        <v>1669</v>
      </c>
      <c r="C764" s="2" t="s">
        <v>32</v>
      </c>
      <c r="D764" s="2"/>
      <c r="E764" s="2" t="s">
        <v>231</v>
      </c>
      <c r="F764" s="2" t="s">
        <v>543</v>
      </c>
      <c r="G764" s="2">
        <v>11</v>
      </c>
      <c r="H764" s="2">
        <v>1250</v>
      </c>
      <c r="I764" s="2"/>
      <c r="J764" s="2">
        <v>13750</v>
      </c>
      <c r="K764" s="2" t="s">
        <v>19</v>
      </c>
      <c r="L764" s="2" t="s">
        <v>271</v>
      </c>
      <c r="M764" s="2" t="s">
        <v>21</v>
      </c>
    </row>
    <row r="765" spans="1:13" x14ac:dyDescent="0.25">
      <c r="A765" s="2" t="s">
        <v>1670</v>
      </c>
      <c r="B765" s="2" t="s">
        <v>1414</v>
      </c>
      <c r="C765" s="2" t="s">
        <v>57</v>
      </c>
      <c r="D765" s="2" t="s">
        <v>58</v>
      </c>
      <c r="E765" s="2" t="s">
        <v>152</v>
      </c>
      <c r="F765" s="2" t="s">
        <v>248</v>
      </c>
      <c r="G765" s="2">
        <v>9</v>
      </c>
      <c r="H765" s="2">
        <v>2610</v>
      </c>
      <c r="I765" s="2">
        <v>5</v>
      </c>
      <c r="J765" s="2">
        <v>22315.5</v>
      </c>
      <c r="K765" s="2" t="s">
        <v>139</v>
      </c>
      <c r="L765" s="2" t="s">
        <v>228</v>
      </c>
      <c r="M765" s="2" t="s">
        <v>47</v>
      </c>
    </row>
    <row r="766" spans="1:13" x14ac:dyDescent="0.25">
      <c r="A766" s="2" t="s">
        <v>1671</v>
      </c>
      <c r="B766" s="2" t="s">
        <v>947</v>
      </c>
      <c r="C766" s="2" t="s">
        <v>41</v>
      </c>
      <c r="D766" s="2" t="s">
        <v>42</v>
      </c>
      <c r="E766" s="2" t="s">
        <v>163</v>
      </c>
      <c r="F766" s="2" t="s">
        <v>164</v>
      </c>
      <c r="G766" s="2">
        <v>9</v>
      </c>
      <c r="H766" s="2">
        <v>59930</v>
      </c>
      <c r="I766" s="2">
        <v>0</v>
      </c>
      <c r="J766" s="2">
        <v>539370</v>
      </c>
      <c r="K766" s="2" t="s">
        <v>36</v>
      </c>
      <c r="L766" s="2" t="s">
        <v>344</v>
      </c>
      <c r="M766" s="2" t="s">
        <v>128</v>
      </c>
    </row>
    <row r="767" spans="1:13" x14ac:dyDescent="0.25">
      <c r="A767" s="2" t="s">
        <v>1672</v>
      </c>
      <c r="B767" s="2" t="s">
        <v>104</v>
      </c>
      <c r="C767" s="2" t="s">
        <v>238</v>
      </c>
      <c r="D767" s="2" t="s">
        <v>223</v>
      </c>
      <c r="E767" s="2" t="s">
        <v>231</v>
      </c>
      <c r="F767" s="2" t="s">
        <v>232</v>
      </c>
      <c r="G767" s="2">
        <v>1</v>
      </c>
      <c r="H767" s="2">
        <v>3620</v>
      </c>
      <c r="I767" s="2">
        <v>0</v>
      </c>
      <c r="J767" s="2">
        <v>3620</v>
      </c>
      <c r="K767" s="2" t="s">
        <v>94</v>
      </c>
      <c r="L767" s="2" t="s">
        <v>274</v>
      </c>
      <c r="M767" s="2" t="s">
        <v>128</v>
      </c>
    </row>
    <row r="768" spans="1:13" x14ac:dyDescent="0.25">
      <c r="A768" s="2" t="s">
        <v>1673</v>
      </c>
      <c r="B768" s="2" t="s">
        <v>1674</v>
      </c>
      <c r="C768" s="2" t="s">
        <v>76</v>
      </c>
      <c r="D768" s="2" t="s">
        <v>33</v>
      </c>
      <c r="E768" s="2" t="s">
        <v>52</v>
      </c>
      <c r="F768" s="2" t="s">
        <v>248</v>
      </c>
      <c r="G768" s="2">
        <v>7</v>
      </c>
      <c r="H768" s="2">
        <v>1140</v>
      </c>
      <c r="I768" s="2">
        <v>15</v>
      </c>
      <c r="J768" s="2">
        <v>6783</v>
      </c>
      <c r="K768" s="2" t="s">
        <v>94</v>
      </c>
      <c r="L768" s="2" t="s">
        <v>79</v>
      </c>
      <c r="M768" s="2" t="s">
        <v>21</v>
      </c>
    </row>
    <row r="769" spans="1:13" x14ac:dyDescent="0.25">
      <c r="A769" s="2" t="s">
        <v>1675</v>
      </c>
      <c r="B769" s="2" t="s">
        <v>1676</v>
      </c>
      <c r="C769" s="2" t="s">
        <v>449</v>
      </c>
      <c r="D769" s="2" t="s">
        <v>42</v>
      </c>
      <c r="E769" s="2" t="s">
        <v>152</v>
      </c>
      <c r="F769" s="2" t="s">
        <v>26</v>
      </c>
      <c r="G769" s="2">
        <v>10</v>
      </c>
      <c r="H769" s="2">
        <v>17220</v>
      </c>
      <c r="I769" s="2">
        <v>0</v>
      </c>
      <c r="J769" s="2">
        <v>172200</v>
      </c>
      <c r="K769" s="2" t="s">
        <v>87</v>
      </c>
      <c r="L769" s="2" t="s">
        <v>121</v>
      </c>
      <c r="M769" s="2" t="s">
        <v>38</v>
      </c>
    </row>
    <row r="770" spans="1:13" x14ac:dyDescent="0.25">
      <c r="A770" s="2" t="s">
        <v>1677</v>
      </c>
      <c r="B770" s="2" t="s">
        <v>919</v>
      </c>
      <c r="C770" s="2" t="s">
        <v>118</v>
      </c>
      <c r="D770" s="2" t="s">
        <v>51</v>
      </c>
      <c r="E770" s="2" t="s">
        <v>17</v>
      </c>
      <c r="F770" s="2" t="s">
        <v>171</v>
      </c>
      <c r="G770" s="2">
        <v>4</v>
      </c>
      <c r="H770" s="2">
        <v>64990</v>
      </c>
      <c r="I770" s="2">
        <v>10</v>
      </c>
      <c r="J770" s="2">
        <v>233964</v>
      </c>
      <c r="K770" s="2" t="s">
        <v>127</v>
      </c>
      <c r="L770" s="2" t="s">
        <v>406</v>
      </c>
      <c r="M770" s="2" t="s">
        <v>47</v>
      </c>
    </row>
    <row r="771" spans="1:13" x14ac:dyDescent="0.25">
      <c r="A771" s="2" t="s">
        <v>1678</v>
      </c>
      <c r="B771" s="2" t="s">
        <v>1679</v>
      </c>
      <c r="C771" s="2" t="s">
        <v>156</v>
      </c>
      <c r="D771" s="2" t="s">
        <v>51</v>
      </c>
      <c r="E771" s="2" t="s">
        <v>105</v>
      </c>
      <c r="F771" s="2" t="s">
        <v>93</v>
      </c>
      <c r="G771" s="2">
        <v>10</v>
      </c>
      <c r="H771" s="2">
        <v>2470</v>
      </c>
      <c r="I771" s="2">
        <v>0</v>
      </c>
      <c r="J771" s="2">
        <v>24700</v>
      </c>
      <c r="K771" s="2" t="s">
        <v>205</v>
      </c>
      <c r="L771" s="2" t="s">
        <v>88</v>
      </c>
      <c r="M771" s="2" t="s">
        <v>29</v>
      </c>
    </row>
    <row r="772" spans="1:13" x14ac:dyDescent="0.25">
      <c r="A772" s="2" t="s">
        <v>1680</v>
      </c>
      <c r="B772" s="2" t="s">
        <v>1681</v>
      </c>
      <c r="C772" s="2" t="s">
        <v>41</v>
      </c>
      <c r="D772" s="2" t="s">
        <v>42</v>
      </c>
      <c r="E772" s="2" t="s">
        <v>148</v>
      </c>
      <c r="F772" s="2" t="s">
        <v>379</v>
      </c>
      <c r="G772" s="2">
        <v>12</v>
      </c>
      <c r="H772" s="2">
        <v>2640</v>
      </c>
      <c r="I772" s="2">
        <v>0</v>
      </c>
      <c r="J772" s="2">
        <v>31680</v>
      </c>
      <c r="K772" s="2" t="s">
        <v>45</v>
      </c>
      <c r="L772" s="2" t="s">
        <v>341</v>
      </c>
      <c r="M772" s="2" t="s">
        <v>38</v>
      </c>
    </row>
    <row r="773" spans="1:13" x14ac:dyDescent="0.25">
      <c r="A773" s="2" t="s">
        <v>1682</v>
      </c>
      <c r="B773" s="2" t="s">
        <v>1683</v>
      </c>
      <c r="C773" s="2"/>
      <c r="D773" s="2" t="s">
        <v>51</v>
      </c>
      <c r="E773" s="2" t="s">
        <v>231</v>
      </c>
      <c r="F773" s="2" t="s">
        <v>543</v>
      </c>
      <c r="G773" s="2">
        <v>11</v>
      </c>
      <c r="H773" s="2">
        <v>45180</v>
      </c>
      <c r="I773" s="2">
        <v>0</v>
      </c>
      <c r="J773" s="2">
        <v>496980</v>
      </c>
      <c r="K773" s="2" t="s">
        <v>87</v>
      </c>
      <c r="L773" s="2" t="s">
        <v>68</v>
      </c>
      <c r="M773" s="2" t="s">
        <v>47</v>
      </c>
    </row>
    <row r="774" spans="1:13" x14ac:dyDescent="0.25">
      <c r="A774" s="2" t="s">
        <v>1684</v>
      </c>
      <c r="B774" s="2" t="s">
        <v>1558</v>
      </c>
      <c r="C774" s="2" t="s">
        <v>135</v>
      </c>
      <c r="D774" s="2" t="s">
        <v>58</v>
      </c>
      <c r="E774" s="2" t="s">
        <v>131</v>
      </c>
      <c r="F774" s="2" t="s">
        <v>101</v>
      </c>
      <c r="G774" s="2">
        <v>10</v>
      </c>
      <c r="H774" s="2">
        <v>23900</v>
      </c>
      <c r="I774" s="2">
        <v>0</v>
      </c>
      <c r="J774" s="2">
        <v>239000</v>
      </c>
      <c r="K774" s="2" t="s">
        <v>133</v>
      </c>
      <c r="L774" s="2" t="s">
        <v>344</v>
      </c>
      <c r="M774" s="2" t="s">
        <v>29</v>
      </c>
    </row>
    <row r="775" spans="1:13" x14ac:dyDescent="0.25">
      <c r="A775" s="2" t="s">
        <v>1685</v>
      </c>
      <c r="B775" s="2" t="s">
        <v>1686</v>
      </c>
      <c r="C775" s="2" t="s">
        <v>227</v>
      </c>
      <c r="D775" s="2" t="s">
        <v>33</v>
      </c>
      <c r="E775" s="2" t="s">
        <v>34</v>
      </c>
      <c r="F775" s="2" t="s">
        <v>374</v>
      </c>
      <c r="G775" s="2">
        <v>9</v>
      </c>
      <c r="H775" s="2">
        <v>500</v>
      </c>
      <c r="I775" s="2">
        <v>10</v>
      </c>
      <c r="J775" s="2">
        <v>4050</v>
      </c>
      <c r="K775" s="2" t="s">
        <v>139</v>
      </c>
      <c r="L775" s="2" t="s">
        <v>473</v>
      </c>
      <c r="M775" s="2" t="s">
        <v>128</v>
      </c>
    </row>
    <row r="776" spans="1:13" x14ac:dyDescent="0.25">
      <c r="A776" s="2" t="s">
        <v>1687</v>
      </c>
      <c r="B776" s="2" t="s">
        <v>1688</v>
      </c>
      <c r="C776" s="2" t="s">
        <v>472</v>
      </c>
      <c r="D776" s="2" t="s">
        <v>16</v>
      </c>
      <c r="E776" s="2" t="s">
        <v>137</v>
      </c>
      <c r="F776" s="2" t="s">
        <v>71</v>
      </c>
      <c r="G776" s="2">
        <v>4</v>
      </c>
      <c r="H776" s="2">
        <v>17830</v>
      </c>
      <c r="I776" s="2">
        <v>0</v>
      </c>
      <c r="J776" s="2">
        <v>71320</v>
      </c>
      <c r="K776" s="2" t="s">
        <v>133</v>
      </c>
      <c r="L776" s="2" t="s">
        <v>406</v>
      </c>
      <c r="M776" s="2" t="s">
        <v>140</v>
      </c>
    </row>
    <row r="777" spans="1:13" x14ac:dyDescent="0.25">
      <c r="A777" s="2" t="s">
        <v>1689</v>
      </c>
      <c r="B777" s="2" t="s">
        <v>1690</v>
      </c>
      <c r="C777" s="2" t="s">
        <v>118</v>
      </c>
      <c r="D777" s="2" t="s">
        <v>51</v>
      </c>
      <c r="E777" s="2" t="s">
        <v>100</v>
      </c>
      <c r="F777" s="2" t="s">
        <v>66</v>
      </c>
      <c r="G777" s="2">
        <v>12</v>
      </c>
      <c r="H777" s="2">
        <v>4780</v>
      </c>
      <c r="I777" s="2">
        <v>5</v>
      </c>
      <c r="J777" s="2">
        <v>54492</v>
      </c>
      <c r="K777" s="2" t="s">
        <v>139</v>
      </c>
      <c r="L777" s="2" t="s">
        <v>37</v>
      </c>
      <c r="M777" s="2" t="s">
        <v>140</v>
      </c>
    </row>
    <row r="778" spans="1:13" x14ac:dyDescent="0.25">
      <c r="A778" s="2" t="s">
        <v>1691</v>
      </c>
      <c r="B778" s="2" t="s">
        <v>1009</v>
      </c>
      <c r="C778" s="2" t="s">
        <v>472</v>
      </c>
      <c r="D778" s="2" t="s">
        <v>16</v>
      </c>
      <c r="E778" s="2" t="s">
        <v>82</v>
      </c>
      <c r="F778" s="2" t="s">
        <v>167</v>
      </c>
      <c r="G778" s="2">
        <v>1</v>
      </c>
      <c r="H778" s="2">
        <v>8020</v>
      </c>
      <c r="I778" s="2">
        <v>15</v>
      </c>
      <c r="J778" s="2">
        <v>6817</v>
      </c>
      <c r="K778" s="2" t="s">
        <v>205</v>
      </c>
      <c r="L778" s="2" t="s">
        <v>411</v>
      </c>
      <c r="M778" s="2" t="s">
        <v>107</v>
      </c>
    </row>
    <row r="779" spans="1:13" x14ac:dyDescent="0.25">
      <c r="A779" s="2" t="s">
        <v>1692</v>
      </c>
      <c r="B779" s="2" t="s">
        <v>104</v>
      </c>
      <c r="C779" s="2" t="s">
        <v>57</v>
      </c>
      <c r="D779" s="2"/>
      <c r="E779" s="2" t="s">
        <v>148</v>
      </c>
      <c r="F779" s="2" t="s">
        <v>167</v>
      </c>
      <c r="G779" s="2">
        <v>4</v>
      </c>
      <c r="H779" s="2">
        <v>3300</v>
      </c>
      <c r="I779" s="2">
        <v>5</v>
      </c>
      <c r="J779" s="2">
        <v>12540</v>
      </c>
      <c r="K779" s="2" t="s">
        <v>53</v>
      </c>
      <c r="L779" s="2" t="s">
        <v>1007</v>
      </c>
      <c r="M779" s="2" t="s">
        <v>47</v>
      </c>
    </row>
    <row r="780" spans="1:13" x14ac:dyDescent="0.25">
      <c r="A780" s="2" t="s">
        <v>1693</v>
      </c>
      <c r="B780" s="2" t="s">
        <v>974</v>
      </c>
      <c r="C780" s="2" t="s">
        <v>24</v>
      </c>
      <c r="D780" s="2" t="s">
        <v>16</v>
      </c>
      <c r="E780" s="2" t="s">
        <v>59</v>
      </c>
      <c r="F780" s="2" t="s">
        <v>209</v>
      </c>
      <c r="G780" s="2">
        <v>10</v>
      </c>
      <c r="H780" s="2">
        <v>45070</v>
      </c>
      <c r="I780" s="2" t="s">
        <v>107</v>
      </c>
      <c r="J780" s="2">
        <v>450700</v>
      </c>
      <c r="K780" s="2" t="s">
        <v>136</v>
      </c>
      <c r="L780" s="2" t="s">
        <v>341</v>
      </c>
      <c r="M780" s="2" t="s">
        <v>21</v>
      </c>
    </row>
    <row r="781" spans="1:13" x14ac:dyDescent="0.25">
      <c r="A781" s="2" t="s">
        <v>1694</v>
      </c>
      <c r="B781" s="2" t="s">
        <v>575</v>
      </c>
      <c r="C781" s="2" t="s">
        <v>531</v>
      </c>
      <c r="D781" s="2" t="s">
        <v>33</v>
      </c>
      <c r="E781" s="2" t="s">
        <v>295</v>
      </c>
      <c r="F781" s="2" t="s">
        <v>319</v>
      </c>
      <c r="G781" s="2" t="s">
        <v>136</v>
      </c>
      <c r="H781" s="2">
        <v>2670</v>
      </c>
      <c r="I781" s="2"/>
      <c r="J781" s="2">
        <v>13350</v>
      </c>
      <c r="K781" s="2" t="s">
        <v>45</v>
      </c>
      <c r="L781" s="2" t="s">
        <v>73</v>
      </c>
      <c r="M781" s="2" t="s">
        <v>47</v>
      </c>
    </row>
    <row r="782" spans="1:13" x14ac:dyDescent="0.25">
      <c r="A782" s="2" t="s">
        <v>1695</v>
      </c>
      <c r="B782" s="2" t="s">
        <v>1362</v>
      </c>
      <c r="C782" s="2" t="s">
        <v>135</v>
      </c>
      <c r="D782" s="2" t="s">
        <v>58</v>
      </c>
      <c r="E782" s="2" t="s">
        <v>59</v>
      </c>
      <c r="F782" s="2" t="s">
        <v>149</v>
      </c>
      <c r="G782" s="2">
        <v>11</v>
      </c>
      <c r="H782" s="2">
        <v>45860</v>
      </c>
      <c r="I782" s="2">
        <v>0</v>
      </c>
      <c r="J782" s="2">
        <v>504460</v>
      </c>
      <c r="K782" s="2" t="s">
        <v>172</v>
      </c>
      <c r="L782" s="2" t="s">
        <v>883</v>
      </c>
      <c r="M782" s="2" t="s">
        <v>47</v>
      </c>
    </row>
    <row r="783" spans="1:13" x14ac:dyDescent="0.25">
      <c r="A783" s="2" t="s">
        <v>1696</v>
      </c>
      <c r="B783" s="2" t="s">
        <v>1697</v>
      </c>
      <c r="C783" s="2" t="s">
        <v>663</v>
      </c>
      <c r="D783" s="2" t="s">
        <v>51</v>
      </c>
      <c r="E783" s="2" t="s">
        <v>17</v>
      </c>
      <c r="F783" s="2" t="s">
        <v>290</v>
      </c>
      <c r="G783" s="2">
        <v>12</v>
      </c>
      <c r="H783" s="2">
        <v>2530</v>
      </c>
      <c r="I783" s="2">
        <v>0</v>
      </c>
      <c r="J783" s="2">
        <v>30360</v>
      </c>
      <c r="K783" s="2" t="s">
        <v>19</v>
      </c>
      <c r="L783" s="2" t="s">
        <v>387</v>
      </c>
      <c r="M783" s="2" t="s">
        <v>210</v>
      </c>
    </row>
    <row r="784" spans="1:13" x14ac:dyDescent="0.25">
      <c r="A784" s="2" t="s">
        <v>1698</v>
      </c>
      <c r="B784" s="2" t="s">
        <v>477</v>
      </c>
      <c r="C784" s="2" t="s">
        <v>238</v>
      </c>
      <c r="D784" s="2" t="s">
        <v>51</v>
      </c>
      <c r="E784" s="2" t="s">
        <v>59</v>
      </c>
      <c r="F784" s="2" t="s">
        <v>83</v>
      </c>
      <c r="G784" s="2">
        <v>9</v>
      </c>
      <c r="H784" s="2">
        <v>62920</v>
      </c>
      <c r="I784" s="2">
        <v>0</v>
      </c>
      <c r="J784" s="2">
        <v>566280</v>
      </c>
      <c r="K784" s="2" t="s">
        <v>139</v>
      </c>
      <c r="L784" s="2" t="s">
        <v>776</v>
      </c>
      <c r="M784" s="2" t="s">
        <v>38</v>
      </c>
    </row>
    <row r="785" spans="1:13" x14ac:dyDescent="0.25">
      <c r="A785" s="2" t="s">
        <v>1699</v>
      </c>
      <c r="B785" s="2" t="s">
        <v>1700</v>
      </c>
      <c r="C785" s="2" t="s">
        <v>76</v>
      </c>
      <c r="D785" s="2" t="s">
        <v>33</v>
      </c>
      <c r="E785" s="2" t="s">
        <v>119</v>
      </c>
      <c r="F785" s="2" t="s">
        <v>93</v>
      </c>
      <c r="G785" s="2">
        <v>8</v>
      </c>
      <c r="H785" s="2">
        <v>17610</v>
      </c>
      <c r="I785" s="2">
        <v>5</v>
      </c>
      <c r="J785" s="2">
        <v>133836</v>
      </c>
      <c r="K785" s="2" t="s">
        <v>127</v>
      </c>
      <c r="L785" s="2" t="s">
        <v>121</v>
      </c>
      <c r="M785" s="2" t="s">
        <v>21</v>
      </c>
    </row>
    <row r="786" spans="1:13" x14ac:dyDescent="0.25">
      <c r="A786" s="2" t="s">
        <v>1701</v>
      </c>
      <c r="B786" s="2" t="s">
        <v>1702</v>
      </c>
      <c r="C786" s="2" t="s">
        <v>41</v>
      </c>
      <c r="D786" s="2" t="s">
        <v>42</v>
      </c>
      <c r="E786" s="2" t="s">
        <v>82</v>
      </c>
      <c r="F786" s="2" t="s">
        <v>149</v>
      </c>
      <c r="G786" s="2">
        <v>4</v>
      </c>
      <c r="H786" s="2">
        <v>12010</v>
      </c>
      <c r="I786" s="2">
        <v>15</v>
      </c>
      <c r="J786" s="2">
        <v>40834</v>
      </c>
      <c r="K786" s="2" t="s">
        <v>94</v>
      </c>
      <c r="L786" s="2" t="s">
        <v>344</v>
      </c>
      <c r="M786" s="2" t="s">
        <v>128</v>
      </c>
    </row>
    <row r="787" spans="1:13" x14ac:dyDescent="0.25">
      <c r="A787" s="2" t="s">
        <v>1703</v>
      </c>
      <c r="B787" s="2" t="s">
        <v>307</v>
      </c>
      <c r="C787" s="2" t="s">
        <v>238</v>
      </c>
      <c r="D787" s="2" t="s">
        <v>51</v>
      </c>
      <c r="E787" s="2" t="s">
        <v>136</v>
      </c>
      <c r="F787" s="2" t="s">
        <v>18</v>
      </c>
      <c r="G787" s="2">
        <v>7</v>
      </c>
      <c r="H787" s="2">
        <v>26070</v>
      </c>
      <c r="I787" s="2" t="s">
        <v>152</v>
      </c>
      <c r="J787" s="2">
        <v>182490</v>
      </c>
      <c r="K787" s="2" t="s">
        <v>157</v>
      </c>
      <c r="L787" s="2" t="s">
        <v>796</v>
      </c>
      <c r="M787" s="2" t="s">
        <v>21</v>
      </c>
    </row>
    <row r="788" spans="1:13" x14ac:dyDescent="0.25">
      <c r="A788" s="2" t="s">
        <v>1704</v>
      </c>
      <c r="B788" s="2" t="s">
        <v>1705</v>
      </c>
      <c r="C788" s="2" t="s">
        <v>213</v>
      </c>
      <c r="D788" s="2" t="s">
        <v>58</v>
      </c>
      <c r="E788" s="2" t="s">
        <v>137</v>
      </c>
      <c r="F788" s="2" t="s">
        <v>71</v>
      </c>
      <c r="G788" s="2"/>
      <c r="H788" s="2">
        <v>24670</v>
      </c>
      <c r="I788" s="2">
        <v>0</v>
      </c>
      <c r="J788" s="2">
        <v>98680</v>
      </c>
      <c r="K788" s="2" t="s">
        <v>72</v>
      </c>
      <c r="L788" s="2" t="s">
        <v>176</v>
      </c>
      <c r="M788" s="2" t="s">
        <v>21</v>
      </c>
    </row>
    <row r="789" spans="1:13" x14ac:dyDescent="0.25">
      <c r="A789" s="2" t="s">
        <v>1706</v>
      </c>
      <c r="B789" s="2" t="s">
        <v>804</v>
      </c>
      <c r="C789" s="2" t="s">
        <v>32</v>
      </c>
      <c r="D789" s="2" t="s">
        <v>33</v>
      </c>
      <c r="E789" s="2" t="s">
        <v>223</v>
      </c>
      <c r="F789" s="2" t="s">
        <v>101</v>
      </c>
      <c r="G789" s="2">
        <v>4</v>
      </c>
      <c r="H789" s="2">
        <v>7370</v>
      </c>
      <c r="I789" s="2">
        <v>5</v>
      </c>
      <c r="J789" s="2">
        <v>28006</v>
      </c>
      <c r="K789" s="2" t="s">
        <v>36</v>
      </c>
      <c r="L789" s="2" t="s">
        <v>61</v>
      </c>
      <c r="M789" s="2" t="s">
        <v>29</v>
      </c>
    </row>
    <row r="790" spans="1:13" x14ac:dyDescent="0.25">
      <c r="A790" s="2" t="s">
        <v>1707</v>
      </c>
      <c r="B790" s="2" t="s">
        <v>1042</v>
      </c>
      <c r="C790" s="2" t="s">
        <v>32</v>
      </c>
      <c r="D790" s="2" t="s">
        <v>33</v>
      </c>
      <c r="E790" s="2" t="s">
        <v>195</v>
      </c>
      <c r="F790" s="2" t="s">
        <v>199</v>
      </c>
      <c r="G790" s="2">
        <v>1</v>
      </c>
      <c r="H790" s="2">
        <v>62720</v>
      </c>
      <c r="I790" s="2">
        <v>0</v>
      </c>
      <c r="J790" s="2">
        <v>62720</v>
      </c>
      <c r="K790" s="2" t="s">
        <v>157</v>
      </c>
      <c r="L790" s="2" t="s">
        <v>411</v>
      </c>
      <c r="M790" s="2" t="s">
        <v>38</v>
      </c>
    </row>
    <row r="791" spans="1:13" x14ac:dyDescent="0.25">
      <c r="A791" s="2" t="s">
        <v>1708</v>
      </c>
      <c r="B791" s="2" t="s">
        <v>1709</v>
      </c>
      <c r="C791" s="2" t="s">
        <v>32</v>
      </c>
      <c r="D791" s="2" t="s">
        <v>33</v>
      </c>
      <c r="E791" s="2" t="s">
        <v>77</v>
      </c>
      <c r="F791" s="2" t="s">
        <v>232</v>
      </c>
      <c r="G791" s="2">
        <v>12</v>
      </c>
      <c r="H791" s="2">
        <v>11540</v>
      </c>
      <c r="I791" s="2">
        <v>0</v>
      </c>
      <c r="J791" s="2">
        <v>138480</v>
      </c>
      <c r="K791" s="2" t="s">
        <v>102</v>
      </c>
      <c r="L791" s="2" t="s">
        <v>1710</v>
      </c>
      <c r="M791" s="2" t="s">
        <v>128</v>
      </c>
    </row>
    <row r="792" spans="1:13" x14ac:dyDescent="0.25">
      <c r="A792" s="2" t="s">
        <v>1711</v>
      </c>
      <c r="B792" s="2" t="s">
        <v>1712</v>
      </c>
      <c r="C792" s="2" t="s">
        <v>91</v>
      </c>
      <c r="D792" s="2" t="s">
        <v>51</v>
      </c>
      <c r="E792" s="2" t="s">
        <v>17</v>
      </c>
      <c r="F792" s="2" t="s">
        <v>164</v>
      </c>
      <c r="G792" s="2">
        <v>5</v>
      </c>
      <c r="H792" s="2">
        <v>8780</v>
      </c>
      <c r="I792" s="2">
        <v>0</v>
      </c>
      <c r="J792" s="2">
        <v>43900</v>
      </c>
      <c r="K792" s="2" t="s">
        <v>139</v>
      </c>
      <c r="L792" s="2" t="s">
        <v>406</v>
      </c>
      <c r="M792" s="2" t="s">
        <v>47</v>
      </c>
    </row>
    <row r="793" spans="1:13" x14ac:dyDescent="0.25">
      <c r="A793" s="2" t="s">
        <v>1713</v>
      </c>
      <c r="B793" s="2" t="s">
        <v>654</v>
      </c>
      <c r="C793" s="2" t="s">
        <v>76</v>
      </c>
      <c r="D793" s="2" t="s">
        <v>33</v>
      </c>
      <c r="E793" s="2" t="s">
        <v>179</v>
      </c>
      <c r="F793" s="2" t="s">
        <v>239</v>
      </c>
      <c r="G793" s="2">
        <v>12</v>
      </c>
      <c r="H793" s="2">
        <v>41990</v>
      </c>
      <c r="I793" s="2">
        <v>0</v>
      </c>
      <c r="J793" s="2">
        <v>503880</v>
      </c>
      <c r="K793" s="2" t="s">
        <v>205</v>
      </c>
      <c r="L793" s="2" t="s">
        <v>344</v>
      </c>
      <c r="M793" s="2" t="s">
        <v>223</v>
      </c>
    </row>
    <row r="794" spans="1:13" x14ac:dyDescent="0.25">
      <c r="A794" s="2" t="s">
        <v>1714</v>
      </c>
      <c r="B794" s="2" t="s">
        <v>1715</v>
      </c>
      <c r="C794" s="2" t="s">
        <v>490</v>
      </c>
      <c r="D794" s="2" t="s">
        <v>33</v>
      </c>
      <c r="E794" s="2" t="s">
        <v>223</v>
      </c>
      <c r="F794" s="2" t="s">
        <v>374</v>
      </c>
      <c r="G794" s="2">
        <v>5</v>
      </c>
      <c r="H794" s="2">
        <v>8730</v>
      </c>
      <c r="I794" s="2">
        <v>0</v>
      </c>
      <c r="J794" s="2">
        <v>43650</v>
      </c>
      <c r="K794" s="2" t="s">
        <v>72</v>
      </c>
      <c r="L794" s="2" t="s">
        <v>88</v>
      </c>
      <c r="M794" s="2" t="s">
        <v>29</v>
      </c>
    </row>
    <row r="795" spans="1:13" x14ac:dyDescent="0.25">
      <c r="A795" s="2" t="s">
        <v>1716</v>
      </c>
      <c r="B795" s="2" t="s">
        <v>1717</v>
      </c>
      <c r="C795" s="2" t="s">
        <v>135</v>
      </c>
      <c r="D795" s="2" t="s">
        <v>58</v>
      </c>
      <c r="E795" s="2" t="s">
        <v>137</v>
      </c>
      <c r="F795" s="2" t="s">
        <v>199</v>
      </c>
      <c r="G795" s="2">
        <v>8</v>
      </c>
      <c r="H795" s="2">
        <v>68930</v>
      </c>
      <c r="I795" s="2">
        <v>0</v>
      </c>
      <c r="J795" s="2">
        <v>551440</v>
      </c>
      <c r="K795" s="2" t="s">
        <v>144</v>
      </c>
      <c r="L795" s="2" t="s">
        <v>188</v>
      </c>
      <c r="M795" s="2" t="s">
        <v>215</v>
      </c>
    </row>
    <row r="796" spans="1:13" x14ac:dyDescent="0.25">
      <c r="A796" s="2" t="s">
        <v>1718</v>
      </c>
      <c r="B796" s="2" t="s">
        <v>675</v>
      </c>
      <c r="C796" s="2" t="s">
        <v>64</v>
      </c>
      <c r="D796" s="2" t="s">
        <v>51</v>
      </c>
      <c r="E796" s="2" t="s">
        <v>195</v>
      </c>
      <c r="F796" s="2" t="s">
        <v>18</v>
      </c>
      <c r="G796" s="2">
        <v>1</v>
      </c>
      <c r="H796" s="2">
        <v>10240</v>
      </c>
      <c r="I796" s="2">
        <v>0</v>
      </c>
      <c r="J796" s="2">
        <v>10240</v>
      </c>
      <c r="K796" s="2" t="s">
        <v>127</v>
      </c>
      <c r="L796" s="2" t="s">
        <v>411</v>
      </c>
      <c r="M796" s="2" t="s">
        <v>128</v>
      </c>
    </row>
    <row r="797" spans="1:13" x14ac:dyDescent="0.25">
      <c r="A797" s="2" t="s">
        <v>1719</v>
      </c>
      <c r="B797" s="2" t="s">
        <v>1720</v>
      </c>
      <c r="C797" s="2" t="s">
        <v>118</v>
      </c>
      <c r="D797" s="2" t="s">
        <v>51</v>
      </c>
      <c r="E797" s="2" t="s">
        <v>119</v>
      </c>
      <c r="F797" s="2" t="s">
        <v>115</v>
      </c>
      <c r="G797" s="2">
        <v>3</v>
      </c>
      <c r="H797" s="2">
        <v>13000</v>
      </c>
      <c r="I797" s="2">
        <v>0</v>
      </c>
      <c r="J797" s="2">
        <v>39000</v>
      </c>
      <c r="K797" s="2" t="s">
        <v>133</v>
      </c>
      <c r="L797" s="2" t="s">
        <v>37</v>
      </c>
      <c r="M797" s="2" t="s">
        <v>253</v>
      </c>
    </row>
    <row r="798" spans="1:13" x14ac:dyDescent="0.25">
      <c r="A798" s="2" t="s">
        <v>1721</v>
      </c>
      <c r="B798" s="2" t="s">
        <v>1200</v>
      </c>
      <c r="C798" s="2" t="s">
        <v>24</v>
      </c>
      <c r="D798" s="2" t="s">
        <v>16</v>
      </c>
      <c r="E798" s="2" t="s">
        <v>322</v>
      </c>
      <c r="F798" s="2" t="s">
        <v>184</v>
      </c>
      <c r="G798" s="2"/>
      <c r="H798" s="2">
        <v>3830</v>
      </c>
      <c r="I798" s="2">
        <v>0</v>
      </c>
      <c r="J798" s="2">
        <v>3830</v>
      </c>
      <c r="K798" s="2" t="s">
        <v>157</v>
      </c>
      <c r="L798" s="2" t="s">
        <v>20</v>
      </c>
      <c r="M798" s="2" t="s">
        <v>29</v>
      </c>
    </row>
    <row r="799" spans="1:13" x14ac:dyDescent="0.25">
      <c r="A799" s="2" t="s">
        <v>1722</v>
      </c>
      <c r="B799" s="2" t="s">
        <v>538</v>
      </c>
      <c r="C799" s="2" t="s">
        <v>118</v>
      </c>
      <c r="D799" s="2" t="s">
        <v>51</v>
      </c>
      <c r="E799" s="2" t="s">
        <v>125</v>
      </c>
      <c r="F799" s="2" t="s">
        <v>296</v>
      </c>
      <c r="G799" s="2">
        <v>3</v>
      </c>
      <c r="H799" s="2">
        <v>12330</v>
      </c>
      <c r="I799" s="2">
        <v>0</v>
      </c>
      <c r="J799" s="2">
        <v>36990</v>
      </c>
      <c r="K799" s="2" t="s">
        <v>102</v>
      </c>
      <c r="L799" s="2" t="s">
        <v>79</v>
      </c>
      <c r="M799" s="2" t="s">
        <v>215</v>
      </c>
    </row>
    <row r="800" spans="1:13" x14ac:dyDescent="0.25">
      <c r="A800" s="2" t="s">
        <v>1723</v>
      </c>
      <c r="B800" s="2" t="s">
        <v>1724</v>
      </c>
      <c r="C800" s="2" t="s">
        <v>41</v>
      </c>
      <c r="D800" s="2" t="s">
        <v>42</v>
      </c>
      <c r="E800" s="2" t="s">
        <v>34</v>
      </c>
      <c r="F800" s="2" t="s">
        <v>71</v>
      </c>
      <c r="G800" s="2">
        <v>9</v>
      </c>
      <c r="H800" s="2">
        <v>1130</v>
      </c>
      <c r="I800" s="2">
        <v>0</v>
      </c>
      <c r="J800" s="2">
        <v>10170</v>
      </c>
      <c r="K800" s="2" t="s">
        <v>172</v>
      </c>
      <c r="L800" s="2" t="s">
        <v>344</v>
      </c>
      <c r="M800" s="2" t="s">
        <v>38</v>
      </c>
    </row>
    <row r="801" spans="1:13" x14ac:dyDescent="0.25">
      <c r="A801" s="2" t="s">
        <v>1725</v>
      </c>
      <c r="B801" s="2" t="s">
        <v>1726</v>
      </c>
      <c r="C801" s="2" t="s">
        <v>76</v>
      </c>
      <c r="D801" s="2" t="s">
        <v>33</v>
      </c>
      <c r="E801" s="2" t="s">
        <v>295</v>
      </c>
      <c r="F801" s="2" t="s">
        <v>101</v>
      </c>
      <c r="G801" s="2">
        <v>2</v>
      </c>
      <c r="H801" s="2">
        <v>12240</v>
      </c>
      <c r="I801" s="2">
        <v>0</v>
      </c>
      <c r="J801" s="2">
        <v>24480</v>
      </c>
      <c r="K801" s="2" t="s">
        <v>133</v>
      </c>
      <c r="L801" s="2" t="s">
        <v>1727</v>
      </c>
      <c r="M801" s="2" t="s">
        <v>47</v>
      </c>
    </row>
    <row r="802" spans="1:13" x14ac:dyDescent="0.25">
      <c r="A802" s="2" t="s">
        <v>1728</v>
      </c>
      <c r="B802" s="2" t="s">
        <v>1729</v>
      </c>
      <c r="C802" s="2" t="s">
        <v>281</v>
      </c>
      <c r="D802" s="2" t="s">
        <v>51</v>
      </c>
      <c r="E802" s="2" t="s">
        <v>131</v>
      </c>
      <c r="F802" s="2" t="s">
        <v>319</v>
      </c>
      <c r="G802" s="2">
        <v>9</v>
      </c>
      <c r="H802" s="2">
        <v>20330</v>
      </c>
      <c r="I802" s="2">
        <v>0</v>
      </c>
      <c r="J802" s="2">
        <v>182970</v>
      </c>
      <c r="K802" s="2" t="s">
        <v>27</v>
      </c>
      <c r="L802" s="2" t="s">
        <v>473</v>
      </c>
      <c r="M802" s="2" t="s">
        <v>128</v>
      </c>
    </row>
    <row r="803" spans="1:13" x14ac:dyDescent="0.25">
      <c r="A803" s="2" t="s">
        <v>1730</v>
      </c>
      <c r="B803" s="2" t="s">
        <v>1072</v>
      </c>
      <c r="C803" s="2" t="s">
        <v>15</v>
      </c>
      <c r="D803" s="2" t="s">
        <v>16</v>
      </c>
      <c r="E803" s="2" t="s">
        <v>504</v>
      </c>
      <c r="F803" s="2" t="s">
        <v>83</v>
      </c>
      <c r="G803" s="2">
        <v>11</v>
      </c>
      <c r="H803" s="2">
        <v>2550</v>
      </c>
      <c r="I803" s="2">
        <v>0</v>
      </c>
      <c r="J803" s="2">
        <v>28050</v>
      </c>
      <c r="K803" s="2" t="s">
        <v>67</v>
      </c>
      <c r="L803" s="2" t="s">
        <v>200</v>
      </c>
      <c r="M803" s="2" t="s">
        <v>21</v>
      </c>
    </row>
    <row r="804" spans="1:13" x14ac:dyDescent="0.25">
      <c r="A804" s="2" t="s">
        <v>1731</v>
      </c>
      <c r="B804" s="2" t="s">
        <v>1732</v>
      </c>
      <c r="C804" s="2" t="s">
        <v>204</v>
      </c>
      <c r="D804" s="2" t="s">
        <v>33</v>
      </c>
      <c r="E804" s="2" t="s">
        <v>179</v>
      </c>
      <c r="F804" s="2" t="s">
        <v>543</v>
      </c>
      <c r="G804" s="2">
        <v>3</v>
      </c>
      <c r="H804" s="2">
        <v>1190</v>
      </c>
      <c r="I804" s="2">
        <v>0</v>
      </c>
      <c r="J804" s="2">
        <v>3570</v>
      </c>
      <c r="K804" s="2" t="s">
        <v>67</v>
      </c>
      <c r="L804" s="2" t="s">
        <v>188</v>
      </c>
      <c r="M804" s="2" t="s">
        <v>21</v>
      </c>
    </row>
    <row r="805" spans="1:13" x14ac:dyDescent="0.25">
      <c r="A805" s="2" t="s">
        <v>1733</v>
      </c>
      <c r="B805" s="2" t="s">
        <v>1734</v>
      </c>
      <c r="C805" s="2" t="s">
        <v>110</v>
      </c>
      <c r="D805" s="2" t="s">
        <v>33</v>
      </c>
      <c r="E805" s="2" t="s">
        <v>82</v>
      </c>
      <c r="F805" s="2" t="s">
        <v>435</v>
      </c>
      <c r="G805" s="2">
        <v>7</v>
      </c>
      <c r="H805" s="2">
        <v>2760</v>
      </c>
      <c r="I805" s="2">
        <v>0</v>
      </c>
      <c r="J805" s="2">
        <v>19320</v>
      </c>
      <c r="K805" s="2" t="s">
        <v>139</v>
      </c>
      <c r="L805" s="2" t="s">
        <v>200</v>
      </c>
      <c r="M805" s="2" t="s">
        <v>29</v>
      </c>
    </row>
    <row r="806" spans="1:13" x14ac:dyDescent="0.25">
      <c r="A806" s="2" t="s">
        <v>1735</v>
      </c>
      <c r="B806" s="2" t="s">
        <v>1736</v>
      </c>
      <c r="C806" s="2" t="s">
        <v>238</v>
      </c>
      <c r="D806" s="2" t="s">
        <v>51</v>
      </c>
      <c r="E806" s="2" t="s">
        <v>504</v>
      </c>
      <c r="F806" s="2" t="s">
        <v>167</v>
      </c>
      <c r="G806" s="2">
        <v>1</v>
      </c>
      <c r="H806" s="2">
        <v>24320</v>
      </c>
      <c r="I806" s="2">
        <v>5</v>
      </c>
      <c r="J806" s="2">
        <v>23104</v>
      </c>
      <c r="K806" s="2" t="s">
        <v>127</v>
      </c>
      <c r="L806" s="2" t="s">
        <v>266</v>
      </c>
      <c r="M806" s="2" t="s">
        <v>47</v>
      </c>
    </row>
    <row r="807" spans="1:13" x14ac:dyDescent="0.25">
      <c r="A807" s="2" t="s">
        <v>1737</v>
      </c>
      <c r="B807" s="2" t="s">
        <v>1738</v>
      </c>
      <c r="C807" s="2" t="s">
        <v>118</v>
      </c>
      <c r="D807" s="2" t="s">
        <v>51</v>
      </c>
      <c r="E807" s="2" t="s">
        <v>179</v>
      </c>
      <c r="F807" s="2" t="s">
        <v>143</v>
      </c>
      <c r="G807" s="2">
        <v>5</v>
      </c>
      <c r="H807" s="2">
        <v>8210</v>
      </c>
      <c r="I807" s="2">
        <v>5</v>
      </c>
      <c r="J807" s="2">
        <v>38997.5</v>
      </c>
      <c r="K807" s="2" t="s">
        <v>172</v>
      </c>
      <c r="L807" s="2" t="s">
        <v>883</v>
      </c>
      <c r="M807" s="2" t="s">
        <v>47</v>
      </c>
    </row>
    <row r="808" spans="1:13" x14ac:dyDescent="0.25">
      <c r="A808" s="2" t="s">
        <v>1739</v>
      </c>
      <c r="B808" s="2" t="s">
        <v>1720</v>
      </c>
      <c r="C808" s="2" t="s">
        <v>76</v>
      </c>
      <c r="D808" s="2" t="s">
        <v>33</v>
      </c>
      <c r="E808" s="2" t="s">
        <v>137</v>
      </c>
      <c r="F808" s="2" t="s">
        <v>199</v>
      </c>
      <c r="G808" s="2">
        <v>3</v>
      </c>
      <c r="H808" s="2">
        <v>11110</v>
      </c>
      <c r="I808" s="2">
        <v>0</v>
      </c>
      <c r="J808" s="2">
        <v>33330</v>
      </c>
      <c r="K808" s="2" t="s">
        <v>144</v>
      </c>
      <c r="L808" s="2" t="s">
        <v>173</v>
      </c>
      <c r="M808" s="2" t="s">
        <v>352</v>
      </c>
    </row>
    <row r="809" spans="1:13" x14ac:dyDescent="0.25">
      <c r="A809" s="2" t="s">
        <v>1740</v>
      </c>
      <c r="B809" s="2" t="s">
        <v>1342</v>
      </c>
      <c r="C809" s="2" t="s">
        <v>773</v>
      </c>
      <c r="D809" s="2" t="s">
        <v>16</v>
      </c>
      <c r="E809" s="2" t="s">
        <v>59</v>
      </c>
      <c r="F809" s="2" t="s">
        <v>252</v>
      </c>
      <c r="G809" s="2">
        <v>2</v>
      </c>
      <c r="H809" s="2">
        <v>1110</v>
      </c>
      <c r="I809" s="2">
        <v>15</v>
      </c>
      <c r="J809" s="2">
        <v>1887</v>
      </c>
      <c r="K809" s="2" t="s">
        <v>67</v>
      </c>
      <c r="L809" s="2" t="s">
        <v>375</v>
      </c>
      <c r="M809" s="2" t="s">
        <v>47</v>
      </c>
    </row>
    <row r="810" spans="1:13" x14ac:dyDescent="0.25">
      <c r="A810" s="2" t="s">
        <v>1741</v>
      </c>
      <c r="B810" s="2" t="s">
        <v>346</v>
      </c>
      <c r="C810" s="2" t="s">
        <v>204</v>
      </c>
      <c r="D810" s="2" t="s">
        <v>33</v>
      </c>
      <c r="E810" s="2" t="s">
        <v>77</v>
      </c>
      <c r="F810" s="2" t="s">
        <v>232</v>
      </c>
      <c r="G810" s="2">
        <v>10</v>
      </c>
      <c r="H810" s="2">
        <v>41690</v>
      </c>
      <c r="I810" s="2">
        <v>10</v>
      </c>
      <c r="J810" s="2">
        <v>375210</v>
      </c>
      <c r="K810" s="2" t="s">
        <v>133</v>
      </c>
      <c r="L810" s="2" t="s">
        <v>121</v>
      </c>
      <c r="M810" s="2" t="s">
        <v>140</v>
      </c>
    </row>
    <row r="811" spans="1:13" x14ac:dyDescent="0.25">
      <c r="A811" s="2" t="s">
        <v>1742</v>
      </c>
      <c r="B811" s="2" t="s">
        <v>623</v>
      </c>
      <c r="C811" s="2" t="s">
        <v>41</v>
      </c>
      <c r="D811" s="2" t="s">
        <v>42</v>
      </c>
      <c r="E811" s="2" t="s">
        <v>92</v>
      </c>
      <c r="F811" s="2" t="s">
        <v>93</v>
      </c>
      <c r="G811" s="2">
        <v>3</v>
      </c>
      <c r="H811" s="2">
        <v>8340</v>
      </c>
      <c r="I811" s="2">
        <v>0</v>
      </c>
      <c r="J811" s="2">
        <v>25020</v>
      </c>
      <c r="K811" s="2" t="s">
        <v>205</v>
      </c>
      <c r="L811" s="2" t="s">
        <v>152</v>
      </c>
      <c r="M811" s="2" t="s">
        <v>128</v>
      </c>
    </row>
    <row r="812" spans="1:13" x14ac:dyDescent="0.25">
      <c r="A812" s="2" t="s">
        <v>1743</v>
      </c>
      <c r="B812" s="2" t="s">
        <v>1744</v>
      </c>
      <c r="C812" s="2" t="s">
        <v>281</v>
      </c>
      <c r="D812" s="2" t="s">
        <v>51</v>
      </c>
      <c r="E812" s="2" t="s">
        <v>125</v>
      </c>
      <c r="F812" s="2" t="s">
        <v>101</v>
      </c>
      <c r="G812" s="2">
        <v>0</v>
      </c>
      <c r="H812" s="2">
        <v>1090</v>
      </c>
      <c r="I812" s="2">
        <v>0</v>
      </c>
      <c r="J812" s="2">
        <v>1090</v>
      </c>
      <c r="K812" s="2" t="s">
        <v>102</v>
      </c>
      <c r="L812" s="2" t="s">
        <v>249</v>
      </c>
      <c r="M812" s="2" t="s">
        <v>47</v>
      </c>
    </row>
    <row r="813" spans="1:13" x14ac:dyDescent="0.25">
      <c r="A813" s="2" t="s">
        <v>1745</v>
      </c>
      <c r="B813" s="2" t="s">
        <v>1746</v>
      </c>
      <c r="C813" s="2" t="s">
        <v>557</v>
      </c>
      <c r="D813" s="2" t="s">
        <v>16</v>
      </c>
      <c r="E813" s="2" t="s">
        <v>111</v>
      </c>
      <c r="F813" s="2" t="s">
        <v>78</v>
      </c>
      <c r="G813" s="2">
        <v>7</v>
      </c>
      <c r="H813" s="2">
        <v>8400</v>
      </c>
      <c r="I813" s="2">
        <v>0</v>
      </c>
      <c r="J813" s="2">
        <v>58800</v>
      </c>
      <c r="K813" s="2" t="s">
        <v>94</v>
      </c>
      <c r="L813" s="2" t="s">
        <v>440</v>
      </c>
      <c r="M813" s="2" t="s">
        <v>215</v>
      </c>
    </row>
    <row r="814" spans="1:13" x14ac:dyDescent="0.25">
      <c r="A814" s="2" t="s">
        <v>1747</v>
      </c>
      <c r="B814" s="2" t="s">
        <v>1748</v>
      </c>
      <c r="C814" s="2" t="s">
        <v>76</v>
      </c>
      <c r="D814" s="2" t="s">
        <v>33</v>
      </c>
      <c r="E814" s="2" t="s">
        <v>111</v>
      </c>
      <c r="F814" s="2" t="s">
        <v>543</v>
      </c>
      <c r="G814" s="2">
        <v>5</v>
      </c>
      <c r="H814" s="2">
        <v>480</v>
      </c>
      <c r="I814" s="2">
        <v>0</v>
      </c>
      <c r="J814" s="2">
        <v>2400</v>
      </c>
      <c r="K814" s="2" t="s">
        <v>102</v>
      </c>
      <c r="L814" s="2" t="s">
        <v>61</v>
      </c>
      <c r="M814" s="2" t="s">
        <v>29</v>
      </c>
    </row>
    <row r="815" spans="1:13" x14ac:dyDescent="0.25">
      <c r="A815" s="2" t="s">
        <v>1749</v>
      </c>
      <c r="B815" s="2" t="s">
        <v>1750</v>
      </c>
      <c r="C815" s="2" t="s">
        <v>135</v>
      </c>
      <c r="D815" s="2" t="s">
        <v>58</v>
      </c>
      <c r="E815" s="2" t="s">
        <v>195</v>
      </c>
      <c r="F815" s="2" t="s">
        <v>374</v>
      </c>
      <c r="G815" s="2">
        <v>10</v>
      </c>
      <c r="H815" s="2">
        <v>27660</v>
      </c>
      <c r="I815" s="2">
        <v>0</v>
      </c>
      <c r="J815" s="2">
        <v>276600</v>
      </c>
      <c r="K815" s="2" t="s">
        <v>172</v>
      </c>
      <c r="L815" s="2" t="s">
        <v>121</v>
      </c>
      <c r="M815" s="2" t="s">
        <v>47</v>
      </c>
    </row>
    <row r="816" spans="1:13" x14ac:dyDescent="0.25">
      <c r="A816" s="2" t="s">
        <v>1751</v>
      </c>
      <c r="B816" s="2" t="s">
        <v>1752</v>
      </c>
      <c r="C816" s="2" t="s">
        <v>213</v>
      </c>
      <c r="D816" s="2" t="s">
        <v>58</v>
      </c>
      <c r="E816" s="2" t="s">
        <v>111</v>
      </c>
      <c r="F816" s="2" t="s">
        <v>239</v>
      </c>
      <c r="G816" s="2">
        <v>5</v>
      </c>
      <c r="H816" s="2">
        <v>3700</v>
      </c>
      <c r="I816" s="2">
        <v>0</v>
      </c>
      <c r="J816" s="2">
        <v>18500</v>
      </c>
      <c r="K816" s="2" t="s">
        <v>72</v>
      </c>
      <c r="L816" s="2" t="s">
        <v>188</v>
      </c>
      <c r="M816" s="2" t="s">
        <v>128</v>
      </c>
    </row>
    <row r="817" spans="1:13" x14ac:dyDescent="0.25">
      <c r="A817" s="2" t="s">
        <v>1753</v>
      </c>
      <c r="B817" s="2" t="s">
        <v>1285</v>
      </c>
      <c r="C817" s="2" t="s">
        <v>41</v>
      </c>
      <c r="D817" s="2" t="s">
        <v>42</v>
      </c>
      <c r="E817" s="2" t="s">
        <v>138</v>
      </c>
      <c r="F817" s="2" t="s">
        <v>332</v>
      </c>
      <c r="G817" s="2">
        <v>3</v>
      </c>
      <c r="H817" s="2">
        <v>23800</v>
      </c>
      <c r="I817" s="2">
        <v>0</v>
      </c>
      <c r="J817" s="2">
        <v>71400</v>
      </c>
      <c r="K817" s="2" t="s">
        <v>45</v>
      </c>
      <c r="L817" s="2" t="s">
        <v>88</v>
      </c>
      <c r="M817" s="2" t="s">
        <v>47</v>
      </c>
    </row>
    <row r="818" spans="1:13" x14ac:dyDescent="0.25">
      <c r="A818" s="2" t="s">
        <v>1754</v>
      </c>
      <c r="B818" s="2" t="s">
        <v>1755</v>
      </c>
      <c r="C818" s="2" t="s">
        <v>156</v>
      </c>
      <c r="D818" s="2" t="s">
        <v>51</v>
      </c>
      <c r="E818" s="2" t="s">
        <v>131</v>
      </c>
      <c r="F818" s="2" t="s">
        <v>66</v>
      </c>
      <c r="G818" s="2">
        <v>9</v>
      </c>
      <c r="H818" s="2">
        <v>18160</v>
      </c>
      <c r="I818" s="2">
        <v>15</v>
      </c>
      <c r="J818" s="2">
        <v>138924</v>
      </c>
      <c r="K818" s="2" t="s">
        <v>45</v>
      </c>
      <c r="L818" s="2" t="s">
        <v>274</v>
      </c>
      <c r="M818" s="2" t="s">
        <v>140</v>
      </c>
    </row>
    <row r="819" spans="1:13" x14ac:dyDescent="0.25">
      <c r="A819" s="2" t="s">
        <v>1756</v>
      </c>
      <c r="B819" s="2" t="s">
        <v>1757</v>
      </c>
      <c r="C819" s="2" t="s">
        <v>32</v>
      </c>
      <c r="D819" s="2" t="s">
        <v>33</v>
      </c>
      <c r="E819" s="2" t="s">
        <v>34</v>
      </c>
      <c r="F819" s="2" t="s">
        <v>290</v>
      </c>
      <c r="G819" s="2">
        <v>11</v>
      </c>
      <c r="H819" s="2">
        <v>570</v>
      </c>
      <c r="I819" s="2">
        <v>0</v>
      </c>
      <c r="J819" s="2">
        <v>6270</v>
      </c>
      <c r="K819" s="2" t="s">
        <v>45</v>
      </c>
      <c r="L819" s="2" t="s">
        <v>214</v>
      </c>
      <c r="M819" s="2" t="s">
        <v>47</v>
      </c>
    </row>
    <row r="820" spans="1:13" x14ac:dyDescent="0.25">
      <c r="A820" s="2" t="s">
        <v>1758</v>
      </c>
      <c r="B820" s="2" t="s">
        <v>1759</v>
      </c>
      <c r="C820" s="2" t="s">
        <v>110</v>
      </c>
      <c r="D820" s="2" t="s">
        <v>33</v>
      </c>
      <c r="E820" s="2" t="s">
        <v>77</v>
      </c>
      <c r="F820" s="2" t="s">
        <v>224</v>
      </c>
      <c r="G820" s="2">
        <v>9</v>
      </c>
      <c r="H820" s="2">
        <v>73270</v>
      </c>
      <c r="I820" s="2">
        <v>0</v>
      </c>
      <c r="J820" s="2">
        <v>659430</v>
      </c>
      <c r="K820" s="2" t="s">
        <v>94</v>
      </c>
      <c r="L820" s="2" t="s">
        <v>68</v>
      </c>
      <c r="M820" s="2" t="s">
        <v>21</v>
      </c>
    </row>
    <row r="821" spans="1:13" x14ac:dyDescent="0.25">
      <c r="A821" s="2" t="s">
        <v>1760</v>
      </c>
      <c r="B821" s="2" t="s">
        <v>704</v>
      </c>
      <c r="C821" s="2" t="s">
        <v>57</v>
      </c>
      <c r="D821" s="2" t="s">
        <v>58</v>
      </c>
      <c r="E821" s="2" t="s">
        <v>284</v>
      </c>
      <c r="F821" s="2" t="s">
        <v>252</v>
      </c>
      <c r="G821" s="2">
        <v>6</v>
      </c>
      <c r="H821" s="2">
        <v>5650</v>
      </c>
      <c r="I821" s="2">
        <v>10</v>
      </c>
      <c r="J821" s="2">
        <v>30510</v>
      </c>
      <c r="K821" s="2" t="s">
        <v>53</v>
      </c>
      <c r="L821" s="2" t="s">
        <v>188</v>
      </c>
      <c r="M821" s="2" t="s">
        <v>47</v>
      </c>
    </row>
    <row r="822" spans="1:13" x14ac:dyDescent="0.25">
      <c r="A822" s="2" t="s">
        <v>1761</v>
      </c>
      <c r="B822" s="2" t="s">
        <v>1168</v>
      </c>
      <c r="C822" s="2" t="s">
        <v>238</v>
      </c>
      <c r="D822" s="2" t="s">
        <v>51</v>
      </c>
      <c r="E822" s="2" t="s">
        <v>179</v>
      </c>
      <c r="F822" s="2" t="s">
        <v>232</v>
      </c>
      <c r="G822" s="2">
        <v>11</v>
      </c>
      <c r="H822" s="2" t="s">
        <v>107</v>
      </c>
      <c r="I822" s="2">
        <v>0</v>
      </c>
      <c r="J822" s="2">
        <v>553410</v>
      </c>
      <c r="K822" s="2" t="s">
        <v>94</v>
      </c>
      <c r="L822" s="2" t="s">
        <v>228</v>
      </c>
      <c r="M822" s="2" t="s">
        <v>223</v>
      </c>
    </row>
    <row r="823" spans="1:13" x14ac:dyDescent="0.25">
      <c r="A823" s="2" t="s">
        <v>1762</v>
      </c>
      <c r="B823" s="2" t="s">
        <v>1763</v>
      </c>
      <c r="C823" s="2" t="s">
        <v>135</v>
      </c>
      <c r="D823" s="2" t="s">
        <v>107</v>
      </c>
      <c r="E823" s="2" t="s">
        <v>179</v>
      </c>
      <c r="F823" s="2" t="s">
        <v>543</v>
      </c>
      <c r="G823" s="2">
        <v>3</v>
      </c>
      <c r="H823" s="2">
        <v>48270</v>
      </c>
      <c r="I823" s="2">
        <v>15</v>
      </c>
      <c r="J823" s="2">
        <v>123088.5</v>
      </c>
      <c r="K823" s="2"/>
      <c r="L823" s="2" t="s">
        <v>54</v>
      </c>
      <c r="M823" s="2" t="s">
        <v>38</v>
      </c>
    </row>
    <row r="824" spans="1:13" x14ac:dyDescent="0.25">
      <c r="A824" s="2" t="s">
        <v>1764</v>
      </c>
      <c r="B824" s="2" t="s">
        <v>1500</v>
      </c>
      <c r="C824" s="2" t="s">
        <v>64</v>
      </c>
      <c r="D824" s="2" t="s">
        <v>51</v>
      </c>
      <c r="E824" s="2" t="s">
        <v>105</v>
      </c>
      <c r="F824" s="2" t="s">
        <v>26</v>
      </c>
      <c r="G824" s="2">
        <v>9</v>
      </c>
      <c r="H824" s="2">
        <v>2590</v>
      </c>
      <c r="I824" s="2">
        <v>10</v>
      </c>
      <c r="J824" s="2" t="s">
        <v>152</v>
      </c>
      <c r="K824" s="2" t="s">
        <v>144</v>
      </c>
      <c r="L824" s="2" t="s">
        <v>46</v>
      </c>
      <c r="M824" s="2" t="s">
        <v>21</v>
      </c>
    </row>
    <row r="825" spans="1:13" x14ac:dyDescent="0.25">
      <c r="A825" s="2" t="s">
        <v>1765</v>
      </c>
      <c r="B825" s="2" t="s">
        <v>1766</v>
      </c>
      <c r="C825" s="2" t="s">
        <v>238</v>
      </c>
      <c r="D825" s="2" t="s">
        <v>51</v>
      </c>
      <c r="E825" s="2" t="s">
        <v>34</v>
      </c>
      <c r="F825" s="2" t="s">
        <v>171</v>
      </c>
      <c r="G825" s="2">
        <v>10</v>
      </c>
      <c r="H825" s="2"/>
      <c r="I825" s="2">
        <v>10</v>
      </c>
      <c r="J825" s="2" t="s">
        <v>138</v>
      </c>
      <c r="K825" s="2" t="s">
        <v>157</v>
      </c>
      <c r="L825" s="2" t="s">
        <v>88</v>
      </c>
      <c r="M825" s="2" t="s">
        <v>21</v>
      </c>
    </row>
    <row r="826" spans="1:13" x14ac:dyDescent="0.25">
      <c r="A826" s="2" t="s">
        <v>1767</v>
      </c>
      <c r="B826" s="2" t="s">
        <v>1768</v>
      </c>
      <c r="C826" s="2" t="s">
        <v>91</v>
      </c>
      <c r="D826" s="2" t="s">
        <v>51</v>
      </c>
      <c r="E826" s="2" t="s">
        <v>504</v>
      </c>
      <c r="F826" s="2" t="s">
        <v>209</v>
      </c>
      <c r="G826" s="2">
        <v>3</v>
      </c>
      <c r="H826" s="2">
        <v>11430</v>
      </c>
      <c r="I826" s="2">
        <v>0</v>
      </c>
      <c r="J826" s="2"/>
      <c r="K826" s="2" t="s">
        <v>72</v>
      </c>
      <c r="L826" s="2" t="s">
        <v>794</v>
      </c>
      <c r="M826" s="2" t="s">
        <v>128</v>
      </c>
    </row>
    <row r="827" spans="1:13" x14ac:dyDescent="0.25">
      <c r="A827" s="2" t="s">
        <v>1769</v>
      </c>
      <c r="B827" s="2" t="s">
        <v>1770</v>
      </c>
      <c r="C827" s="2" t="s">
        <v>598</v>
      </c>
      <c r="D827" s="2" t="s">
        <v>42</v>
      </c>
      <c r="E827" s="2" t="s">
        <v>231</v>
      </c>
      <c r="F827" s="2" t="s">
        <v>180</v>
      </c>
      <c r="G827" s="2">
        <v>5</v>
      </c>
      <c r="H827" s="2">
        <v>41060</v>
      </c>
      <c r="I827" s="2">
        <v>0</v>
      </c>
      <c r="J827" s="2">
        <v>205300</v>
      </c>
      <c r="K827" s="2" t="s">
        <v>27</v>
      </c>
      <c r="L827" s="2" t="s">
        <v>54</v>
      </c>
      <c r="M827" s="2" t="s">
        <v>152</v>
      </c>
    </row>
    <row r="828" spans="1:13" x14ac:dyDescent="0.25">
      <c r="A828" s="2" t="s">
        <v>1771</v>
      </c>
      <c r="B828" s="2" t="s">
        <v>1772</v>
      </c>
      <c r="C828" s="2" t="s">
        <v>57</v>
      </c>
      <c r="D828" s="2" t="s">
        <v>58</v>
      </c>
      <c r="E828" s="2" t="s">
        <v>52</v>
      </c>
      <c r="F828" s="2" t="s">
        <v>106</v>
      </c>
      <c r="G828" s="2">
        <v>3</v>
      </c>
      <c r="H828" s="2">
        <v>10830</v>
      </c>
      <c r="I828" s="2">
        <v>0</v>
      </c>
      <c r="J828" s="2">
        <v>32490</v>
      </c>
      <c r="K828" s="2" t="s">
        <v>144</v>
      </c>
      <c r="L828" s="2" t="s">
        <v>54</v>
      </c>
      <c r="M828" s="2" t="s">
        <v>152</v>
      </c>
    </row>
    <row r="829" spans="1:13" x14ac:dyDescent="0.25">
      <c r="A829" s="2" t="s">
        <v>1773</v>
      </c>
      <c r="B829" s="2" t="s">
        <v>1774</v>
      </c>
      <c r="C829" s="2" t="s">
        <v>24</v>
      </c>
      <c r="D829" s="2" t="s">
        <v>16</v>
      </c>
      <c r="E829" s="2" t="s">
        <v>17</v>
      </c>
      <c r="F829" s="2" t="s">
        <v>374</v>
      </c>
      <c r="G829" s="2">
        <v>8</v>
      </c>
      <c r="H829" s="2">
        <v>500</v>
      </c>
      <c r="I829" s="2">
        <v>5</v>
      </c>
      <c r="J829" s="2">
        <v>3800</v>
      </c>
      <c r="K829" s="2" t="s">
        <v>144</v>
      </c>
      <c r="L829" s="2" t="s">
        <v>440</v>
      </c>
      <c r="M829" s="2" t="s">
        <v>21</v>
      </c>
    </row>
    <row r="830" spans="1:13" x14ac:dyDescent="0.25">
      <c r="A830" s="2" t="s">
        <v>1775</v>
      </c>
      <c r="B830" s="2" t="s">
        <v>1776</v>
      </c>
      <c r="C830" s="2" t="s">
        <v>138</v>
      </c>
      <c r="D830" s="2" t="s">
        <v>51</v>
      </c>
      <c r="E830" s="2" t="s">
        <v>125</v>
      </c>
      <c r="F830" s="2" t="s">
        <v>314</v>
      </c>
      <c r="G830" s="2">
        <v>11</v>
      </c>
      <c r="H830" s="2">
        <v>19390</v>
      </c>
      <c r="I830" s="2">
        <v>15</v>
      </c>
      <c r="J830" s="2">
        <v>181296.5</v>
      </c>
      <c r="K830" s="2" t="s">
        <v>157</v>
      </c>
      <c r="L830" s="2" t="s">
        <v>274</v>
      </c>
      <c r="M830" s="2" t="s">
        <v>47</v>
      </c>
    </row>
    <row r="831" spans="1:13" x14ac:dyDescent="0.25">
      <c r="A831" s="2" t="s">
        <v>1777</v>
      </c>
      <c r="B831" s="2" t="s">
        <v>560</v>
      </c>
      <c r="C831" s="2" t="s">
        <v>198</v>
      </c>
      <c r="D831" s="2" t="s">
        <v>42</v>
      </c>
      <c r="E831" s="2" t="s">
        <v>17</v>
      </c>
      <c r="F831" s="2" t="s">
        <v>374</v>
      </c>
      <c r="G831" s="2">
        <v>4</v>
      </c>
      <c r="H831" s="2">
        <v>3220</v>
      </c>
      <c r="I831" s="2">
        <v>0</v>
      </c>
      <c r="J831" s="2">
        <v>12880</v>
      </c>
      <c r="K831" s="2" t="s">
        <v>205</v>
      </c>
      <c r="L831" s="2" t="s">
        <v>440</v>
      </c>
      <c r="M831" s="2" t="s">
        <v>38</v>
      </c>
    </row>
    <row r="832" spans="1:13" x14ac:dyDescent="0.25">
      <c r="A832" s="2" t="s">
        <v>1778</v>
      </c>
      <c r="B832" s="2" t="s">
        <v>1779</v>
      </c>
      <c r="C832" s="2" t="s">
        <v>57</v>
      </c>
      <c r="D832" s="2" t="s">
        <v>58</v>
      </c>
      <c r="E832" s="2"/>
      <c r="F832" s="2" t="s">
        <v>149</v>
      </c>
      <c r="G832" s="2">
        <v>12</v>
      </c>
      <c r="H832" s="2">
        <v>480</v>
      </c>
      <c r="I832" s="2">
        <v>0</v>
      </c>
      <c r="J832" s="2">
        <v>5760</v>
      </c>
      <c r="K832" s="2" t="s">
        <v>53</v>
      </c>
      <c r="L832" s="2" t="s">
        <v>611</v>
      </c>
      <c r="M832" s="2" t="s">
        <v>47</v>
      </c>
    </row>
    <row r="833" spans="1:13" x14ac:dyDescent="0.25">
      <c r="A833" s="2" t="s">
        <v>1780</v>
      </c>
      <c r="B833" s="2" t="s">
        <v>1650</v>
      </c>
      <c r="C833" s="2" t="s">
        <v>24</v>
      </c>
      <c r="D833" s="2" t="s">
        <v>16</v>
      </c>
      <c r="E833" s="2" t="s">
        <v>65</v>
      </c>
      <c r="F833" s="2" t="s">
        <v>314</v>
      </c>
      <c r="G833" s="2">
        <v>9</v>
      </c>
      <c r="H833" s="2">
        <v>3640</v>
      </c>
      <c r="I833" s="2">
        <v>15</v>
      </c>
      <c r="J833" s="2">
        <v>27846</v>
      </c>
      <c r="K833" s="2" t="s">
        <v>172</v>
      </c>
      <c r="L833" s="2" t="s">
        <v>473</v>
      </c>
      <c r="M833" s="2" t="s">
        <v>21</v>
      </c>
    </row>
    <row r="834" spans="1:13" x14ac:dyDescent="0.25">
      <c r="A834" s="2" t="s">
        <v>1781</v>
      </c>
      <c r="B834" s="2" t="s">
        <v>1782</v>
      </c>
      <c r="C834" s="2" t="s">
        <v>41</v>
      </c>
      <c r="D834" s="2" t="s">
        <v>42</v>
      </c>
      <c r="E834" s="2" t="s">
        <v>231</v>
      </c>
      <c r="F834" s="2" t="s">
        <v>180</v>
      </c>
      <c r="G834" s="2">
        <v>4</v>
      </c>
      <c r="H834" s="2">
        <v>8960</v>
      </c>
      <c r="I834" s="2">
        <v>0</v>
      </c>
      <c r="J834" s="2">
        <v>35840</v>
      </c>
      <c r="K834" s="2" t="s">
        <v>127</v>
      </c>
      <c r="L834" s="2" t="s">
        <v>188</v>
      </c>
      <c r="M834" s="2" t="s">
        <v>29</v>
      </c>
    </row>
    <row r="835" spans="1:13" x14ac:dyDescent="0.25">
      <c r="A835" s="2" t="s">
        <v>1783</v>
      </c>
      <c r="B835" s="2" t="s">
        <v>1454</v>
      </c>
      <c r="C835" s="2" t="s">
        <v>110</v>
      </c>
      <c r="D835" s="2" t="s">
        <v>33</v>
      </c>
      <c r="E835" s="2" t="s">
        <v>284</v>
      </c>
      <c r="F835" s="2" t="s">
        <v>252</v>
      </c>
      <c r="G835" s="2">
        <v>9</v>
      </c>
      <c r="H835" s="2">
        <v>25830</v>
      </c>
      <c r="I835" s="2">
        <v>0</v>
      </c>
      <c r="J835" s="2">
        <v>232470</v>
      </c>
      <c r="K835" s="2" t="s">
        <v>205</v>
      </c>
      <c r="L835" s="2"/>
      <c r="M835" s="2" t="s">
        <v>128</v>
      </c>
    </row>
    <row r="836" spans="1:13" x14ac:dyDescent="0.25">
      <c r="A836" s="2" t="s">
        <v>1784</v>
      </c>
      <c r="B836" s="2" t="s">
        <v>1785</v>
      </c>
      <c r="C836" s="2" t="s">
        <v>41</v>
      </c>
      <c r="D836" s="2" t="s">
        <v>42</v>
      </c>
      <c r="E836" s="2" t="s">
        <v>92</v>
      </c>
      <c r="F836" s="2" t="s">
        <v>26</v>
      </c>
      <c r="G836" s="2">
        <v>9</v>
      </c>
      <c r="H836" s="2">
        <v>49670</v>
      </c>
      <c r="I836" s="2">
        <v>5</v>
      </c>
      <c r="J836" s="2">
        <v>424678.5</v>
      </c>
      <c r="K836" s="2" t="s">
        <v>36</v>
      </c>
      <c r="L836" s="2" t="s">
        <v>228</v>
      </c>
      <c r="M836" s="2" t="s">
        <v>189</v>
      </c>
    </row>
    <row r="837" spans="1:13" x14ac:dyDescent="0.25">
      <c r="A837" s="2" t="s">
        <v>1786</v>
      </c>
      <c r="B837" s="2" t="s">
        <v>1787</v>
      </c>
      <c r="C837" s="2" t="s">
        <v>449</v>
      </c>
      <c r="D837" s="2" t="s">
        <v>42</v>
      </c>
      <c r="E837" s="2" t="s">
        <v>107</v>
      </c>
      <c r="F837" s="2" t="s">
        <v>93</v>
      </c>
      <c r="G837" s="2">
        <v>8</v>
      </c>
      <c r="H837" s="2">
        <v>3910</v>
      </c>
      <c r="I837" s="2">
        <v>5</v>
      </c>
      <c r="J837" s="2">
        <v>29716</v>
      </c>
      <c r="K837" s="2" t="s">
        <v>72</v>
      </c>
      <c r="L837" s="2" t="s">
        <v>54</v>
      </c>
      <c r="M837" s="2" t="s">
        <v>140</v>
      </c>
    </row>
    <row r="838" spans="1:13" x14ac:dyDescent="0.25">
      <c r="A838" s="2" t="s">
        <v>1788</v>
      </c>
      <c r="B838" s="2" t="s">
        <v>1789</v>
      </c>
      <c r="C838" s="2" t="s">
        <v>238</v>
      </c>
      <c r="D838" s="2" t="s">
        <v>51</v>
      </c>
      <c r="E838" s="2" t="s">
        <v>119</v>
      </c>
      <c r="F838" s="2" t="s">
        <v>93</v>
      </c>
      <c r="G838" s="2">
        <v>3</v>
      </c>
      <c r="H838" s="2">
        <v>59880</v>
      </c>
      <c r="I838" s="2" t="s">
        <v>136</v>
      </c>
      <c r="J838" s="2">
        <v>179640</v>
      </c>
      <c r="K838" s="2" t="s">
        <v>133</v>
      </c>
      <c r="L838" s="2" t="s">
        <v>440</v>
      </c>
      <c r="M838" s="2" t="s">
        <v>96</v>
      </c>
    </row>
    <row r="839" spans="1:13" x14ac:dyDescent="0.25">
      <c r="A839" s="2" t="s">
        <v>1790</v>
      </c>
      <c r="B839" s="2" t="s">
        <v>1791</v>
      </c>
      <c r="C839" s="2" t="s">
        <v>971</v>
      </c>
      <c r="D839" s="2" t="s">
        <v>33</v>
      </c>
      <c r="E839" s="2" t="s">
        <v>82</v>
      </c>
      <c r="F839" s="2" t="s">
        <v>83</v>
      </c>
      <c r="G839" s="2">
        <v>4</v>
      </c>
      <c r="H839" s="2"/>
      <c r="I839" s="2">
        <v>15</v>
      </c>
      <c r="J839" s="2">
        <v>161602</v>
      </c>
      <c r="K839" s="2" t="s">
        <v>45</v>
      </c>
      <c r="L839" s="2" t="s">
        <v>411</v>
      </c>
      <c r="M839" s="2" t="s">
        <v>201</v>
      </c>
    </row>
    <row r="840" spans="1:13" x14ac:dyDescent="0.25">
      <c r="A840" s="2" t="s">
        <v>1792</v>
      </c>
      <c r="B840" s="2" t="s">
        <v>1793</v>
      </c>
      <c r="C840" s="2" t="s">
        <v>110</v>
      </c>
      <c r="D840" s="2" t="s">
        <v>33</v>
      </c>
      <c r="E840" s="2" t="s">
        <v>34</v>
      </c>
      <c r="F840" s="2" t="s">
        <v>164</v>
      </c>
      <c r="G840" s="2">
        <v>9</v>
      </c>
      <c r="H840" s="2">
        <v>61910</v>
      </c>
      <c r="I840" s="2">
        <v>0</v>
      </c>
      <c r="J840" s="2">
        <v>557190</v>
      </c>
      <c r="K840" s="2" t="s">
        <v>120</v>
      </c>
      <c r="L840" s="2" t="s">
        <v>168</v>
      </c>
      <c r="M840" s="2" t="s">
        <v>47</v>
      </c>
    </row>
    <row r="841" spans="1:13" x14ac:dyDescent="0.25">
      <c r="A841" s="2" t="s">
        <v>1794</v>
      </c>
      <c r="B841" s="2" t="s">
        <v>1795</v>
      </c>
      <c r="C841" s="2" t="s">
        <v>135</v>
      </c>
      <c r="D841" s="2" t="s">
        <v>58</v>
      </c>
      <c r="E841" s="2" t="s">
        <v>77</v>
      </c>
      <c r="F841" s="2" t="s">
        <v>224</v>
      </c>
      <c r="G841" s="2">
        <v>4</v>
      </c>
      <c r="H841" s="2">
        <v>7690</v>
      </c>
      <c r="I841" s="2">
        <v>0</v>
      </c>
      <c r="J841" s="2">
        <v>30760</v>
      </c>
      <c r="K841" s="2" t="s">
        <v>152</v>
      </c>
      <c r="L841" s="2" t="s">
        <v>200</v>
      </c>
      <c r="M841" s="2" t="s">
        <v>201</v>
      </c>
    </row>
    <row r="842" spans="1:13" x14ac:dyDescent="0.25">
      <c r="A842" s="2" t="s">
        <v>1796</v>
      </c>
      <c r="B842" s="2" t="s">
        <v>1797</v>
      </c>
      <c r="C842" s="2" t="s">
        <v>198</v>
      </c>
      <c r="D842" s="2" t="s">
        <v>42</v>
      </c>
      <c r="E842" s="2" t="s">
        <v>82</v>
      </c>
      <c r="F842" s="2" t="s">
        <v>435</v>
      </c>
      <c r="G842" s="2">
        <v>7</v>
      </c>
      <c r="H842" s="2">
        <v>5480</v>
      </c>
      <c r="I842" s="2">
        <v>0</v>
      </c>
      <c r="J842" s="2">
        <v>38360</v>
      </c>
      <c r="K842" s="2"/>
      <c r="L842" s="2" t="s">
        <v>73</v>
      </c>
      <c r="M842" s="2" t="s">
        <v>128</v>
      </c>
    </row>
    <row r="843" spans="1:13" x14ac:dyDescent="0.25">
      <c r="A843" s="2" t="s">
        <v>1798</v>
      </c>
      <c r="B843" s="2" t="s">
        <v>1799</v>
      </c>
      <c r="C843" s="2" t="s">
        <v>110</v>
      </c>
      <c r="D843" s="2" t="s">
        <v>138</v>
      </c>
      <c r="E843" s="2" t="s">
        <v>223</v>
      </c>
      <c r="F843" s="2" t="s">
        <v>199</v>
      </c>
      <c r="G843" s="2">
        <v>5</v>
      </c>
      <c r="H843" s="2">
        <v>5650</v>
      </c>
      <c r="I843" s="2">
        <v>0</v>
      </c>
      <c r="J843" s="2">
        <v>28250</v>
      </c>
      <c r="K843" s="2" t="s">
        <v>36</v>
      </c>
      <c r="L843" s="2" t="s">
        <v>37</v>
      </c>
      <c r="M843" s="2" t="s">
        <v>21</v>
      </c>
    </row>
    <row r="844" spans="1:13" x14ac:dyDescent="0.25">
      <c r="A844" s="2" t="s">
        <v>1800</v>
      </c>
      <c r="B844" s="2" t="s">
        <v>1801</v>
      </c>
      <c r="C844" s="2" t="s">
        <v>76</v>
      </c>
      <c r="D844" s="2" t="s">
        <v>33</v>
      </c>
      <c r="E844" s="2" t="s">
        <v>43</v>
      </c>
      <c r="F844" s="2" t="s">
        <v>26</v>
      </c>
      <c r="G844" s="2">
        <v>10</v>
      </c>
      <c r="H844" s="2">
        <v>50210</v>
      </c>
      <c r="I844" s="2">
        <v>0</v>
      </c>
      <c r="J844" s="2">
        <v>502100</v>
      </c>
      <c r="K844" s="2" t="s">
        <v>45</v>
      </c>
      <c r="L844" s="2" t="s">
        <v>1802</v>
      </c>
      <c r="M844" s="2" t="s">
        <v>47</v>
      </c>
    </row>
    <row r="845" spans="1:13" x14ac:dyDescent="0.25">
      <c r="A845" s="2" t="s">
        <v>1803</v>
      </c>
      <c r="B845" s="2" t="s">
        <v>1804</v>
      </c>
      <c r="C845" s="2" t="s">
        <v>227</v>
      </c>
      <c r="D845" s="2" t="s">
        <v>33</v>
      </c>
      <c r="E845" s="2" t="s">
        <v>125</v>
      </c>
      <c r="F845" s="2" t="s">
        <v>314</v>
      </c>
      <c r="G845" s="2">
        <v>3</v>
      </c>
      <c r="H845" s="2">
        <v>44780</v>
      </c>
      <c r="I845" s="2">
        <v>15</v>
      </c>
      <c r="J845" s="2">
        <v>114189</v>
      </c>
      <c r="K845" s="2" t="s">
        <v>136</v>
      </c>
      <c r="L845" s="2" t="s">
        <v>611</v>
      </c>
      <c r="M845" s="2" t="s">
        <v>128</v>
      </c>
    </row>
    <row r="846" spans="1:13" x14ac:dyDescent="0.25">
      <c r="A846" s="2" t="s">
        <v>1805</v>
      </c>
      <c r="B846" s="2" t="s">
        <v>1552</v>
      </c>
      <c r="C846" s="2" t="s">
        <v>472</v>
      </c>
      <c r="D846" s="2" t="s">
        <v>16</v>
      </c>
      <c r="E846" s="2" t="s">
        <v>295</v>
      </c>
      <c r="F846" s="2" t="s">
        <v>66</v>
      </c>
      <c r="G846" s="2">
        <v>10</v>
      </c>
      <c r="H846" s="2">
        <v>10890</v>
      </c>
      <c r="I846" s="2">
        <v>0</v>
      </c>
      <c r="J846" s="2">
        <v>108900</v>
      </c>
      <c r="K846" s="2" t="s">
        <v>133</v>
      </c>
      <c r="L846" s="2" t="s">
        <v>344</v>
      </c>
      <c r="M846" s="2" t="s">
        <v>38</v>
      </c>
    </row>
    <row r="847" spans="1:13" x14ac:dyDescent="0.25">
      <c r="A847" s="2" t="s">
        <v>1806</v>
      </c>
      <c r="B847" s="2" t="s">
        <v>1402</v>
      </c>
      <c r="C847" s="2" t="s">
        <v>41</v>
      </c>
      <c r="D847" s="2" t="s">
        <v>42</v>
      </c>
      <c r="E847" s="2" t="s">
        <v>284</v>
      </c>
      <c r="F847" s="2" t="s">
        <v>83</v>
      </c>
      <c r="G847" s="2">
        <v>1</v>
      </c>
      <c r="H847" s="2">
        <v>7620</v>
      </c>
      <c r="I847" s="2">
        <v>15</v>
      </c>
      <c r="J847" s="2">
        <v>6477</v>
      </c>
      <c r="K847" s="2" t="s">
        <v>133</v>
      </c>
      <c r="L847" s="2" t="s">
        <v>73</v>
      </c>
      <c r="M847" s="2" t="s">
        <v>128</v>
      </c>
    </row>
    <row r="848" spans="1:13" x14ac:dyDescent="0.25">
      <c r="A848" s="2" t="s">
        <v>1807</v>
      </c>
      <c r="B848" s="2" t="s">
        <v>1808</v>
      </c>
      <c r="C848" s="2" t="s">
        <v>472</v>
      </c>
      <c r="D848" s="2" t="s">
        <v>138</v>
      </c>
      <c r="E848" s="2" t="s">
        <v>136</v>
      </c>
      <c r="F848" s="2" t="s">
        <v>78</v>
      </c>
      <c r="G848" s="2">
        <v>1</v>
      </c>
      <c r="H848" s="2">
        <v>9960</v>
      </c>
      <c r="I848" s="2">
        <v>15</v>
      </c>
      <c r="J848" s="2">
        <v>8466</v>
      </c>
      <c r="K848" s="2" t="s">
        <v>157</v>
      </c>
      <c r="L848" s="2" t="s">
        <v>587</v>
      </c>
      <c r="M848" s="2" t="s">
        <v>128</v>
      </c>
    </row>
    <row r="849" spans="1:13" x14ac:dyDescent="0.25">
      <c r="A849" s="2" t="s">
        <v>1809</v>
      </c>
      <c r="B849" s="2" t="s">
        <v>627</v>
      </c>
      <c r="C849" s="2" t="s">
        <v>294</v>
      </c>
      <c r="D849" s="2" t="s">
        <v>42</v>
      </c>
      <c r="E849" s="2" t="s">
        <v>77</v>
      </c>
      <c r="F849" s="2" t="s">
        <v>78</v>
      </c>
      <c r="G849" s="2">
        <v>3</v>
      </c>
      <c r="H849" s="2">
        <v>1240</v>
      </c>
      <c r="I849" s="2">
        <v>0</v>
      </c>
      <c r="J849" s="2">
        <v>3720</v>
      </c>
      <c r="K849" s="2" t="s">
        <v>72</v>
      </c>
      <c r="L849" s="2" t="s">
        <v>188</v>
      </c>
      <c r="M849" s="2" t="s">
        <v>29</v>
      </c>
    </row>
    <row r="850" spans="1:13" x14ac:dyDescent="0.25">
      <c r="A850" s="2" t="s">
        <v>1810</v>
      </c>
      <c r="B850" s="2" t="s">
        <v>1141</v>
      </c>
      <c r="C850" s="2" t="s">
        <v>156</v>
      </c>
      <c r="D850" s="2" t="s">
        <v>51</v>
      </c>
      <c r="E850" s="2" t="s">
        <v>111</v>
      </c>
      <c r="F850" s="2" t="s">
        <v>224</v>
      </c>
      <c r="G850" s="2">
        <v>1</v>
      </c>
      <c r="H850" s="2">
        <v>5220</v>
      </c>
      <c r="I850" s="2">
        <v>10</v>
      </c>
      <c r="J850" s="2" t="s">
        <v>138</v>
      </c>
      <c r="K850" s="2" t="s">
        <v>120</v>
      </c>
      <c r="L850" s="2" t="s">
        <v>228</v>
      </c>
      <c r="M850" s="2" t="s">
        <v>47</v>
      </c>
    </row>
    <row r="851" spans="1:13" x14ac:dyDescent="0.25">
      <c r="A851" s="2" t="s">
        <v>1811</v>
      </c>
      <c r="B851" s="2" t="s">
        <v>1812</v>
      </c>
      <c r="C851" s="2" t="s">
        <v>50</v>
      </c>
      <c r="D851" s="2" t="s">
        <v>51</v>
      </c>
      <c r="E851" s="2" t="s">
        <v>77</v>
      </c>
      <c r="F851" s="2" t="s">
        <v>543</v>
      </c>
      <c r="G851" s="2">
        <v>6</v>
      </c>
      <c r="H851" s="2">
        <v>26790</v>
      </c>
      <c r="I851" s="2">
        <v>0</v>
      </c>
      <c r="J851" s="2">
        <v>160740</v>
      </c>
      <c r="K851" s="2" t="s">
        <v>120</v>
      </c>
      <c r="L851" s="2" t="s">
        <v>440</v>
      </c>
      <c r="M851" s="2" t="s">
        <v>29</v>
      </c>
    </row>
    <row r="852" spans="1:13" x14ac:dyDescent="0.25">
      <c r="A852" s="2" t="s">
        <v>1813</v>
      </c>
      <c r="B852" s="2" t="s">
        <v>1162</v>
      </c>
      <c r="C852" s="2" t="s">
        <v>1814</v>
      </c>
      <c r="D852" s="2" t="s">
        <v>51</v>
      </c>
      <c r="E852" s="2" t="s">
        <v>107</v>
      </c>
      <c r="F852" s="2" t="s">
        <v>180</v>
      </c>
      <c r="G852" s="2">
        <v>5</v>
      </c>
      <c r="H852" s="2">
        <v>3900</v>
      </c>
      <c r="I852" s="2">
        <v>0</v>
      </c>
      <c r="J852" s="2">
        <v>19500</v>
      </c>
      <c r="K852" s="2" t="s">
        <v>157</v>
      </c>
      <c r="L852" s="2" t="s">
        <v>84</v>
      </c>
      <c r="M852" s="2" t="s">
        <v>47</v>
      </c>
    </row>
    <row r="853" spans="1:13" x14ac:dyDescent="0.25">
      <c r="A853" s="2" t="s">
        <v>1815</v>
      </c>
      <c r="B853" s="2" t="s">
        <v>1816</v>
      </c>
      <c r="C853" s="2" t="s">
        <v>91</v>
      </c>
      <c r="D853" s="2" t="s">
        <v>51</v>
      </c>
      <c r="E853" s="2" t="s">
        <v>92</v>
      </c>
      <c r="F853" s="2" t="s">
        <v>332</v>
      </c>
      <c r="G853" s="2">
        <v>0</v>
      </c>
      <c r="H853" s="2">
        <v>25610</v>
      </c>
      <c r="I853" s="2">
        <v>15</v>
      </c>
      <c r="J853" s="2"/>
      <c r="K853" s="2" t="s">
        <v>36</v>
      </c>
      <c r="L853" s="2" t="s">
        <v>46</v>
      </c>
      <c r="M853" s="2"/>
    </row>
    <row r="854" spans="1:13" x14ac:dyDescent="0.25">
      <c r="A854" s="2" t="s">
        <v>1817</v>
      </c>
      <c r="B854" s="2" t="s">
        <v>872</v>
      </c>
      <c r="C854" s="2" t="s">
        <v>156</v>
      </c>
      <c r="D854" s="2" t="s">
        <v>51</v>
      </c>
      <c r="E854" s="2" t="s">
        <v>92</v>
      </c>
      <c r="F854" s="2" t="s">
        <v>26</v>
      </c>
      <c r="G854" s="2">
        <v>3</v>
      </c>
      <c r="H854" s="2">
        <v>3900</v>
      </c>
      <c r="I854" s="2"/>
      <c r="J854" s="2">
        <v>9945</v>
      </c>
      <c r="K854" s="2" t="s">
        <v>53</v>
      </c>
      <c r="L854" s="2" t="s">
        <v>901</v>
      </c>
      <c r="M854" s="2" t="s">
        <v>215</v>
      </c>
    </row>
    <row r="855" spans="1:13" x14ac:dyDescent="0.25">
      <c r="A855" s="2" t="s">
        <v>1818</v>
      </c>
      <c r="B855" s="2" t="s">
        <v>1340</v>
      </c>
      <c r="C855" s="2" t="s">
        <v>118</v>
      </c>
      <c r="D855" s="2" t="s">
        <v>51</v>
      </c>
      <c r="E855" s="2" t="s">
        <v>137</v>
      </c>
      <c r="F855" s="2" t="s">
        <v>18</v>
      </c>
      <c r="G855" s="2">
        <v>8</v>
      </c>
      <c r="H855" s="2">
        <v>3920</v>
      </c>
      <c r="I855" s="2">
        <v>0</v>
      </c>
      <c r="J855" s="2">
        <v>31360</v>
      </c>
      <c r="K855" s="2" t="s">
        <v>45</v>
      </c>
      <c r="L855" s="2" t="s">
        <v>37</v>
      </c>
      <c r="M855" s="2" t="s">
        <v>47</v>
      </c>
    </row>
    <row r="856" spans="1:13" x14ac:dyDescent="0.25">
      <c r="A856" s="2" t="s">
        <v>1819</v>
      </c>
      <c r="B856" s="2" t="s">
        <v>1820</v>
      </c>
      <c r="C856" s="2" t="s">
        <v>24</v>
      </c>
      <c r="D856" s="2" t="s">
        <v>16</v>
      </c>
      <c r="E856" s="2" t="s">
        <v>119</v>
      </c>
      <c r="F856" s="2" t="s">
        <v>332</v>
      </c>
      <c r="G856" s="2">
        <v>6</v>
      </c>
      <c r="H856" s="2">
        <v>2580</v>
      </c>
      <c r="I856" s="2">
        <v>0</v>
      </c>
      <c r="J856" s="2"/>
      <c r="K856" s="2" t="s">
        <v>133</v>
      </c>
      <c r="L856" s="2" t="s">
        <v>46</v>
      </c>
      <c r="M856" s="2"/>
    </row>
    <row r="857" spans="1:13" x14ac:dyDescent="0.25">
      <c r="A857" s="2" t="s">
        <v>1821</v>
      </c>
      <c r="B857" s="2" t="s">
        <v>1822</v>
      </c>
      <c r="C857" s="2" t="s">
        <v>198</v>
      </c>
      <c r="D857" s="2" t="s">
        <v>42</v>
      </c>
      <c r="E857" s="2" t="s">
        <v>195</v>
      </c>
      <c r="F857" s="2" t="s">
        <v>71</v>
      </c>
      <c r="G857" s="2">
        <v>11</v>
      </c>
      <c r="H857" s="2">
        <v>9100</v>
      </c>
      <c r="I857" s="2">
        <v>0</v>
      </c>
      <c r="J857" s="2">
        <v>100100</v>
      </c>
      <c r="K857" s="2" t="s">
        <v>87</v>
      </c>
      <c r="L857" s="2" t="s">
        <v>79</v>
      </c>
      <c r="M857" s="2" t="s">
        <v>47</v>
      </c>
    </row>
    <row r="858" spans="1:13" x14ac:dyDescent="0.25">
      <c r="A858" s="2" t="s">
        <v>1823</v>
      </c>
      <c r="B858" s="2" t="s">
        <v>1497</v>
      </c>
      <c r="C858" s="2" t="s">
        <v>227</v>
      </c>
      <c r="D858" s="2" t="s">
        <v>33</v>
      </c>
      <c r="E858" s="2" t="s">
        <v>284</v>
      </c>
      <c r="F858" s="2" t="s">
        <v>209</v>
      </c>
      <c r="G858" s="2">
        <v>11</v>
      </c>
      <c r="H858" s="2">
        <v>42690</v>
      </c>
      <c r="I858" s="2">
        <v>0</v>
      </c>
      <c r="J858" s="2">
        <v>469590</v>
      </c>
      <c r="K858" s="2" t="s">
        <v>205</v>
      </c>
      <c r="L858" s="2" t="s">
        <v>375</v>
      </c>
      <c r="M858" s="2" t="s">
        <v>223</v>
      </c>
    </row>
    <row r="859" spans="1:13" x14ac:dyDescent="0.25">
      <c r="A859" s="2" t="s">
        <v>1824</v>
      </c>
      <c r="B859" s="2" t="s">
        <v>1825</v>
      </c>
      <c r="C859" s="2" t="s">
        <v>238</v>
      </c>
      <c r="D859" s="2" t="s">
        <v>51</v>
      </c>
      <c r="E859" s="2" t="s">
        <v>137</v>
      </c>
      <c r="F859" s="2" t="s">
        <v>374</v>
      </c>
      <c r="G859" s="2">
        <v>2</v>
      </c>
      <c r="H859" s="2">
        <v>68510</v>
      </c>
      <c r="I859" s="2">
        <v>0</v>
      </c>
      <c r="J859" s="2">
        <v>137020</v>
      </c>
      <c r="K859" s="2" t="s">
        <v>144</v>
      </c>
      <c r="L859" s="2" t="s">
        <v>37</v>
      </c>
      <c r="M859" s="2" t="s">
        <v>47</v>
      </c>
    </row>
    <row r="860" spans="1:13" x14ac:dyDescent="0.25">
      <c r="A860" s="2" t="s">
        <v>1826</v>
      </c>
      <c r="B860" s="2" t="s">
        <v>1827</v>
      </c>
      <c r="C860" s="2" t="s">
        <v>24</v>
      </c>
      <c r="D860" s="2" t="s">
        <v>223</v>
      </c>
      <c r="E860" s="2" t="s">
        <v>125</v>
      </c>
      <c r="F860" s="2" t="s">
        <v>132</v>
      </c>
      <c r="G860" s="2">
        <v>8</v>
      </c>
      <c r="H860" s="2">
        <v>20170</v>
      </c>
      <c r="I860" s="2">
        <v>0</v>
      </c>
      <c r="J860" s="2" t="s">
        <v>136</v>
      </c>
      <c r="K860" s="2" t="s">
        <v>133</v>
      </c>
      <c r="L860" s="2" t="s">
        <v>349</v>
      </c>
      <c r="M860" s="2" t="s">
        <v>29</v>
      </c>
    </row>
    <row r="861" spans="1:13" x14ac:dyDescent="0.25">
      <c r="A861" s="2" t="s">
        <v>1828</v>
      </c>
      <c r="B861" s="2" t="s">
        <v>589</v>
      </c>
      <c r="C861" s="2" t="s">
        <v>531</v>
      </c>
      <c r="D861" s="2" t="s">
        <v>33</v>
      </c>
      <c r="E861" s="2" t="s">
        <v>131</v>
      </c>
      <c r="F861" s="2" t="s">
        <v>296</v>
      </c>
      <c r="G861" s="2">
        <v>9</v>
      </c>
      <c r="H861" s="2">
        <v>3540</v>
      </c>
      <c r="I861" s="2">
        <v>5</v>
      </c>
      <c r="J861" s="2"/>
      <c r="K861" s="2" t="s">
        <v>205</v>
      </c>
      <c r="L861" s="2" t="s">
        <v>266</v>
      </c>
      <c r="M861" s="2"/>
    </row>
    <row r="862" spans="1:13" x14ac:dyDescent="0.25">
      <c r="A862" s="2" t="s">
        <v>1829</v>
      </c>
      <c r="B862" s="2" t="s">
        <v>1830</v>
      </c>
      <c r="C862" s="2"/>
      <c r="D862" s="2" t="s">
        <v>51</v>
      </c>
      <c r="E862" s="2" t="s">
        <v>100</v>
      </c>
      <c r="F862" s="2" t="s">
        <v>126</v>
      </c>
      <c r="G862" s="2">
        <v>6</v>
      </c>
      <c r="H862" s="2">
        <v>40840</v>
      </c>
      <c r="I862" s="2">
        <v>0</v>
      </c>
      <c r="J862" s="2">
        <v>245040</v>
      </c>
      <c r="K862" s="2" t="s">
        <v>120</v>
      </c>
      <c r="L862" s="2" t="s">
        <v>95</v>
      </c>
      <c r="M862" s="2" t="s">
        <v>21</v>
      </c>
    </row>
    <row r="863" spans="1:13" x14ac:dyDescent="0.25">
      <c r="A863" s="2" t="s">
        <v>1831</v>
      </c>
      <c r="B863" s="2" t="s">
        <v>1832</v>
      </c>
      <c r="C863" s="2" t="s">
        <v>50</v>
      </c>
      <c r="D863" s="2" t="s">
        <v>51</v>
      </c>
      <c r="E863" s="2" t="s">
        <v>223</v>
      </c>
      <c r="F863" s="2" t="s">
        <v>332</v>
      </c>
      <c r="G863" s="2">
        <v>4</v>
      </c>
      <c r="H863" s="2">
        <v>7600</v>
      </c>
      <c r="I863" s="2">
        <v>0</v>
      </c>
      <c r="J863" s="2" t="s">
        <v>107</v>
      </c>
      <c r="K863" s="2" t="s">
        <v>53</v>
      </c>
      <c r="L863" s="2" t="s">
        <v>339</v>
      </c>
      <c r="M863" s="2" t="s">
        <v>128</v>
      </c>
    </row>
    <row r="864" spans="1:13" x14ac:dyDescent="0.25">
      <c r="A864" s="2" t="s">
        <v>1833</v>
      </c>
      <c r="B864" s="2" t="s">
        <v>1834</v>
      </c>
      <c r="C864" s="2" t="s">
        <v>32</v>
      </c>
      <c r="D864" s="2" t="s">
        <v>33</v>
      </c>
      <c r="E864" s="2" t="s">
        <v>295</v>
      </c>
      <c r="F864" s="2" t="s">
        <v>101</v>
      </c>
      <c r="G864" s="2">
        <v>3</v>
      </c>
      <c r="H864" s="2">
        <v>1180</v>
      </c>
      <c r="I864" s="2">
        <v>0</v>
      </c>
      <c r="J864" s="2">
        <v>3540</v>
      </c>
      <c r="K864" s="2" t="s">
        <v>107</v>
      </c>
      <c r="L864" s="2" t="s">
        <v>68</v>
      </c>
      <c r="M864" s="2" t="s">
        <v>128</v>
      </c>
    </row>
    <row r="865" spans="1:13" x14ac:dyDescent="0.25">
      <c r="A865" s="2" t="s">
        <v>1835</v>
      </c>
      <c r="B865" s="2" t="s">
        <v>356</v>
      </c>
      <c r="C865" s="2" t="s">
        <v>472</v>
      </c>
      <c r="D865" s="2" t="s">
        <v>16</v>
      </c>
      <c r="E865" s="2" t="s">
        <v>119</v>
      </c>
      <c r="F865" s="2" t="s">
        <v>248</v>
      </c>
      <c r="G865" s="2">
        <v>7</v>
      </c>
      <c r="H865" s="2">
        <v>8090</v>
      </c>
      <c r="I865" s="2">
        <v>0</v>
      </c>
      <c r="J865" s="2">
        <v>56630</v>
      </c>
      <c r="K865" s="2" t="s">
        <v>102</v>
      </c>
      <c r="L865" s="2" t="s">
        <v>84</v>
      </c>
      <c r="M865" s="2" t="s">
        <v>47</v>
      </c>
    </row>
    <row r="866" spans="1:13" x14ac:dyDescent="0.25">
      <c r="A866" s="2" t="s">
        <v>1836</v>
      </c>
      <c r="B866" s="2" t="s">
        <v>1837</v>
      </c>
      <c r="C866" s="2" t="s">
        <v>50</v>
      </c>
      <c r="D866" s="2" t="s">
        <v>51</v>
      </c>
      <c r="E866" s="2" t="s">
        <v>152</v>
      </c>
      <c r="F866" s="2" t="s">
        <v>248</v>
      </c>
      <c r="G866" s="2">
        <v>6</v>
      </c>
      <c r="H866" s="2">
        <v>20180</v>
      </c>
      <c r="I866" s="2">
        <v>0</v>
      </c>
      <c r="J866" s="2">
        <v>121080</v>
      </c>
      <c r="K866" s="2" t="s">
        <v>144</v>
      </c>
      <c r="L866" s="2" t="s">
        <v>646</v>
      </c>
      <c r="M866" s="2" t="s">
        <v>21</v>
      </c>
    </row>
    <row r="867" spans="1:13" x14ac:dyDescent="0.25">
      <c r="A867" s="2" t="s">
        <v>1838</v>
      </c>
      <c r="B867" s="2" t="s">
        <v>1839</v>
      </c>
      <c r="C867" s="2" t="s">
        <v>156</v>
      </c>
      <c r="D867" s="2" t="s">
        <v>51</v>
      </c>
      <c r="E867" s="2" t="s">
        <v>65</v>
      </c>
      <c r="F867" s="2" t="s">
        <v>296</v>
      </c>
      <c r="G867" s="2">
        <v>11</v>
      </c>
      <c r="H867" s="2">
        <v>16750</v>
      </c>
      <c r="I867" s="2">
        <v>10</v>
      </c>
      <c r="J867" s="2">
        <v>165825</v>
      </c>
      <c r="K867" s="2" t="s">
        <v>107</v>
      </c>
      <c r="L867" s="2" t="s">
        <v>73</v>
      </c>
      <c r="M867" s="2" t="s">
        <v>47</v>
      </c>
    </row>
    <row r="868" spans="1:13" x14ac:dyDescent="0.25">
      <c r="A868" s="2" t="s">
        <v>1840</v>
      </c>
      <c r="B868" s="2" t="s">
        <v>1841</v>
      </c>
      <c r="C868" s="2" t="s">
        <v>76</v>
      </c>
      <c r="D868" s="2" t="s">
        <v>33</v>
      </c>
      <c r="E868" s="2" t="s">
        <v>284</v>
      </c>
      <c r="F868" s="2" t="s">
        <v>149</v>
      </c>
      <c r="G868" s="2">
        <v>11</v>
      </c>
      <c r="H868" s="2" t="s">
        <v>107</v>
      </c>
      <c r="I868" s="2">
        <v>0</v>
      </c>
      <c r="J868" s="2">
        <v>454850</v>
      </c>
      <c r="K868" s="2" t="s">
        <v>120</v>
      </c>
      <c r="L868" s="2" t="s">
        <v>145</v>
      </c>
      <c r="M868" s="2" t="s">
        <v>140</v>
      </c>
    </row>
    <row r="869" spans="1:13" x14ac:dyDescent="0.25">
      <c r="A869" s="2" t="s">
        <v>1842</v>
      </c>
      <c r="B869" s="2" t="s">
        <v>1435</v>
      </c>
      <c r="C869" s="2" t="s">
        <v>204</v>
      </c>
      <c r="D869" s="2" t="s">
        <v>33</v>
      </c>
      <c r="E869" s="2" t="s">
        <v>163</v>
      </c>
      <c r="F869" s="2" t="s">
        <v>18</v>
      </c>
      <c r="G869" s="2">
        <v>4</v>
      </c>
      <c r="H869" s="2">
        <v>10250</v>
      </c>
      <c r="I869" s="2">
        <v>0</v>
      </c>
      <c r="J869" s="2">
        <v>41000</v>
      </c>
      <c r="K869" s="2" t="s">
        <v>139</v>
      </c>
      <c r="L869" s="2" t="s">
        <v>79</v>
      </c>
      <c r="M869" s="2" t="s">
        <v>21</v>
      </c>
    </row>
    <row r="870" spans="1:13" x14ac:dyDescent="0.25">
      <c r="A870" s="2" t="s">
        <v>1843</v>
      </c>
      <c r="B870" s="2" t="s">
        <v>1844</v>
      </c>
      <c r="C870" s="2" t="s">
        <v>378</v>
      </c>
      <c r="D870" s="2" t="s">
        <v>51</v>
      </c>
      <c r="E870" s="2" t="s">
        <v>131</v>
      </c>
      <c r="F870" s="2" t="s">
        <v>126</v>
      </c>
      <c r="G870" s="2">
        <v>8</v>
      </c>
      <c r="H870" s="2">
        <v>25670</v>
      </c>
      <c r="I870" s="2"/>
      <c r="J870" s="2">
        <v>205360</v>
      </c>
      <c r="K870" s="2" t="s">
        <v>120</v>
      </c>
      <c r="L870" s="2" t="s">
        <v>37</v>
      </c>
      <c r="M870" s="2" t="s">
        <v>47</v>
      </c>
    </row>
    <row r="871" spans="1:13" x14ac:dyDescent="0.25">
      <c r="A871" s="2" t="s">
        <v>1845</v>
      </c>
      <c r="B871" s="2" t="s">
        <v>1846</v>
      </c>
      <c r="C871" s="2" t="s">
        <v>76</v>
      </c>
      <c r="D871" s="2" t="s">
        <v>33</v>
      </c>
      <c r="E871" s="2" t="s">
        <v>504</v>
      </c>
      <c r="F871" s="2" t="s">
        <v>209</v>
      </c>
      <c r="G871" s="2">
        <v>1</v>
      </c>
      <c r="H871" s="2">
        <v>22570</v>
      </c>
      <c r="I871" s="2">
        <v>0</v>
      </c>
      <c r="J871" s="2">
        <v>22570</v>
      </c>
      <c r="K871" s="2" t="s">
        <v>45</v>
      </c>
      <c r="L871" s="2" t="s">
        <v>20</v>
      </c>
      <c r="M871" s="2" t="s">
        <v>21</v>
      </c>
    </row>
    <row r="872" spans="1:13" x14ac:dyDescent="0.25">
      <c r="A872" s="2" t="s">
        <v>1847</v>
      </c>
      <c r="B872" s="2" t="s">
        <v>1406</v>
      </c>
      <c r="C872" s="2" t="s">
        <v>50</v>
      </c>
      <c r="D872" s="2" t="s">
        <v>51</v>
      </c>
      <c r="E872" s="2" t="s">
        <v>119</v>
      </c>
      <c r="F872" s="2" t="s">
        <v>115</v>
      </c>
      <c r="G872" s="2">
        <v>11</v>
      </c>
      <c r="H872" s="2">
        <v>8410</v>
      </c>
      <c r="I872" s="2">
        <v>5</v>
      </c>
      <c r="J872" s="2">
        <v>87884.5</v>
      </c>
      <c r="K872" s="2" t="s">
        <v>53</v>
      </c>
      <c r="L872" s="2" t="s">
        <v>176</v>
      </c>
      <c r="M872" s="2" t="s">
        <v>21</v>
      </c>
    </row>
    <row r="873" spans="1:13" x14ac:dyDescent="0.25">
      <c r="A873" s="2" t="s">
        <v>1848</v>
      </c>
      <c r="B873" s="2" t="s">
        <v>998</v>
      </c>
      <c r="C873" s="2" t="s">
        <v>76</v>
      </c>
      <c r="D873" s="2" t="s">
        <v>33</v>
      </c>
      <c r="E873" s="2" t="s">
        <v>82</v>
      </c>
      <c r="F873" s="2" t="s">
        <v>167</v>
      </c>
      <c r="G873" s="2">
        <v>1</v>
      </c>
      <c r="H873" s="2">
        <v>530</v>
      </c>
      <c r="I873" s="2">
        <v>0</v>
      </c>
      <c r="J873" s="2">
        <v>530</v>
      </c>
      <c r="K873" s="2" t="s">
        <v>157</v>
      </c>
      <c r="L873" s="2" t="s">
        <v>646</v>
      </c>
      <c r="M873" s="2" t="s">
        <v>291</v>
      </c>
    </row>
    <row r="874" spans="1:13" x14ac:dyDescent="0.25">
      <c r="A874" s="2" t="s">
        <v>1849</v>
      </c>
      <c r="B874" s="2" t="s">
        <v>1850</v>
      </c>
      <c r="C874" s="2" t="s">
        <v>135</v>
      </c>
      <c r="D874" s="2" t="s">
        <v>58</v>
      </c>
      <c r="E874" s="2" t="s">
        <v>65</v>
      </c>
      <c r="F874" s="2" t="s">
        <v>126</v>
      </c>
      <c r="G874" s="2">
        <v>12</v>
      </c>
      <c r="H874" s="2">
        <v>480</v>
      </c>
      <c r="I874" s="2">
        <v>5</v>
      </c>
      <c r="J874" s="2" t="s">
        <v>136</v>
      </c>
      <c r="K874" s="2" t="s">
        <v>133</v>
      </c>
      <c r="L874" s="2" t="s">
        <v>411</v>
      </c>
      <c r="M874" s="2" t="s">
        <v>128</v>
      </c>
    </row>
    <row r="875" spans="1:13" x14ac:dyDescent="0.25">
      <c r="A875" s="2" t="s">
        <v>1851</v>
      </c>
      <c r="B875" s="2" t="s">
        <v>377</v>
      </c>
      <c r="C875" s="2" t="s">
        <v>118</v>
      </c>
      <c r="D875" s="2" t="s">
        <v>51</v>
      </c>
      <c r="E875" s="2" t="s">
        <v>119</v>
      </c>
      <c r="F875" s="2" t="s">
        <v>26</v>
      </c>
      <c r="G875" s="2">
        <v>6</v>
      </c>
      <c r="H875" s="2">
        <v>5080</v>
      </c>
      <c r="I875" s="2">
        <v>10</v>
      </c>
      <c r="J875" s="2">
        <v>27432</v>
      </c>
      <c r="K875" s="2" t="s">
        <v>45</v>
      </c>
      <c r="L875" s="2" t="s">
        <v>188</v>
      </c>
      <c r="M875" s="2" t="s">
        <v>47</v>
      </c>
    </row>
    <row r="876" spans="1:13" x14ac:dyDescent="0.25">
      <c r="A876" s="2" t="s">
        <v>1852</v>
      </c>
      <c r="B876" s="2" t="s">
        <v>1853</v>
      </c>
      <c r="C876" s="2" t="s">
        <v>244</v>
      </c>
      <c r="D876" s="2" t="s">
        <v>42</v>
      </c>
      <c r="E876" s="2" t="s">
        <v>82</v>
      </c>
      <c r="F876" s="2" t="s">
        <v>435</v>
      </c>
      <c r="G876" s="2">
        <v>6</v>
      </c>
      <c r="H876" s="2">
        <v>2370</v>
      </c>
      <c r="I876" s="2">
        <v>0</v>
      </c>
      <c r="J876" s="2">
        <v>14220</v>
      </c>
      <c r="K876" s="2" t="s">
        <v>205</v>
      </c>
      <c r="L876" s="2" t="s">
        <v>720</v>
      </c>
      <c r="M876" s="2" t="s">
        <v>47</v>
      </c>
    </row>
    <row r="877" spans="1:13" x14ac:dyDescent="0.25">
      <c r="A877" s="2" t="s">
        <v>1854</v>
      </c>
      <c r="B877" s="2" t="s">
        <v>1223</v>
      </c>
      <c r="C877" s="2" t="s">
        <v>107</v>
      </c>
      <c r="D877" s="2" t="s">
        <v>33</v>
      </c>
      <c r="E877" s="2" t="s">
        <v>322</v>
      </c>
      <c r="F877" s="2" t="s">
        <v>239</v>
      </c>
      <c r="G877" s="2">
        <v>12</v>
      </c>
      <c r="H877" s="2">
        <v>3960</v>
      </c>
      <c r="I877" s="2">
        <v>5</v>
      </c>
      <c r="J877" s="2">
        <v>45144</v>
      </c>
      <c r="K877" s="2" t="s">
        <v>94</v>
      </c>
      <c r="L877" s="2" t="s">
        <v>1229</v>
      </c>
      <c r="M877" s="2" t="s">
        <v>128</v>
      </c>
    </row>
    <row r="878" spans="1:13" x14ac:dyDescent="0.25">
      <c r="A878" s="2" t="s">
        <v>1855</v>
      </c>
      <c r="B878" s="2" t="s">
        <v>420</v>
      </c>
      <c r="C878" s="2" t="s">
        <v>32</v>
      </c>
      <c r="D878" s="2" t="s">
        <v>33</v>
      </c>
      <c r="E878" s="2" t="s">
        <v>43</v>
      </c>
      <c r="F878" s="2" t="s">
        <v>106</v>
      </c>
      <c r="G878" s="2"/>
      <c r="H878" s="2">
        <v>6920</v>
      </c>
      <c r="I878" s="2" t="s">
        <v>138</v>
      </c>
      <c r="J878" s="2">
        <v>34600</v>
      </c>
      <c r="K878" s="2" t="s">
        <v>223</v>
      </c>
      <c r="L878" s="2" t="s">
        <v>37</v>
      </c>
      <c r="M878" s="2" t="s">
        <v>29</v>
      </c>
    </row>
    <row r="879" spans="1:13" x14ac:dyDescent="0.25">
      <c r="A879" s="2" t="s">
        <v>1856</v>
      </c>
      <c r="B879" s="2" t="s">
        <v>1857</v>
      </c>
      <c r="C879" s="2" t="s">
        <v>227</v>
      </c>
      <c r="D879" s="2" t="s">
        <v>33</v>
      </c>
      <c r="E879" s="2" t="s">
        <v>17</v>
      </c>
      <c r="F879" s="2" t="s">
        <v>35</v>
      </c>
      <c r="G879" s="2">
        <v>4</v>
      </c>
      <c r="H879" s="2">
        <v>1180</v>
      </c>
      <c r="I879" s="2"/>
      <c r="J879" s="2">
        <v>4720</v>
      </c>
      <c r="K879" s="2" t="s">
        <v>139</v>
      </c>
      <c r="L879" s="2" t="s">
        <v>37</v>
      </c>
      <c r="M879" s="2" t="s">
        <v>47</v>
      </c>
    </row>
    <row r="880" spans="1:13" x14ac:dyDescent="0.25">
      <c r="A880" s="2" t="s">
        <v>1858</v>
      </c>
      <c r="B880" s="2" t="s">
        <v>1859</v>
      </c>
      <c r="C880" s="2" t="s">
        <v>50</v>
      </c>
      <c r="D880" s="2" t="s">
        <v>51</v>
      </c>
      <c r="E880" s="2"/>
      <c r="F880" s="2" t="s">
        <v>314</v>
      </c>
      <c r="G880" s="2">
        <v>9</v>
      </c>
      <c r="H880" s="2">
        <v>560</v>
      </c>
      <c r="I880" s="2">
        <v>0</v>
      </c>
      <c r="J880" s="2">
        <v>5040</v>
      </c>
      <c r="K880" s="2" t="s">
        <v>120</v>
      </c>
      <c r="L880" s="2" t="s">
        <v>611</v>
      </c>
      <c r="M880" s="2" t="s">
        <v>128</v>
      </c>
    </row>
    <row r="881" spans="1:13" x14ac:dyDescent="0.25">
      <c r="A881" s="2" t="s">
        <v>1860</v>
      </c>
      <c r="B881" s="2" t="s">
        <v>217</v>
      </c>
      <c r="C881" s="2" t="s">
        <v>24</v>
      </c>
      <c r="D881" s="2" t="s">
        <v>16</v>
      </c>
      <c r="E881" s="2" t="s">
        <v>284</v>
      </c>
      <c r="F881" s="2" t="s">
        <v>435</v>
      </c>
      <c r="G881" s="2">
        <v>2</v>
      </c>
      <c r="H881" s="2">
        <v>8370</v>
      </c>
      <c r="I881" s="2" t="s">
        <v>136</v>
      </c>
      <c r="J881" s="2">
        <v>16740</v>
      </c>
      <c r="K881" s="2" t="s">
        <v>157</v>
      </c>
      <c r="L881" s="2" t="s">
        <v>883</v>
      </c>
      <c r="M881" s="2" t="s">
        <v>21</v>
      </c>
    </row>
    <row r="882" spans="1:13" x14ac:dyDescent="0.25">
      <c r="A882" s="2" t="s">
        <v>1861</v>
      </c>
      <c r="B882" s="2" t="s">
        <v>1862</v>
      </c>
      <c r="C882" s="2" t="s">
        <v>41</v>
      </c>
      <c r="D882" s="2" t="s">
        <v>42</v>
      </c>
      <c r="E882" s="2" t="s">
        <v>131</v>
      </c>
      <c r="F882" s="2" t="s">
        <v>126</v>
      </c>
      <c r="G882" s="2">
        <v>4</v>
      </c>
      <c r="H882" s="2">
        <v>9100</v>
      </c>
      <c r="I882" s="2">
        <v>15</v>
      </c>
      <c r="J882" s="2">
        <v>30940</v>
      </c>
      <c r="K882" s="2" t="s">
        <v>27</v>
      </c>
      <c r="L882" s="2" t="s">
        <v>188</v>
      </c>
      <c r="M882" s="2" t="s">
        <v>21</v>
      </c>
    </row>
    <row r="883" spans="1:13" x14ac:dyDescent="0.25">
      <c r="A883" s="2" t="s">
        <v>1863</v>
      </c>
      <c r="B883" s="2" t="s">
        <v>556</v>
      </c>
      <c r="C883" s="2" t="s">
        <v>238</v>
      </c>
      <c r="D883" s="2"/>
      <c r="E883" s="2" t="s">
        <v>295</v>
      </c>
      <c r="F883" s="2" t="s">
        <v>132</v>
      </c>
      <c r="G883" s="2">
        <v>10</v>
      </c>
      <c r="H883" s="2">
        <v>500</v>
      </c>
      <c r="I883" s="2">
        <v>0</v>
      </c>
      <c r="J883" s="2">
        <v>5000</v>
      </c>
      <c r="K883" s="2" t="s">
        <v>94</v>
      </c>
      <c r="L883" s="2" t="s">
        <v>112</v>
      </c>
      <c r="M883" s="2" t="s">
        <v>47</v>
      </c>
    </row>
    <row r="884" spans="1:13" x14ac:dyDescent="0.25">
      <c r="A884" s="2" t="s">
        <v>1864</v>
      </c>
      <c r="B884" s="2" t="s">
        <v>1288</v>
      </c>
      <c r="C884" s="2" t="s">
        <v>41</v>
      </c>
      <c r="D884" s="2" t="s">
        <v>42</v>
      </c>
      <c r="E884" s="2" t="s">
        <v>231</v>
      </c>
      <c r="F884" s="2" t="s">
        <v>78</v>
      </c>
      <c r="G884" s="2">
        <v>10</v>
      </c>
      <c r="H884" s="2">
        <v>50860</v>
      </c>
      <c r="I884" s="2"/>
      <c r="J884" s="2">
        <v>432310</v>
      </c>
      <c r="K884" s="2" t="s">
        <v>19</v>
      </c>
      <c r="L884" s="2" t="s">
        <v>491</v>
      </c>
      <c r="M884" s="2" t="s">
        <v>29</v>
      </c>
    </row>
    <row r="885" spans="1:13" x14ac:dyDescent="0.25">
      <c r="A885" s="2" t="s">
        <v>1865</v>
      </c>
      <c r="B885" s="2" t="s">
        <v>1866</v>
      </c>
      <c r="C885" s="2" t="s">
        <v>24</v>
      </c>
      <c r="D885" s="2" t="s">
        <v>16</v>
      </c>
      <c r="E885" s="2" t="s">
        <v>65</v>
      </c>
      <c r="F885" s="2" t="s">
        <v>314</v>
      </c>
      <c r="G885" s="2">
        <v>3</v>
      </c>
      <c r="H885" s="2">
        <v>8320</v>
      </c>
      <c r="I885" s="2">
        <v>0</v>
      </c>
      <c r="J885" s="2">
        <v>24960</v>
      </c>
      <c r="K885" s="2" t="s">
        <v>120</v>
      </c>
      <c r="L885" s="2" t="s">
        <v>61</v>
      </c>
      <c r="M885" s="2" t="s">
        <v>21</v>
      </c>
    </row>
    <row r="886" spans="1:13" x14ac:dyDescent="0.25">
      <c r="A886" s="2" t="s">
        <v>1867</v>
      </c>
      <c r="B886" s="2" t="s">
        <v>1868</v>
      </c>
      <c r="C886" s="2" t="s">
        <v>238</v>
      </c>
      <c r="D886" s="2" t="s">
        <v>51</v>
      </c>
      <c r="E886" s="2" t="s">
        <v>34</v>
      </c>
      <c r="F886" s="2" t="s">
        <v>199</v>
      </c>
      <c r="G886" s="2">
        <v>7</v>
      </c>
      <c r="H886" s="2">
        <v>41050</v>
      </c>
      <c r="I886" s="2">
        <v>5</v>
      </c>
      <c r="J886" s="2">
        <v>272982.5</v>
      </c>
      <c r="K886" s="2" t="s">
        <v>36</v>
      </c>
      <c r="L886" s="2" t="s">
        <v>375</v>
      </c>
      <c r="M886" s="2" t="s">
        <v>47</v>
      </c>
    </row>
    <row r="887" spans="1:13" x14ac:dyDescent="0.25">
      <c r="A887" s="2" t="s">
        <v>1869</v>
      </c>
      <c r="B887" s="2" t="s">
        <v>1870</v>
      </c>
      <c r="C887" s="2" t="s">
        <v>110</v>
      </c>
      <c r="D887" s="2" t="s">
        <v>107</v>
      </c>
      <c r="E887" s="2" t="s">
        <v>25</v>
      </c>
      <c r="F887" s="2" t="s">
        <v>248</v>
      </c>
      <c r="G887" s="2">
        <v>5</v>
      </c>
      <c r="H887" s="2">
        <v>500</v>
      </c>
      <c r="I887" s="2">
        <v>0</v>
      </c>
      <c r="J887" s="2">
        <v>2500</v>
      </c>
      <c r="K887" s="2" t="s">
        <v>67</v>
      </c>
      <c r="L887" s="2" t="s">
        <v>37</v>
      </c>
      <c r="M887" s="2" t="s">
        <v>189</v>
      </c>
    </row>
    <row r="888" spans="1:13" x14ac:dyDescent="0.25">
      <c r="A888" s="2" t="s">
        <v>1871</v>
      </c>
      <c r="B888" s="2" t="s">
        <v>1872</v>
      </c>
      <c r="C888" s="2" t="s">
        <v>57</v>
      </c>
      <c r="D888" s="2" t="s">
        <v>58</v>
      </c>
      <c r="E888" s="2" t="s">
        <v>137</v>
      </c>
      <c r="F888" s="2" t="s">
        <v>199</v>
      </c>
      <c r="G888" s="2">
        <v>5</v>
      </c>
      <c r="H888" s="2">
        <v>16500</v>
      </c>
      <c r="I888" s="2">
        <v>5</v>
      </c>
      <c r="J888" s="2">
        <v>78375</v>
      </c>
      <c r="K888" s="2" t="s">
        <v>36</v>
      </c>
      <c r="L888" s="2" t="s">
        <v>341</v>
      </c>
      <c r="M888" s="2" t="s">
        <v>21</v>
      </c>
    </row>
    <row r="889" spans="1:13" x14ac:dyDescent="0.25">
      <c r="A889" s="2" t="s">
        <v>1873</v>
      </c>
      <c r="B889" s="2" t="s">
        <v>1874</v>
      </c>
      <c r="C889" s="2" t="s">
        <v>15</v>
      </c>
      <c r="D889" s="2" t="s">
        <v>16</v>
      </c>
      <c r="E889" s="2" t="s">
        <v>100</v>
      </c>
      <c r="F889" s="2" t="s">
        <v>126</v>
      </c>
      <c r="G889" s="2">
        <v>6</v>
      </c>
      <c r="H889" s="2">
        <v>23660</v>
      </c>
      <c r="I889" s="2">
        <v>0</v>
      </c>
      <c r="J889" s="2">
        <v>141960</v>
      </c>
      <c r="K889" s="2" t="s">
        <v>127</v>
      </c>
      <c r="L889" s="2" t="s">
        <v>46</v>
      </c>
      <c r="M889" s="2" t="s">
        <v>47</v>
      </c>
    </row>
    <row r="890" spans="1:13" x14ac:dyDescent="0.25">
      <c r="A890" s="2" t="s">
        <v>1875</v>
      </c>
      <c r="B890" s="2" t="s">
        <v>1876</v>
      </c>
      <c r="C890" s="2" t="s">
        <v>57</v>
      </c>
      <c r="D890" s="2" t="s">
        <v>58</v>
      </c>
      <c r="E890" s="2" t="s">
        <v>77</v>
      </c>
      <c r="F890" s="2" t="s">
        <v>143</v>
      </c>
      <c r="G890" s="2">
        <v>2</v>
      </c>
      <c r="H890" s="2">
        <v>8150</v>
      </c>
      <c r="I890" s="2">
        <v>0</v>
      </c>
      <c r="J890" s="2">
        <v>16300</v>
      </c>
      <c r="K890" s="2" t="s">
        <v>139</v>
      </c>
      <c r="L890" s="2" t="s">
        <v>406</v>
      </c>
      <c r="M890" s="2" t="s">
        <v>21</v>
      </c>
    </row>
    <row r="891" spans="1:13" x14ac:dyDescent="0.25">
      <c r="A891" s="2" t="s">
        <v>1877</v>
      </c>
      <c r="B891" s="2" t="s">
        <v>1878</v>
      </c>
      <c r="C891" s="2" t="s">
        <v>449</v>
      </c>
      <c r="D891" s="2" t="s">
        <v>42</v>
      </c>
      <c r="E891" s="2" t="s">
        <v>295</v>
      </c>
      <c r="F891" s="2" t="s">
        <v>219</v>
      </c>
      <c r="G891" s="2">
        <v>12</v>
      </c>
      <c r="H891" s="2">
        <v>7590</v>
      </c>
      <c r="I891" s="2">
        <v>15</v>
      </c>
      <c r="J891" s="2">
        <v>77418</v>
      </c>
      <c r="K891" s="2" t="s">
        <v>67</v>
      </c>
      <c r="L891" s="2" t="s">
        <v>249</v>
      </c>
      <c r="M891" s="2" t="s">
        <v>47</v>
      </c>
    </row>
    <row r="892" spans="1:13" x14ac:dyDescent="0.25">
      <c r="A892" s="2" t="s">
        <v>1879</v>
      </c>
      <c r="B892" s="2" t="s">
        <v>1880</v>
      </c>
      <c r="C892" s="2" t="s">
        <v>41</v>
      </c>
      <c r="D892" s="2" t="s">
        <v>42</v>
      </c>
      <c r="E892" s="2" t="s">
        <v>137</v>
      </c>
      <c r="F892" s="2" t="s">
        <v>171</v>
      </c>
      <c r="G892" s="2">
        <v>12</v>
      </c>
      <c r="H892" s="2">
        <v>8120</v>
      </c>
      <c r="I892" s="2">
        <v>15</v>
      </c>
      <c r="J892" s="2">
        <v>82824</v>
      </c>
      <c r="K892" s="2" t="s">
        <v>45</v>
      </c>
      <c r="L892" s="2" t="s">
        <v>883</v>
      </c>
      <c r="M892" s="2" t="s">
        <v>138</v>
      </c>
    </row>
    <row r="893" spans="1:13" x14ac:dyDescent="0.25">
      <c r="A893" s="2" t="s">
        <v>1881</v>
      </c>
      <c r="B893" s="2" t="s">
        <v>1882</v>
      </c>
      <c r="C893" s="2" t="s">
        <v>135</v>
      </c>
      <c r="D893" s="2" t="s">
        <v>58</v>
      </c>
      <c r="E893" s="2" t="s">
        <v>119</v>
      </c>
      <c r="F893" s="2" t="s">
        <v>106</v>
      </c>
      <c r="G893" s="2">
        <v>2</v>
      </c>
      <c r="H893" s="2">
        <v>7350</v>
      </c>
      <c r="I893" s="2">
        <v>0</v>
      </c>
      <c r="J893" s="2">
        <v>14700</v>
      </c>
      <c r="K893" s="2" t="s">
        <v>67</v>
      </c>
      <c r="L893" s="2" t="s">
        <v>311</v>
      </c>
      <c r="M893" s="2" t="s">
        <v>128</v>
      </c>
    </row>
    <row r="894" spans="1:13" x14ac:dyDescent="0.25">
      <c r="A894" s="2" t="s">
        <v>1883</v>
      </c>
      <c r="B894" s="2" t="s">
        <v>593</v>
      </c>
      <c r="C894" s="2" t="s">
        <v>24</v>
      </c>
      <c r="D894" s="2" t="s">
        <v>16</v>
      </c>
      <c r="E894" s="2" t="s">
        <v>322</v>
      </c>
      <c r="F894" s="2" t="s">
        <v>180</v>
      </c>
      <c r="G894" s="2">
        <v>10</v>
      </c>
      <c r="H894" s="2">
        <v>41420</v>
      </c>
      <c r="I894" s="2">
        <v>0</v>
      </c>
      <c r="J894" s="2">
        <v>414200</v>
      </c>
      <c r="K894" s="2" t="s">
        <v>94</v>
      </c>
      <c r="L894" s="2" t="s">
        <v>88</v>
      </c>
      <c r="M894" s="2" t="s">
        <v>47</v>
      </c>
    </row>
    <row r="895" spans="1:13" x14ac:dyDescent="0.25">
      <c r="A895" s="2" t="s">
        <v>1884</v>
      </c>
      <c r="B895" s="2" t="s">
        <v>1885</v>
      </c>
      <c r="C895" s="2" t="s">
        <v>76</v>
      </c>
      <c r="D895" s="2" t="s">
        <v>33</v>
      </c>
      <c r="E895" s="2" t="s">
        <v>25</v>
      </c>
      <c r="F895" s="2" t="s">
        <v>44</v>
      </c>
      <c r="G895" s="2">
        <v>9</v>
      </c>
      <c r="H895" s="2">
        <v>2740</v>
      </c>
      <c r="I895" s="2">
        <v>0</v>
      </c>
      <c r="J895" s="2">
        <v>24660</v>
      </c>
      <c r="K895" s="2" t="s">
        <v>72</v>
      </c>
      <c r="L895" s="2" t="s">
        <v>883</v>
      </c>
      <c r="M895" s="2" t="s">
        <v>47</v>
      </c>
    </row>
    <row r="896" spans="1:13" x14ac:dyDescent="0.25">
      <c r="A896" s="2" t="s">
        <v>1886</v>
      </c>
      <c r="B896" s="2" t="s">
        <v>1887</v>
      </c>
      <c r="C896" s="2" t="s">
        <v>32</v>
      </c>
      <c r="D896" s="2" t="s">
        <v>33</v>
      </c>
      <c r="E896" s="2" t="s">
        <v>59</v>
      </c>
      <c r="F896" s="2" t="s">
        <v>83</v>
      </c>
      <c r="G896" s="2">
        <v>7</v>
      </c>
      <c r="H896" s="2">
        <v>20070</v>
      </c>
      <c r="I896" s="2">
        <v>10</v>
      </c>
      <c r="J896" s="2">
        <v>126441</v>
      </c>
      <c r="K896" s="2" t="s">
        <v>127</v>
      </c>
      <c r="L896" s="2" t="s">
        <v>395</v>
      </c>
      <c r="M896" s="2" t="s">
        <v>821</v>
      </c>
    </row>
    <row r="897" spans="1:13" x14ac:dyDescent="0.25">
      <c r="A897" s="2" t="s">
        <v>1888</v>
      </c>
      <c r="B897" s="2" t="s">
        <v>1889</v>
      </c>
      <c r="C897" s="2" t="s">
        <v>50</v>
      </c>
      <c r="D897" s="2" t="s">
        <v>136</v>
      </c>
      <c r="E897" s="2" t="s">
        <v>17</v>
      </c>
      <c r="F897" s="2" t="s">
        <v>171</v>
      </c>
      <c r="G897" s="2">
        <v>4</v>
      </c>
      <c r="H897" s="2">
        <v>8560</v>
      </c>
      <c r="I897" s="2">
        <v>0</v>
      </c>
      <c r="J897" s="2">
        <v>34240</v>
      </c>
      <c r="K897" s="2" t="s">
        <v>45</v>
      </c>
      <c r="L897" s="2" t="s">
        <v>176</v>
      </c>
      <c r="M897" s="2" t="s">
        <v>128</v>
      </c>
    </row>
    <row r="898" spans="1:13" x14ac:dyDescent="0.25">
      <c r="A898" s="2" t="s">
        <v>1890</v>
      </c>
      <c r="B898" s="2" t="s">
        <v>1891</v>
      </c>
      <c r="C898" s="2" t="s">
        <v>152</v>
      </c>
      <c r="D898" s="2" t="s">
        <v>33</v>
      </c>
      <c r="E898" s="2" t="s">
        <v>148</v>
      </c>
      <c r="F898" s="2" t="s">
        <v>149</v>
      </c>
      <c r="G898" s="2">
        <v>5</v>
      </c>
      <c r="H898" s="2">
        <v>19190</v>
      </c>
      <c r="I898" s="2">
        <v>0</v>
      </c>
      <c r="J898" s="2">
        <v>95950</v>
      </c>
      <c r="K898" s="2" t="s">
        <v>36</v>
      </c>
      <c r="L898" s="2" t="s">
        <v>168</v>
      </c>
      <c r="M898" s="2" t="s">
        <v>215</v>
      </c>
    </row>
    <row r="899" spans="1:13" x14ac:dyDescent="0.25">
      <c r="A899" s="2" t="s">
        <v>1892</v>
      </c>
      <c r="B899" s="2" t="s">
        <v>1528</v>
      </c>
      <c r="C899" s="2" t="s">
        <v>110</v>
      </c>
      <c r="D899" s="2" t="s">
        <v>33</v>
      </c>
      <c r="E899" s="2" t="s">
        <v>17</v>
      </c>
      <c r="F899" s="2" t="s">
        <v>374</v>
      </c>
      <c r="G899" s="2">
        <v>5</v>
      </c>
      <c r="H899" s="2">
        <v>26530</v>
      </c>
      <c r="I899" s="2">
        <v>0</v>
      </c>
      <c r="J899" s="2">
        <v>132650</v>
      </c>
      <c r="K899" s="2" t="s">
        <v>87</v>
      </c>
      <c r="L899" s="2" t="s">
        <v>37</v>
      </c>
      <c r="M899" s="2" t="s">
        <v>47</v>
      </c>
    </row>
    <row r="900" spans="1:13" x14ac:dyDescent="0.25">
      <c r="A900" s="2" t="s">
        <v>1893</v>
      </c>
      <c r="B900" s="2" t="s">
        <v>1894</v>
      </c>
      <c r="C900" s="2" t="s">
        <v>135</v>
      </c>
      <c r="D900" s="2" t="s">
        <v>58</v>
      </c>
      <c r="E900" s="2" t="s">
        <v>77</v>
      </c>
      <c r="F900" s="2" t="s">
        <v>239</v>
      </c>
      <c r="G900" s="2">
        <v>6</v>
      </c>
      <c r="H900" s="2">
        <v>1370</v>
      </c>
      <c r="I900" s="2">
        <v>0</v>
      </c>
      <c r="J900" s="2"/>
      <c r="K900" s="2" t="s">
        <v>144</v>
      </c>
      <c r="L900" s="2" t="s">
        <v>168</v>
      </c>
      <c r="M900" s="2" t="s">
        <v>128</v>
      </c>
    </row>
    <row r="901" spans="1:13" x14ac:dyDescent="0.25">
      <c r="A901" s="2" t="s">
        <v>1895</v>
      </c>
      <c r="B901" s="2" t="s">
        <v>1091</v>
      </c>
      <c r="C901" s="2" t="s">
        <v>118</v>
      </c>
      <c r="D901" s="2" t="s">
        <v>51</v>
      </c>
      <c r="E901" s="2" t="s">
        <v>295</v>
      </c>
      <c r="F901" s="2" t="s">
        <v>126</v>
      </c>
      <c r="G901" s="2"/>
      <c r="H901" s="2">
        <v>5370</v>
      </c>
      <c r="I901" s="2">
        <v>0</v>
      </c>
      <c r="J901" s="2">
        <v>21480</v>
      </c>
      <c r="K901" s="2" t="s">
        <v>87</v>
      </c>
      <c r="L901" s="2" t="s">
        <v>73</v>
      </c>
      <c r="M901" s="2" t="s">
        <v>38</v>
      </c>
    </row>
    <row r="902" spans="1:13" x14ac:dyDescent="0.25">
      <c r="A902" s="2" t="s">
        <v>1896</v>
      </c>
      <c r="B902" s="2" t="s">
        <v>1638</v>
      </c>
      <c r="C902" s="2" t="s">
        <v>32</v>
      </c>
      <c r="D902" s="2" t="s">
        <v>33</v>
      </c>
      <c r="E902" s="2" t="s">
        <v>17</v>
      </c>
      <c r="F902" s="2" t="s">
        <v>290</v>
      </c>
      <c r="G902" s="2">
        <v>5</v>
      </c>
      <c r="H902" s="2">
        <v>10990</v>
      </c>
      <c r="I902" s="2"/>
      <c r="J902" s="2">
        <v>46707.5</v>
      </c>
      <c r="K902" s="2" t="s">
        <v>133</v>
      </c>
      <c r="L902" s="2" t="s">
        <v>188</v>
      </c>
      <c r="M902" s="2" t="s">
        <v>29</v>
      </c>
    </row>
    <row r="903" spans="1:13" x14ac:dyDescent="0.25">
      <c r="A903" s="2" t="s">
        <v>1897</v>
      </c>
      <c r="B903" s="2" t="s">
        <v>1898</v>
      </c>
      <c r="C903" s="2" t="s">
        <v>837</v>
      </c>
      <c r="D903" s="2" t="s">
        <v>33</v>
      </c>
      <c r="E903" s="2" t="s">
        <v>65</v>
      </c>
      <c r="F903" s="2" t="s">
        <v>101</v>
      </c>
      <c r="G903" s="2">
        <v>3</v>
      </c>
      <c r="H903" s="2">
        <v>7770</v>
      </c>
      <c r="I903" s="2">
        <v>10</v>
      </c>
      <c r="J903" s="2">
        <v>20979</v>
      </c>
      <c r="K903" s="2" t="s">
        <v>87</v>
      </c>
      <c r="L903" s="2" t="s">
        <v>883</v>
      </c>
      <c r="M903" s="2" t="s">
        <v>47</v>
      </c>
    </row>
    <row r="904" spans="1:13" x14ac:dyDescent="0.25">
      <c r="A904" s="2" t="s">
        <v>1899</v>
      </c>
      <c r="B904" s="2" t="s">
        <v>757</v>
      </c>
      <c r="C904" s="2" t="s">
        <v>198</v>
      </c>
      <c r="D904" s="2" t="s">
        <v>136</v>
      </c>
      <c r="E904" s="2" t="s">
        <v>179</v>
      </c>
      <c r="F904" s="2" t="s">
        <v>143</v>
      </c>
      <c r="G904" s="2">
        <v>2</v>
      </c>
      <c r="H904" s="2">
        <v>6890</v>
      </c>
      <c r="I904" s="2">
        <v>15</v>
      </c>
      <c r="J904" s="2">
        <v>11713</v>
      </c>
      <c r="K904" s="2" t="s">
        <v>94</v>
      </c>
      <c r="L904" s="2" t="s">
        <v>88</v>
      </c>
      <c r="M904" s="2" t="s">
        <v>21</v>
      </c>
    </row>
    <row r="905" spans="1:13" x14ac:dyDescent="0.25">
      <c r="A905" s="2" t="s">
        <v>1900</v>
      </c>
      <c r="B905" s="2" t="s">
        <v>1901</v>
      </c>
      <c r="C905" s="2" t="s">
        <v>124</v>
      </c>
      <c r="D905" s="2" t="s">
        <v>51</v>
      </c>
      <c r="E905" s="2" t="s">
        <v>105</v>
      </c>
      <c r="F905" s="2" t="s">
        <v>93</v>
      </c>
      <c r="G905" s="2">
        <v>2</v>
      </c>
      <c r="H905" s="2">
        <v>2340</v>
      </c>
      <c r="I905" s="2">
        <v>0</v>
      </c>
      <c r="J905" s="2">
        <v>4680</v>
      </c>
      <c r="K905" s="2" t="s">
        <v>120</v>
      </c>
      <c r="L905" s="2" t="s">
        <v>84</v>
      </c>
      <c r="M905" s="2" t="s">
        <v>47</v>
      </c>
    </row>
    <row r="906" spans="1:13" x14ac:dyDescent="0.25">
      <c r="A906" s="2" t="s">
        <v>1902</v>
      </c>
      <c r="B906" s="2" t="s">
        <v>1903</v>
      </c>
      <c r="C906" s="2" t="s">
        <v>156</v>
      </c>
      <c r="D906" s="2" t="s">
        <v>51</v>
      </c>
      <c r="E906" s="2" t="s">
        <v>105</v>
      </c>
      <c r="F906" s="2" t="s">
        <v>106</v>
      </c>
      <c r="G906" s="2">
        <v>11</v>
      </c>
      <c r="H906" s="2" t="s">
        <v>223</v>
      </c>
      <c r="I906" s="2">
        <v>10</v>
      </c>
      <c r="J906" s="2">
        <v>90486</v>
      </c>
      <c r="K906" s="2" t="s">
        <v>139</v>
      </c>
      <c r="L906" s="2" t="s">
        <v>259</v>
      </c>
      <c r="M906" s="2" t="s">
        <v>21</v>
      </c>
    </row>
    <row r="907" spans="1:13" x14ac:dyDescent="0.25">
      <c r="A907" s="2" t="s">
        <v>1904</v>
      </c>
      <c r="B907" s="2" t="s">
        <v>961</v>
      </c>
      <c r="C907" s="2" t="s">
        <v>156</v>
      </c>
      <c r="D907" s="2"/>
      <c r="E907" s="2" t="s">
        <v>59</v>
      </c>
      <c r="F907" s="2" t="s">
        <v>149</v>
      </c>
      <c r="G907" s="2">
        <v>4</v>
      </c>
      <c r="H907" s="2">
        <v>65200</v>
      </c>
      <c r="I907" s="2">
        <v>0</v>
      </c>
      <c r="J907" s="2">
        <v>260800</v>
      </c>
      <c r="K907" s="2" t="s">
        <v>133</v>
      </c>
      <c r="L907" s="2" t="s">
        <v>73</v>
      </c>
      <c r="M907" s="2" t="s">
        <v>352</v>
      </c>
    </row>
    <row r="908" spans="1:13" x14ac:dyDescent="0.25">
      <c r="A908" s="2" t="s">
        <v>1905</v>
      </c>
      <c r="B908" s="2" t="s">
        <v>368</v>
      </c>
      <c r="C908" s="2" t="s">
        <v>294</v>
      </c>
      <c r="D908" s="2" t="s">
        <v>42</v>
      </c>
      <c r="E908" s="2" t="s">
        <v>43</v>
      </c>
      <c r="F908" s="2" t="s">
        <v>106</v>
      </c>
      <c r="G908" s="2">
        <v>3</v>
      </c>
      <c r="H908" s="2">
        <v>27990</v>
      </c>
      <c r="I908" s="2">
        <v>10</v>
      </c>
      <c r="J908" s="2">
        <v>75573</v>
      </c>
      <c r="K908" s="2" t="s">
        <v>19</v>
      </c>
      <c r="L908" s="2" t="s">
        <v>406</v>
      </c>
      <c r="M908" s="2" t="s">
        <v>47</v>
      </c>
    </row>
    <row r="909" spans="1:13" x14ac:dyDescent="0.25">
      <c r="A909" s="2" t="s">
        <v>1906</v>
      </c>
      <c r="B909" s="2" t="s">
        <v>1907</v>
      </c>
      <c r="C909" s="2" t="s">
        <v>135</v>
      </c>
      <c r="D909" s="2" t="s">
        <v>58</v>
      </c>
      <c r="E909" s="2" t="s">
        <v>322</v>
      </c>
      <c r="F909" s="2" t="s">
        <v>184</v>
      </c>
      <c r="G909" s="2">
        <v>10</v>
      </c>
      <c r="H909" s="2">
        <v>59740</v>
      </c>
      <c r="I909" s="2">
        <v>0</v>
      </c>
      <c r="J909" s="2">
        <v>597400</v>
      </c>
      <c r="K909" s="2" t="s">
        <v>102</v>
      </c>
      <c r="L909" s="2" t="s">
        <v>54</v>
      </c>
      <c r="M909" s="2" t="s">
        <v>352</v>
      </c>
    </row>
    <row r="910" spans="1:13" x14ac:dyDescent="0.25">
      <c r="A910" s="2" t="s">
        <v>1908</v>
      </c>
      <c r="B910" s="2" t="s">
        <v>1909</v>
      </c>
      <c r="C910" s="2" t="s">
        <v>124</v>
      </c>
      <c r="D910" s="2" t="s">
        <v>51</v>
      </c>
      <c r="E910" s="2" t="s">
        <v>77</v>
      </c>
      <c r="F910" s="2" t="s">
        <v>224</v>
      </c>
      <c r="G910" s="2">
        <v>7</v>
      </c>
      <c r="H910" s="2">
        <v>3260</v>
      </c>
      <c r="I910" s="2">
        <v>15</v>
      </c>
      <c r="J910" s="2">
        <v>19397</v>
      </c>
      <c r="K910" s="2" t="s">
        <v>53</v>
      </c>
      <c r="L910" s="2" t="s">
        <v>748</v>
      </c>
      <c r="M910" s="2" t="s">
        <v>152</v>
      </c>
    </row>
    <row r="911" spans="1:13" x14ac:dyDescent="0.25">
      <c r="A911" s="2" t="s">
        <v>1910</v>
      </c>
      <c r="B911" s="2" t="s">
        <v>1911</v>
      </c>
      <c r="C911" s="2" t="s">
        <v>449</v>
      </c>
      <c r="D911" s="2" t="s">
        <v>42</v>
      </c>
      <c r="E911" s="2" t="s">
        <v>17</v>
      </c>
      <c r="F911" s="2" t="s">
        <v>164</v>
      </c>
      <c r="G911" s="2">
        <v>4</v>
      </c>
      <c r="H911" s="2">
        <v>17180</v>
      </c>
      <c r="I911" s="2">
        <v>15</v>
      </c>
      <c r="J911" s="2">
        <v>58412</v>
      </c>
      <c r="K911" s="2" t="s">
        <v>19</v>
      </c>
      <c r="L911" s="2" t="s">
        <v>176</v>
      </c>
      <c r="M911" s="2" t="s">
        <v>21</v>
      </c>
    </row>
    <row r="912" spans="1:13" x14ac:dyDescent="0.25">
      <c r="A912" s="2" t="s">
        <v>1912</v>
      </c>
      <c r="B912" s="2" t="s">
        <v>1913</v>
      </c>
      <c r="C912" s="2" t="s">
        <v>685</v>
      </c>
      <c r="D912" s="2" t="s">
        <v>33</v>
      </c>
      <c r="E912" s="2" t="s">
        <v>34</v>
      </c>
      <c r="F912" s="2" t="s">
        <v>35</v>
      </c>
      <c r="G912" s="2">
        <v>2</v>
      </c>
      <c r="H912" s="2">
        <v>1090</v>
      </c>
      <c r="I912" s="2">
        <v>0</v>
      </c>
      <c r="J912" s="2">
        <v>2180</v>
      </c>
      <c r="K912" s="2"/>
      <c r="L912" s="2" t="s">
        <v>838</v>
      </c>
      <c r="M912" s="2" t="s">
        <v>21</v>
      </c>
    </row>
    <row r="913" spans="1:13" x14ac:dyDescent="0.25">
      <c r="A913" s="2" t="s">
        <v>1914</v>
      </c>
      <c r="B913" s="2" t="s">
        <v>1915</v>
      </c>
      <c r="C913" s="2" t="s">
        <v>118</v>
      </c>
      <c r="D913" s="2" t="s">
        <v>51</v>
      </c>
      <c r="E913" s="2" t="s">
        <v>100</v>
      </c>
      <c r="F913" s="2" t="s">
        <v>296</v>
      </c>
      <c r="G913" s="2">
        <v>1</v>
      </c>
      <c r="H913" s="2">
        <v>7340</v>
      </c>
      <c r="I913" s="2">
        <v>5</v>
      </c>
      <c r="J913" s="2">
        <v>6973</v>
      </c>
      <c r="K913" s="2" t="s">
        <v>19</v>
      </c>
      <c r="L913" s="2" t="s">
        <v>387</v>
      </c>
      <c r="M913" s="2" t="s">
        <v>140</v>
      </c>
    </row>
    <row r="914" spans="1:13" x14ac:dyDescent="0.25">
      <c r="A914" s="2" t="s">
        <v>1916</v>
      </c>
      <c r="B914" s="2" t="s">
        <v>1917</v>
      </c>
      <c r="C914" s="2" t="s">
        <v>213</v>
      </c>
      <c r="D914" s="2" t="s">
        <v>58</v>
      </c>
      <c r="E914" s="2" t="s">
        <v>125</v>
      </c>
      <c r="F914" s="2" t="s">
        <v>296</v>
      </c>
      <c r="G914" s="2">
        <v>1</v>
      </c>
      <c r="H914" s="2">
        <v>2520</v>
      </c>
      <c r="I914" s="2">
        <v>0</v>
      </c>
      <c r="J914" s="2">
        <v>2520</v>
      </c>
      <c r="K914" s="2" t="s">
        <v>205</v>
      </c>
      <c r="L914" s="2" t="s">
        <v>266</v>
      </c>
      <c r="M914" s="2" t="s">
        <v>140</v>
      </c>
    </row>
    <row r="915" spans="1:13" x14ac:dyDescent="0.25">
      <c r="A915" s="2" t="s">
        <v>1918</v>
      </c>
      <c r="B915" s="2" t="s">
        <v>1416</v>
      </c>
      <c r="C915" s="2" t="s">
        <v>110</v>
      </c>
      <c r="D915" s="2" t="s">
        <v>33</v>
      </c>
      <c r="E915" s="2" t="s">
        <v>65</v>
      </c>
      <c r="F915" s="2" t="s">
        <v>101</v>
      </c>
      <c r="G915" s="2">
        <v>4</v>
      </c>
      <c r="H915" s="2">
        <v>5670</v>
      </c>
      <c r="I915" s="2">
        <v>10</v>
      </c>
      <c r="J915" s="2">
        <v>20412</v>
      </c>
      <c r="K915" s="2" t="s">
        <v>19</v>
      </c>
      <c r="L915" s="2" t="s">
        <v>68</v>
      </c>
      <c r="M915" s="2" t="s">
        <v>47</v>
      </c>
    </row>
    <row r="916" spans="1:13" x14ac:dyDescent="0.25">
      <c r="A916" s="2" t="s">
        <v>108</v>
      </c>
      <c r="B916" s="2" t="s">
        <v>109</v>
      </c>
      <c r="C916" s="2" t="s">
        <v>110</v>
      </c>
      <c r="D916" s="2" t="s">
        <v>33</v>
      </c>
      <c r="E916" s="2" t="s">
        <v>111</v>
      </c>
      <c r="F916" s="2" t="s">
        <v>78</v>
      </c>
      <c r="G916" s="2">
        <v>8</v>
      </c>
      <c r="H916" s="2">
        <v>5020</v>
      </c>
      <c r="I916" s="2">
        <v>0</v>
      </c>
      <c r="J916" s="2">
        <v>40160</v>
      </c>
      <c r="K916" s="2" t="s">
        <v>36</v>
      </c>
      <c r="L916" s="2" t="s">
        <v>112</v>
      </c>
      <c r="M916" s="2" t="s">
        <v>47</v>
      </c>
    </row>
    <row r="917" spans="1:13" x14ac:dyDescent="0.25">
      <c r="A917" s="2" t="s">
        <v>1919</v>
      </c>
      <c r="B917" s="2" t="s">
        <v>1920</v>
      </c>
      <c r="C917" s="2" t="s">
        <v>24</v>
      </c>
      <c r="D917" s="2" t="s">
        <v>16</v>
      </c>
      <c r="E917" s="2" t="s">
        <v>284</v>
      </c>
      <c r="F917" s="2" t="s">
        <v>435</v>
      </c>
      <c r="G917" s="2">
        <v>9</v>
      </c>
      <c r="H917" s="2">
        <v>8350</v>
      </c>
      <c r="I917" s="2">
        <v>0</v>
      </c>
      <c r="J917" s="2">
        <v>75150</v>
      </c>
      <c r="K917" s="2" t="s">
        <v>36</v>
      </c>
      <c r="L917" s="2" t="s">
        <v>95</v>
      </c>
      <c r="M917" s="2" t="s">
        <v>21</v>
      </c>
    </row>
    <row r="918" spans="1:13" x14ac:dyDescent="0.25">
      <c r="A918" s="2" t="s">
        <v>1921</v>
      </c>
      <c r="B918" s="2" t="s">
        <v>1922</v>
      </c>
      <c r="C918" s="2" t="s">
        <v>281</v>
      </c>
      <c r="D918" s="2" t="s">
        <v>51</v>
      </c>
      <c r="E918" s="2" t="s">
        <v>111</v>
      </c>
      <c r="F918" s="2" t="s">
        <v>239</v>
      </c>
      <c r="G918" s="2">
        <v>12</v>
      </c>
      <c r="H918" s="2" t="s">
        <v>223</v>
      </c>
      <c r="I918" s="2">
        <v>15</v>
      </c>
      <c r="J918" s="2">
        <v>76908</v>
      </c>
      <c r="K918" s="2" t="s">
        <v>144</v>
      </c>
      <c r="L918" s="2" t="s">
        <v>440</v>
      </c>
      <c r="M918" s="2" t="s">
        <v>140</v>
      </c>
    </row>
    <row r="919" spans="1:13" x14ac:dyDescent="0.25">
      <c r="A919" s="2" t="s">
        <v>1923</v>
      </c>
      <c r="B919" s="2" t="s">
        <v>1924</v>
      </c>
      <c r="C919" s="2" t="s">
        <v>227</v>
      </c>
      <c r="D919" s="2" t="s">
        <v>33</v>
      </c>
      <c r="E919" s="2" t="s">
        <v>322</v>
      </c>
      <c r="F919" s="2" t="s">
        <v>180</v>
      </c>
      <c r="G919" s="2">
        <v>3</v>
      </c>
      <c r="H919" s="2">
        <v>9570</v>
      </c>
      <c r="I919" s="2">
        <v>10</v>
      </c>
      <c r="J919" s="2">
        <v>25839</v>
      </c>
      <c r="K919" s="2" t="s">
        <v>102</v>
      </c>
      <c r="L919" s="2" t="s">
        <v>188</v>
      </c>
      <c r="M919" s="2" t="s">
        <v>201</v>
      </c>
    </row>
    <row r="920" spans="1:13" x14ac:dyDescent="0.25">
      <c r="A920" s="2" t="s">
        <v>1925</v>
      </c>
      <c r="B920" s="2" t="s">
        <v>1926</v>
      </c>
      <c r="C920" s="2" t="s">
        <v>294</v>
      </c>
      <c r="D920" s="2" t="s">
        <v>42</v>
      </c>
      <c r="E920" s="2" t="s">
        <v>65</v>
      </c>
      <c r="F920" s="2" t="s">
        <v>66</v>
      </c>
      <c r="G920" s="2">
        <v>7</v>
      </c>
      <c r="H920" s="2">
        <v>3260</v>
      </c>
      <c r="I920" s="2">
        <v>5</v>
      </c>
      <c r="J920" s="2">
        <v>21679</v>
      </c>
      <c r="K920" s="2" t="s">
        <v>36</v>
      </c>
      <c r="L920" s="2" t="s">
        <v>20</v>
      </c>
      <c r="M920" s="2" t="s">
        <v>223</v>
      </c>
    </row>
    <row r="921" spans="1:13" x14ac:dyDescent="0.25">
      <c r="A921" s="2" t="s">
        <v>1927</v>
      </c>
      <c r="B921" s="2" t="s">
        <v>1928</v>
      </c>
      <c r="C921" s="2" t="s">
        <v>238</v>
      </c>
      <c r="D921" s="2" t="s">
        <v>51</v>
      </c>
      <c r="E921" s="2" t="s">
        <v>82</v>
      </c>
      <c r="F921" s="2" t="s">
        <v>149</v>
      </c>
      <c r="G921" s="2">
        <v>7</v>
      </c>
      <c r="H921" s="2">
        <v>74150</v>
      </c>
      <c r="I921" s="2">
        <v>0</v>
      </c>
      <c r="J921" s="2">
        <v>519050</v>
      </c>
      <c r="K921" s="2" t="s">
        <v>205</v>
      </c>
      <c r="L921" s="2" t="s">
        <v>1929</v>
      </c>
      <c r="M921" s="2" t="s">
        <v>38</v>
      </c>
    </row>
    <row r="922" spans="1:13" x14ac:dyDescent="0.25">
      <c r="A922" s="2" t="s">
        <v>1930</v>
      </c>
      <c r="B922" s="2" t="s">
        <v>1931</v>
      </c>
      <c r="C922" s="2" t="s">
        <v>135</v>
      </c>
      <c r="D922" s="2" t="s">
        <v>58</v>
      </c>
      <c r="E922" s="2"/>
      <c r="F922" s="2" t="s">
        <v>232</v>
      </c>
      <c r="G922" s="2">
        <v>9</v>
      </c>
      <c r="H922" s="2">
        <v>62110</v>
      </c>
      <c r="I922" s="2">
        <v>15</v>
      </c>
      <c r="J922" s="2">
        <v>475141.5</v>
      </c>
      <c r="K922" s="2" t="s">
        <v>19</v>
      </c>
      <c r="L922" s="2" t="s">
        <v>491</v>
      </c>
      <c r="M922" s="2" t="s">
        <v>21</v>
      </c>
    </row>
    <row r="923" spans="1:13" x14ac:dyDescent="0.25">
      <c r="A923" s="2" t="s">
        <v>1932</v>
      </c>
      <c r="B923" s="2" t="s">
        <v>287</v>
      </c>
      <c r="C923" s="2" t="s">
        <v>32</v>
      </c>
      <c r="D923" s="2" t="s">
        <v>33</v>
      </c>
      <c r="E923" s="2"/>
      <c r="F923" s="2" t="s">
        <v>435</v>
      </c>
      <c r="G923" s="2">
        <v>8</v>
      </c>
      <c r="H923" s="2">
        <v>3710</v>
      </c>
      <c r="I923" s="2">
        <v>0</v>
      </c>
      <c r="J923" s="2">
        <v>29680</v>
      </c>
      <c r="K923" s="2" t="s">
        <v>67</v>
      </c>
      <c r="L923" s="2" t="s">
        <v>1933</v>
      </c>
      <c r="M923" s="2" t="s">
        <v>21</v>
      </c>
    </row>
    <row r="924" spans="1:13" x14ac:dyDescent="0.25">
      <c r="A924" s="2" t="s">
        <v>1934</v>
      </c>
      <c r="B924" s="2" t="s">
        <v>1935</v>
      </c>
      <c r="C924" s="2" t="s">
        <v>99</v>
      </c>
      <c r="D924" s="2" t="s">
        <v>16</v>
      </c>
      <c r="E924" s="2" t="s">
        <v>111</v>
      </c>
      <c r="F924" s="2" t="s">
        <v>224</v>
      </c>
      <c r="G924" s="2">
        <v>4</v>
      </c>
      <c r="H924" s="2">
        <v>17200</v>
      </c>
      <c r="I924" s="2">
        <v>0</v>
      </c>
      <c r="J924" s="2">
        <v>68800</v>
      </c>
      <c r="K924" s="2" t="s">
        <v>67</v>
      </c>
      <c r="L924" s="2" t="s">
        <v>776</v>
      </c>
      <c r="M924" s="2" t="s">
        <v>29</v>
      </c>
    </row>
    <row r="925" spans="1:13" x14ac:dyDescent="0.25">
      <c r="A925" s="2" t="s">
        <v>1936</v>
      </c>
      <c r="B925" s="2" t="s">
        <v>1937</v>
      </c>
      <c r="C925" s="2" t="s">
        <v>238</v>
      </c>
      <c r="D925" s="2" t="s">
        <v>51</v>
      </c>
      <c r="E925" s="2" t="s">
        <v>105</v>
      </c>
      <c r="F925" s="2" t="s">
        <v>255</v>
      </c>
      <c r="G925" s="2">
        <v>10</v>
      </c>
      <c r="H925" s="2">
        <v>2340</v>
      </c>
      <c r="I925" s="2">
        <v>0</v>
      </c>
      <c r="J925" s="2">
        <v>23400</v>
      </c>
      <c r="K925" s="2" t="s">
        <v>87</v>
      </c>
      <c r="L925" s="2" t="s">
        <v>720</v>
      </c>
      <c r="M925" s="2" t="s">
        <v>47</v>
      </c>
    </row>
    <row r="926" spans="1:13" x14ac:dyDescent="0.25">
      <c r="A926" s="2" t="s">
        <v>1938</v>
      </c>
      <c r="B926" s="2" t="s">
        <v>1939</v>
      </c>
      <c r="C926" s="2" t="s">
        <v>41</v>
      </c>
      <c r="D926" s="2" t="s">
        <v>42</v>
      </c>
      <c r="E926" s="2" t="s">
        <v>111</v>
      </c>
      <c r="F926" s="2" t="s">
        <v>239</v>
      </c>
      <c r="G926" s="2">
        <v>11</v>
      </c>
      <c r="H926" s="2">
        <v>11050</v>
      </c>
      <c r="I926" s="2">
        <v>5</v>
      </c>
      <c r="J926" s="2">
        <v>115472.5</v>
      </c>
      <c r="K926" s="2" t="s">
        <v>45</v>
      </c>
      <c r="L926" s="2" t="s">
        <v>220</v>
      </c>
      <c r="M926" s="2" t="s">
        <v>47</v>
      </c>
    </row>
    <row r="927" spans="1:13" x14ac:dyDescent="0.25">
      <c r="A927" s="2" t="s">
        <v>1940</v>
      </c>
      <c r="B927" s="2" t="s">
        <v>1941</v>
      </c>
      <c r="C927" s="2" t="s">
        <v>57</v>
      </c>
      <c r="D927" s="2" t="s">
        <v>58</v>
      </c>
      <c r="E927" s="2" t="s">
        <v>82</v>
      </c>
      <c r="F927" s="2" t="s">
        <v>379</v>
      </c>
      <c r="G927" s="2">
        <v>12</v>
      </c>
      <c r="H927" s="2">
        <v>8330</v>
      </c>
      <c r="I927" s="2">
        <v>15</v>
      </c>
      <c r="J927" s="2">
        <v>84966</v>
      </c>
      <c r="K927" s="2" t="s">
        <v>94</v>
      </c>
      <c r="L927" s="2" t="s">
        <v>428</v>
      </c>
      <c r="M927" s="2" t="s">
        <v>210</v>
      </c>
    </row>
    <row r="928" spans="1:13" x14ac:dyDescent="0.25">
      <c r="A928" s="2" t="s">
        <v>1942</v>
      </c>
      <c r="B928" s="2" t="s">
        <v>846</v>
      </c>
      <c r="C928" s="2" t="s">
        <v>472</v>
      </c>
      <c r="D928" s="2" t="s">
        <v>16</v>
      </c>
      <c r="E928" s="2" t="s">
        <v>179</v>
      </c>
      <c r="F928" s="2" t="s">
        <v>180</v>
      </c>
      <c r="G928" s="2">
        <v>11</v>
      </c>
      <c r="H928" s="2">
        <v>570</v>
      </c>
      <c r="I928" s="2">
        <v>5</v>
      </c>
      <c r="J928" s="2">
        <v>5956.5</v>
      </c>
      <c r="K928" s="2" t="s">
        <v>157</v>
      </c>
      <c r="L928" s="2" t="s">
        <v>37</v>
      </c>
      <c r="M928" s="2" t="s">
        <v>21</v>
      </c>
    </row>
    <row r="929" spans="1:13" x14ac:dyDescent="0.25">
      <c r="A929" s="2" t="s">
        <v>1100</v>
      </c>
      <c r="B929" s="2" t="s">
        <v>1101</v>
      </c>
      <c r="C929" s="2" t="s">
        <v>227</v>
      </c>
      <c r="D929" s="2" t="s">
        <v>33</v>
      </c>
      <c r="E929" s="2" t="s">
        <v>119</v>
      </c>
      <c r="F929" s="2" t="s">
        <v>248</v>
      </c>
      <c r="G929" s="2">
        <v>2</v>
      </c>
      <c r="H929" s="2">
        <v>5390</v>
      </c>
      <c r="I929" s="2">
        <v>15</v>
      </c>
      <c r="J929" s="2">
        <v>9163</v>
      </c>
      <c r="K929" s="2" t="s">
        <v>139</v>
      </c>
      <c r="L929" s="2" t="s">
        <v>344</v>
      </c>
      <c r="M929" s="2" t="s">
        <v>38</v>
      </c>
    </row>
    <row r="930" spans="1:13" x14ac:dyDescent="0.25">
      <c r="A930" s="2" t="s">
        <v>1943</v>
      </c>
      <c r="B930" s="2" t="s">
        <v>1944</v>
      </c>
      <c r="C930" s="2" t="s">
        <v>135</v>
      </c>
      <c r="D930" s="2" t="s">
        <v>58</v>
      </c>
      <c r="E930" s="2" t="s">
        <v>231</v>
      </c>
      <c r="F930" s="2" t="s">
        <v>232</v>
      </c>
      <c r="G930" s="2">
        <v>6</v>
      </c>
      <c r="H930" s="2">
        <v>61860</v>
      </c>
      <c r="I930" s="2">
        <v>5</v>
      </c>
      <c r="J930" s="2">
        <v>352602</v>
      </c>
      <c r="K930" s="2" t="s">
        <v>133</v>
      </c>
      <c r="L930" s="2" t="s">
        <v>79</v>
      </c>
      <c r="M930" s="2" t="s">
        <v>21</v>
      </c>
    </row>
    <row r="931" spans="1:13" x14ac:dyDescent="0.25">
      <c r="A931" s="2" t="s">
        <v>1945</v>
      </c>
      <c r="B931" s="2" t="s">
        <v>1946</v>
      </c>
      <c r="C931" s="2" t="s">
        <v>204</v>
      </c>
      <c r="D931" s="2" t="s">
        <v>33</v>
      </c>
      <c r="E931" s="2" t="s">
        <v>231</v>
      </c>
      <c r="F931" s="2" t="s">
        <v>224</v>
      </c>
      <c r="G931" s="2">
        <v>8</v>
      </c>
      <c r="H931" s="2">
        <v>1130</v>
      </c>
      <c r="I931" s="2" t="s">
        <v>138</v>
      </c>
      <c r="J931" s="2">
        <v>9040</v>
      </c>
      <c r="K931" s="2" t="s">
        <v>19</v>
      </c>
      <c r="L931" s="2" t="s">
        <v>344</v>
      </c>
      <c r="M931" s="2" t="s">
        <v>821</v>
      </c>
    </row>
    <row r="932" spans="1:13" x14ac:dyDescent="0.25">
      <c r="A932" s="2" t="s">
        <v>1947</v>
      </c>
      <c r="B932" s="2" t="s">
        <v>1948</v>
      </c>
      <c r="C932" s="2" t="s">
        <v>24</v>
      </c>
      <c r="D932" s="2" t="s">
        <v>16</v>
      </c>
      <c r="E932" s="2" t="s">
        <v>231</v>
      </c>
      <c r="F932" s="2" t="s">
        <v>78</v>
      </c>
      <c r="G932" s="2">
        <v>12</v>
      </c>
      <c r="H932" s="2">
        <v>4570</v>
      </c>
      <c r="I932" s="2">
        <v>0</v>
      </c>
      <c r="J932" s="2">
        <v>54840</v>
      </c>
      <c r="K932" s="2"/>
      <c r="L932" s="2" t="s">
        <v>37</v>
      </c>
      <c r="M932" s="2" t="s">
        <v>29</v>
      </c>
    </row>
    <row r="933" spans="1:13" x14ac:dyDescent="0.25">
      <c r="A933" s="2" t="s">
        <v>1949</v>
      </c>
      <c r="B933" s="2" t="s">
        <v>1950</v>
      </c>
      <c r="C933" s="2" t="s">
        <v>971</v>
      </c>
      <c r="D933" s="2" t="s">
        <v>33</v>
      </c>
      <c r="E933" s="2" t="s">
        <v>179</v>
      </c>
      <c r="F933" s="2" t="s">
        <v>224</v>
      </c>
      <c r="G933" s="2">
        <v>7</v>
      </c>
      <c r="H933" s="2">
        <v>3720</v>
      </c>
      <c r="I933" s="2">
        <v>15</v>
      </c>
      <c r="J933" s="2">
        <v>22134</v>
      </c>
      <c r="K933" s="2" t="s">
        <v>172</v>
      </c>
      <c r="L933" s="2" t="s">
        <v>200</v>
      </c>
      <c r="M933" s="2" t="s">
        <v>47</v>
      </c>
    </row>
    <row r="934" spans="1:13" x14ac:dyDescent="0.25">
      <c r="A934" s="2" t="s">
        <v>1951</v>
      </c>
      <c r="B934" s="2" t="s">
        <v>1221</v>
      </c>
      <c r="C934" s="2" t="s">
        <v>41</v>
      </c>
      <c r="D934" s="2" t="s">
        <v>42</v>
      </c>
      <c r="E934" s="2" t="s">
        <v>504</v>
      </c>
      <c r="F934" s="2" t="s">
        <v>252</v>
      </c>
      <c r="G934" s="2">
        <v>1</v>
      </c>
      <c r="H934" s="2">
        <v>1120</v>
      </c>
      <c r="I934" s="2">
        <v>10</v>
      </c>
      <c r="J934" s="2">
        <v>1008</v>
      </c>
      <c r="K934" s="2" t="s">
        <v>172</v>
      </c>
      <c r="L934" s="2" t="s">
        <v>274</v>
      </c>
      <c r="M934" s="2" t="s">
        <v>29</v>
      </c>
    </row>
    <row r="935" spans="1:13" x14ac:dyDescent="0.25">
      <c r="A935" s="2" t="s">
        <v>1952</v>
      </c>
      <c r="B935" s="2" t="s">
        <v>241</v>
      </c>
      <c r="C935" s="2" t="s">
        <v>41</v>
      </c>
      <c r="D935" s="2" t="s">
        <v>42</v>
      </c>
      <c r="E935" s="2" t="s">
        <v>322</v>
      </c>
      <c r="F935" s="2" t="s">
        <v>143</v>
      </c>
      <c r="G935" s="2">
        <v>7</v>
      </c>
      <c r="H935" s="2">
        <v>12780</v>
      </c>
      <c r="I935" s="2">
        <v>15</v>
      </c>
      <c r="J935" s="2">
        <v>76041</v>
      </c>
      <c r="K935" s="2" t="s">
        <v>139</v>
      </c>
      <c r="L935" s="2" t="s">
        <v>266</v>
      </c>
      <c r="M935" s="2" t="s">
        <v>47</v>
      </c>
    </row>
    <row r="936" spans="1:13" x14ac:dyDescent="0.25">
      <c r="A936" s="2" t="s">
        <v>1953</v>
      </c>
      <c r="B936" s="2" t="s">
        <v>1954</v>
      </c>
      <c r="C936" s="2" t="s">
        <v>238</v>
      </c>
      <c r="D936" s="2" t="s">
        <v>51</v>
      </c>
      <c r="E936" s="2" t="s">
        <v>34</v>
      </c>
      <c r="F936" s="2" t="s">
        <v>71</v>
      </c>
      <c r="G936" s="2">
        <v>1</v>
      </c>
      <c r="H936" s="2">
        <v>13620</v>
      </c>
      <c r="I936" s="2">
        <v>15</v>
      </c>
      <c r="J936" s="2">
        <v>11577</v>
      </c>
      <c r="K936" s="2" t="s">
        <v>19</v>
      </c>
      <c r="L936" s="2" t="s">
        <v>903</v>
      </c>
      <c r="M936" s="2" t="s">
        <v>128</v>
      </c>
    </row>
    <row r="937" spans="1:13" x14ac:dyDescent="0.25">
      <c r="A937" s="2" t="s">
        <v>1955</v>
      </c>
      <c r="B937" s="2" t="s">
        <v>1956</v>
      </c>
      <c r="C937" s="2" t="s">
        <v>110</v>
      </c>
      <c r="D937" s="2" t="s">
        <v>33</v>
      </c>
      <c r="E937" s="2" t="s">
        <v>65</v>
      </c>
      <c r="F937" s="2" t="s">
        <v>132</v>
      </c>
      <c r="G937" s="2">
        <v>6</v>
      </c>
      <c r="H937" s="2">
        <v>4800</v>
      </c>
      <c r="I937" s="2">
        <v>0</v>
      </c>
      <c r="J937" s="2">
        <v>28800</v>
      </c>
      <c r="K937" s="2" t="s">
        <v>205</v>
      </c>
      <c r="L937" s="2" t="s">
        <v>37</v>
      </c>
      <c r="M937" s="2" t="s">
        <v>107</v>
      </c>
    </row>
    <row r="938" spans="1:13" x14ac:dyDescent="0.25">
      <c r="A938" s="2" t="s">
        <v>1957</v>
      </c>
      <c r="B938" s="2" t="s">
        <v>1958</v>
      </c>
      <c r="C938" s="2" t="s">
        <v>41</v>
      </c>
      <c r="D938" s="2" t="s">
        <v>42</v>
      </c>
      <c r="E938" s="2" t="s">
        <v>17</v>
      </c>
      <c r="F938" s="2" t="s">
        <v>18</v>
      </c>
      <c r="G938" s="2">
        <v>12</v>
      </c>
      <c r="H938" s="2">
        <v>2540</v>
      </c>
      <c r="I938" s="2">
        <v>5</v>
      </c>
      <c r="J938" s="2">
        <v>28956</v>
      </c>
      <c r="K938" s="2" t="s">
        <v>139</v>
      </c>
      <c r="L938" s="2" t="s">
        <v>1229</v>
      </c>
      <c r="M938" s="2" t="s">
        <v>21</v>
      </c>
    </row>
    <row r="939" spans="1:13" x14ac:dyDescent="0.25">
      <c r="A939" s="2" t="s">
        <v>1959</v>
      </c>
      <c r="B939" s="2" t="s">
        <v>1755</v>
      </c>
      <c r="C939" s="2" t="s">
        <v>15</v>
      </c>
      <c r="D939" s="2" t="s">
        <v>16</v>
      </c>
      <c r="E939" s="2" t="s">
        <v>179</v>
      </c>
      <c r="F939" s="2" t="s">
        <v>180</v>
      </c>
      <c r="G939" s="2">
        <v>9</v>
      </c>
      <c r="H939" s="2">
        <v>1190</v>
      </c>
      <c r="I939" s="2">
        <v>0</v>
      </c>
      <c r="J939" s="2">
        <v>10710</v>
      </c>
      <c r="K939" s="2" t="s">
        <v>144</v>
      </c>
      <c r="L939" s="2" t="s">
        <v>176</v>
      </c>
      <c r="M939" s="2" t="s">
        <v>29</v>
      </c>
    </row>
    <row r="940" spans="1:13" x14ac:dyDescent="0.25">
      <c r="A940" s="2" t="s">
        <v>1960</v>
      </c>
      <c r="B940" s="2" t="s">
        <v>1961</v>
      </c>
      <c r="C940" s="2"/>
      <c r="D940" s="2" t="s">
        <v>51</v>
      </c>
      <c r="E940" s="2" t="s">
        <v>77</v>
      </c>
      <c r="F940" s="2" t="s">
        <v>184</v>
      </c>
      <c r="G940" s="2">
        <v>12</v>
      </c>
      <c r="H940" s="2">
        <v>7990</v>
      </c>
      <c r="I940" s="2">
        <v>0</v>
      </c>
      <c r="J940" s="2">
        <v>95880</v>
      </c>
      <c r="K940" s="2" t="s">
        <v>102</v>
      </c>
      <c r="L940" s="2" t="s">
        <v>440</v>
      </c>
      <c r="M940" s="2" t="s">
        <v>21</v>
      </c>
    </row>
    <row r="941" spans="1:13" x14ac:dyDescent="0.25">
      <c r="A941" s="2" t="s">
        <v>1962</v>
      </c>
      <c r="B941" s="2" t="s">
        <v>90</v>
      </c>
      <c r="C941" s="2" t="s">
        <v>227</v>
      </c>
      <c r="D941" s="2" t="s">
        <v>33</v>
      </c>
      <c r="E941" s="2" t="s">
        <v>148</v>
      </c>
      <c r="F941" s="2" t="s">
        <v>60</v>
      </c>
      <c r="G941" s="2">
        <v>4</v>
      </c>
      <c r="H941" s="2">
        <v>18060</v>
      </c>
      <c r="I941" s="2">
        <v>0</v>
      </c>
      <c r="J941" s="2">
        <v>72240</v>
      </c>
      <c r="K941" s="2" t="s">
        <v>87</v>
      </c>
      <c r="L941" s="2" t="s">
        <v>220</v>
      </c>
      <c r="M941" s="2" t="s">
        <v>47</v>
      </c>
    </row>
    <row r="942" spans="1:13" x14ac:dyDescent="0.25">
      <c r="A942" s="2" t="s">
        <v>1963</v>
      </c>
      <c r="B942" s="2" t="s">
        <v>1290</v>
      </c>
      <c r="C942" s="2" t="s">
        <v>41</v>
      </c>
      <c r="D942" s="2" t="s">
        <v>42</v>
      </c>
      <c r="E942" s="2" t="s">
        <v>119</v>
      </c>
      <c r="F942" s="2" t="s">
        <v>26</v>
      </c>
      <c r="G942" s="2">
        <v>7</v>
      </c>
      <c r="H942" s="2">
        <v>2320</v>
      </c>
      <c r="I942" s="2">
        <v>0</v>
      </c>
      <c r="J942" s="2">
        <v>16240</v>
      </c>
      <c r="K942" s="2" t="s">
        <v>72</v>
      </c>
      <c r="L942" s="2" t="s">
        <v>428</v>
      </c>
      <c r="M942" s="2" t="s">
        <v>47</v>
      </c>
    </row>
    <row r="943" spans="1:13" x14ac:dyDescent="0.25">
      <c r="A943" s="2" t="s">
        <v>1964</v>
      </c>
      <c r="B943" s="2" t="s">
        <v>1965</v>
      </c>
      <c r="C943" s="2" t="s">
        <v>156</v>
      </c>
      <c r="D943" s="2" t="s">
        <v>51</v>
      </c>
      <c r="E943" s="2" t="s">
        <v>43</v>
      </c>
      <c r="F943" s="2" t="s">
        <v>106</v>
      </c>
      <c r="G943" s="2">
        <v>9</v>
      </c>
      <c r="H943" s="2">
        <v>12840</v>
      </c>
      <c r="I943" s="2">
        <v>10</v>
      </c>
      <c r="J943" s="2">
        <v>104004</v>
      </c>
      <c r="K943" s="2" t="s">
        <v>172</v>
      </c>
      <c r="L943" s="2" t="s">
        <v>1966</v>
      </c>
      <c r="M943" s="2" t="s">
        <v>140</v>
      </c>
    </row>
    <row r="944" spans="1:13" x14ac:dyDescent="0.25">
      <c r="A944" s="2" t="s">
        <v>1967</v>
      </c>
      <c r="B944" s="2" t="s">
        <v>109</v>
      </c>
      <c r="C944" s="2" t="s">
        <v>91</v>
      </c>
      <c r="D944" s="2" t="s">
        <v>51</v>
      </c>
      <c r="E944" s="2" t="s">
        <v>52</v>
      </c>
      <c r="F944" s="2" t="s">
        <v>115</v>
      </c>
      <c r="G944" s="2">
        <v>11</v>
      </c>
      <c r="H944" s="2">
        <v>3670</v>
      </c>
      <c r="I944" s="2">
        <v>5</v>
      </c>
      <c r="J944" s="2"/>
      <c r="K944" s="2" t="s">
        <v>67</v>
      </c>
      <c r="L944" s="2" t="s">
        <v>406</v>
      </c>
      <c r="M944" s="2" t="s">
        <v>21</v>
      </c>
    </row>
    <row r="945" spans="1:13" x14ac:dyDescent="0.25">
      <c r="A945" s="2" t="s">
        <v>1968</v>
      </c>
      <c r="B945" s="2" t="s">
        <v>1969</v>
      </c>
      <c r="C945" s="2" t="s">
        <v>238</v>
      </c>
      <c r="D945" s="2" t="s">
        <v>51</v>
      </c>
      <c r="E945" s="2" t="s">
        <v>295</v>
      </c>
      <c r="F945" s="2" t="s">
        <v>219</v>
      </c>
      <c r="G945" s="2">
        <v>12</v>
      </c>
      <c r="H945" s="2">
        <v>13030</v>
      </c>
      <c r="I945" s="2" t="s">
        <v>138</v>
      </c>
      <c r="J945" s="2">
        <v>140724</v>
      </c>
      <c r="K945" s="2" t="s">
        <v>53</v>
      </c>
      <c r="L945" s="2" t="s">
        <v>274</v>
      </c>
      <c r="M945" s="2" t="s">
        <v>29</v>
      </c>
    </row>
    <row r="946" spans="1:13" x14ac:dyDescent="0.25">
      <c r="A946" s="2" t="s">
        <v>1970</v>
      </c>
      <c r="B946" s="2" t="s">
        <v>1971</v>
      </c>
      <c r="C946" s="2" t="s">
        <v>118</v>
      </c>
      <c r="D946" s="2" t="s">
        <v>51</v>
      </c>
      <c r="E946" s="2" t="s">
        <v>284</v>
      </c>
      <c r="F946" s="2" t="s">
        <v>60</v>
      </c>
      <c r="G946" s="2">
        <v>12</v>
      </c>
      <c r="H946" s="2">
        <v>41300</v>
      </c>
      <c r="I946" s="2">
        <v>15</v>
      </c>
      <c r="J946" s="2">
        <v>421260</v>
      </c>
      <c r="K946" s="2" t="s">
        <v>72</v>
      </c>
      <c r="L946" s="2" t="s">
        <v>883</v>
      </c>
      <c r="M946" s="2" t="s">
        <v>21</v>
      </c>
    </row>
    <row r="947" spans="1:13" x14ac:dyDescent="0.25">
      <c r="A947" s="2" t="s">
        <v>1972</v>
      </c>
      <c r="B947" s="2" t="s">
        <v>1846</v>
      </c>
      <c r="C947" s="2" t="s">
        <v>57</v>
      </c>
      <c r="D947" s="2" t="s">
        <v>58</v>
      </c>
      <c r="E947" s="2" t="s">
        <v>119</v>
      </c>
      <c r="F947" s="2" t="s">
        <v>248</v>
      </c>
      <c r="G947" s="2">
        <v>6</v>
      </c>
      <c r="H947" s="2">
        <v>18010</v>
      </c>
      <c r="I947" s="2">
        <v>0</v>
      </c>
      <c r="J947" s="2">
        <v>108060</v>
      </c>
      <c r="K947" s="2" t="s">
        <v>172</v>
      </c>
      <c r="L947" s="2" t="s">
        <v>138</v>
      </c>
      <c r="M947" s="2" t="s">
        <v>215</v>
      </c>
    </row>
    <row r="948" spans="1:13" x14ac:dyDescent="0.25">
      <c r="A948" s="2" t="s">
        <v>1973</v>
      </c>
      <c r="B948" s="2" t="s">
        <v>1787</v>
      </c>
      <c r="C948" s="2" t="s">
        <v>76</v>
      </c>
      <c r="D948" s="2"/>
      <c r="E948" s="2" t="s">
        <v>125</v>
      </c>
      <c r="F948" s="2" t="s">
        <v>132</v>
      </c>
      <c r="G948" s="2">
        <v>9</v>
      </c>
      <c r="H948" s="2">
        <v>20680</v>
      </c>
      <c r="I948" s="2">
        <v>0</v>
      </c>
      <c r="J948" s="2">
        <v>186120</v>
      </c>
      <c r="K948" s="2" t="s">
        <v>87</v>
      </c>
      <c r="L948" s="2" t="s">
        <v>1974</v>
      </c>
      <c r="M948" s="2" t="s">
        <v>29</v>
      </c>
    </row>
    <row r="949" spans="1:13" x14ac:dyDescent="0.25">
      <c r="A949" s="2" t="s">
        <v>129</v>
      </c>
      <c r="B949" s="2" t="s">
        <v>130</v>
      </c>
      <c r="C949" s="2" t="s">
        <v>57</v>
      </c>
      <c r="D949" s="2" t="s">
        <v>58</v>
      </c>
      <c r="E949" s="2" t="s">
        <v>131</v>
      </c>
      <c r="F949" s="2" t="s">
        <v>132</v>
      </c>
      <c r="G949" s="2">
        <v>6</v>
      </c>
      <c r="H949" s="2">
        <v>11890</v>
      </c>
      <c r="I949" s="2">
        <v>0</v>
      </c>
      <c r="J949" s="2">
        <v>71340</v>
      </c>
      <c r="K949" s="2" t="s">
        <v>133</v>
      </c>
      <c r="L949" s="2" t="s">
        <v>20</v>
      </c>
      <c r="M949" s="2" t="s">
        <v>47</v>
      </c>
    </row>
    <row r="950" spans="1:13" x14ac:dyDescent="0.25">
      <c r="A950" s="2" t="s">
        <v>1975</v>
      </c>
      <c r="B950" s="2" t="s">
        <v>1976</v>
      </c>
      <c r="C950" s="2" t="s">
        <v>32</v>
      </c>
      <c r="D950" s="2" t="s">
        <v>33</v>
      </c>
      <c r="E950" s="2" t="s">
        <v>52</v>
      </c>
      <c r="F950" s="2" t="s">
        <v>93</v>
      </c>
      <c r="G950" s="2">
        <v>2</v>
      </c>
      <c r="H950" s="2">
        <v>2720</v>
      </c>
      <c r="I950" s="2">
        <v>0</v>
      </c>
      <c r="J950" s="2">
        <v>5440</v>
      </c>
      <c r="K950" s="2" t="s">
        <v>72</v>
      </c>
      <c r="L950" s="2" t="s">
        <v>266</v>
      </c>
      <c r="M950" s="2" t="s">
        <v>352</v>
      </c>
    </row>
    <row r="951" spans="1:13" x14ac:dyDescent="0.25">
      <c r="A951" s="2" t="s">
        <v>1977</v>
      </c>
      <c r="B951" s="2" t="s">
        <v>1978</v>
      </c>
      <c r="C951" s="2" t="s">
        <v>76</v>
      </c>
      <c r="D951" s="2" t="s">
        <v>33</v>
      </c>
      <c r="E951" s="2" t="s">
        <v>131</v>
      </c>
      <c r="F951" s="2" t="s">
        <v>126</v>
      </c>
      <c r="G951" s="2">
        <v>5</v>
      </c>
      <c r="H951" s="2">
        <v>61990</v>
      </c>
      <c r="I951" s="2">
        <v>0</v>
      </c>
      <c r="J951" s="2">
        <v>309950</v>
      </c>
      <c r="K951" s="2" t="s">
        <v>27</v>
      </c>
      <c r="L951" s="2" t="s">
        <v>411</v>
      </c>
      <c r="M951" s="2" t="s">
        <v>21</v>
      </c>
    </row>
    <row r="952" spans="1:13" x14ac:dyDescent="0.25">
      <c r="A952" s="2" t="s">
        <v>1979</v>
      </c>
      <c r="B952" s="2" t="s">
        <v>1980</v>
      </c>
      <c r="C952" s="2" t="s">
        <v>24</v>
      </c>
      <c r="D952" s="2" t="s">
        <v>16</v>
      </c>
      <c r="E952" s="2" t="s">
        <v>25</v>
      </c>
      <c r="F952" s="2" t="s">
        <v>106</v>
      </c>
      <c r="G952" s="2">
        <v>11</v>
      </c>
      <c r="H952" s="2">
        <v>3180</v>
      </c>
      <c r="I952" s="2">
        <v>0</v>
      </c>
      <c r="J952" s="2">
        <v>34980</v>
      </c>
      <c r="K952" s="2" t="s">
        <v>144</v>
      </c>
      <c r="L952" s="2" t="s">
        <v>349</v>
      </c>
      <c r="M952" s="2" t="s">
        <v>21</v>
      </c>
    </row>
    <row r="953" spans="1:13" x14ac:dyDescent="0.25">
      <c r="A953" s="2" t="s">
        <v>1981</v>
      </c>
      <c r="B953" s="2" t="s">
        <v>1926</v>
      </c>
      <c r="C953" s="2" t="s">
        <v>238</v>
      </c>
      <c r="D953" s="2" t="s">
        <v>51</v>
      </c>
      <c r="E953" s="2" t="s">
        <v>295</v>
      </c>
      <c r="F953" s="2" t="s">
        <v>219</v>
      </c>
      <c r="G953" s="2">
        <v>4</v>
      </c>
      <c r="H953" s="2">
        <v>48370</v>
      </c>
      <c r="I953" s="2">
        <v>0</v>
      </c>
      <c r="J953" s="2">
        <v>193480</v>
      </c>
      <c r="K953" s="2" t="s">
        <v>157</v>
      </c>
      <c r="L953" s="2" t="s">
        <v>440</v>
      </c>
      <c r="M953" s="2" t="s">
        <v>128</v>
      </c>
    </row>
    <row r="954" spans="1:13" x14ac:dyDescent="0.25">
      <c r="A954" s="2" t="s">
        <v>1982</v>
      </c>
      <c r="B954" s="2" t="s">
        <v>1983</v>
      </c>
      <c r="C954" s="2" t="s">
        <v>156</v>
      </c>
      <c r="D954" s="2" t="s">
        <v>51</v>
      </c>
      <c r="E954" s="2" t="s">
        <v>34</v>
      </c>
      <c r="F954" s="2" t="s">
        <v>199</v>
      </c>
      <c r="G954" s="2">
        <v>4</v>
      </c>
      <c r="H954" s="2">
        <v>18170</v>
      </c>
      <c r="I954" s="2" t="s">
        <v>138</v>
      </c>
      <c r="J954" s="2">
        <v>72680</v>
      </c>
      <c r="K954" s="2" t="s">
        <v>144</v>
      </c>
      <c r="L954" s="2" t="s">
        <v>46</v>
      </c>
      <c r="M954" s="2" t="s">
        <v>47</v>
      </c>
    </row>
    <row r="955" spans="1:13" x14ac:dyDescent="0.25">
      <c r="A955" s="2" t="s">
        <v>1984</v>
      </c>
      <c r="B955" s="2" t="s">
        <v>1318</v>
      </c>
      <c r="C955" s="2" t="s">
        <v>15</v>
      </c>
      <c r="D955" s="2" t="s">
        <v>16</v>
      </c>
      <c r="E955" s="2" t="s">
        <v>295</v>
      </c>
      <c r="F955" s="2" t="s">
        <v>126</v>
      </c>
      <c r="G955" s="2">
        <v>1</v>
      </c>
      <c r="H955" s="2">
        <v>3190</v>
      </c>
      <c r="I955" s="2">
        <v>0</v>
      </c>
      <c r="J955" s="2">
        <v>3190</v>
      </c>
      <c r="K955" s="2" t="s">
        <v>72</v>
      </c>
      <c r="L955" s="2" t="s">
        <v>796</v>
      </c>
      <c r="M955" s="2" t="s">
        <v>47</v>
      </c>
    </row>
    <row r="956" spans="1:13" x14ac:dyDescent="0.25">
      <c r="A956" s="2" t="s">
        <v>1985</v>
      </c>
      <c r="B956" s="2" t="s">
        <v>1986</v>
      </c>
      <c r="C956" s="2" t="s">
        <v>227</v>
      </c>
      <c r="D956" s="2" t="s">
        <v>33</v>
      </c>
      <c r="E956" s="2" t="s">
        <v>52</v>
      </c>
      <c r="F956" s="2" t="s">
        <v>26</v>
      </c>
      <c r="G956" s="2">
        <v>10</v>
      </c>
      <c r="H956" s="2">
        <v>10950</v>
      </c>
      <c r="I956" s="2">
        <v>0</v>
      </c>
      <c r="J956" s="2"/>
      <c r="K956" s="2" t="s">
        <v>27</v>
      </c>
      <c r="L956" s="2" t="s">
        <v>73</v>
      </c>
      <c r="M956" s="2" t="s">
        <v>352</v>
      </c>
    </row>
    <row r="957" spans="1:13" x14ac:dyDescent="0.25">
      <c r="A957" s="2" t="s">
        <v>1987</v>
      </c>
      <c r="B957" s="2" t="s">
        <v>1988</v>
      </c>
      <c r="C957" s="2" t="s">
        <v>162</v>
      </c>
      <c r="D957" s="2" t="s">
        <v>33</v>
      </c>
      <c r="E957" s="2" t="s">
        <v>59</v>
      </c>
      <c r="F957" s="2" t="s">
        <v>209</v>
      </c>
      <c r="G957" s="2">
        <v>12</v>
      </c>
      <c r="H957" s="2">
        <v>9670</v>
      </c>
      <c r="I957" s="2">
        <v>5</v>
      </c>
      <c r="J957" s="2">
        <v>110238</v>
      </c>
      <c r="K957" s="2" t="s">
        <v>87</v>
      </c>
      <c r="L957" s="2" t="s">
        <v>411</v>
      </c>
      <c r="M957" s="2" t="s">
        <v>21</v>
      </c>
    </row>
    <row r="958" spans="1:13" x14ac:dyDescent="0.25">
      <c r="A958" s="2" t="s">
        <v>1989</v>
      </c>
      <c r="B958" s="2" t="s">
        <v>1990</v>
      </c>
      <c r="C958" s="2" t="s">
        <v>238</v>
      </c>
      <c r="D958" s="2" t="s">
        <v>51</v>
      </c>
      <c r="E958" s="2" t="s">
        <v>43</v>
      </c>
      <c r="F958" s="2" t="s">
        <v>255</v>
      </c>
      <c r="G958" s="2">
        <v>4</v>
      </c>
      <c r="H958" s="2">
        <v>3640</v>
      </c>
      <c r="I958" s="2">
        <v>0</v>
      </c>
      <c r="J958" s="2">
        <v>14560</v>
      </c>
      <c r="K958" s="2" t="s">
        <v>172</v>
      </c>
      <c r="L958" s="2" t="s">
        <v>188</v>
      </c>
      <c r="M958" s="2" t="s">
        <v>140</v>
      </c>
    </row>
    <row r="959" spans="1:13" x14ac:dyDescent="0.25">
      <c r="A959" s="2" t="s">
        <v>1991</v>
      </c>
      <c r="B959" s="2" t="s">
        <v>1992</v>
      </c>
      <c r="C959" s="2" t="s">
        <v>227</v>
      </c>
      <c r="D959" s="2" t="s">
        <v>33</v>
      </c>
      <c r="E959" s="2" t="s">
        <v>77</v>
      </c>
      <c r="F959" s="2" t="s">
        <v>78</v>
      </c>
      <c r="G959" s="2">
        <v>9</v>
      </c>
      <c r="H959" s="2">
        <v>44820</v>
      </c>
      <c r="I959" s="2">
        <v>0</v>
      </c>
      <c r="J959" s="2" t="s">
        <v>138</v>
      </c>
      <c r="K959" s="2" t="s">
        <v>139</v>
      </c>
      <c r="L959" s="2" t="s">
        <v>54</v>
      </c>
      <c r="M959" s="2"/>
    </row>
    <row r="960" spans="1:13" x14ac:dyDescent="0.25">
      <c r="A960" s="2" t="s">
        <v>1993</v>
      </c>
      <c r="B960" s="2" t="s">
        <v>1885</v>
      </c>
      <c r="C960" s="2" t="s">
        <v>472</v>
      </c>
      <c r="D960" s="2" t="s">
        <v>16</v>
      </c>
      <c r="E960" s="2" t="s">
        <v>17</v>
      </c>
      <c r="F960" s="2" t="s">
        <v>164</v>
      </c>
      <c r="G960" s="2" t="s">
        <v>138</v>
      </c>
      <c r="H960" s="2">
        <v>27790</v>
      </c>
      <c r="I960" s="2">
        <v>15</v>
      </c>
      <c r="J960" s="2">
        <v>165350.5</v>
      </c>
      <c r="K960" s="2" t="s">
        <v>172</v>
      </c>
      <c r="L960" s="2" t="s">
        <v>176</v>
      </c>
      <c r="M960" s="2" t="s">
        <v>21</v>
      </c>
    </row>
    <row r="961" spans="1:13" x14ac:dyDescent="0.25">
      <c r="A961" s="2" t="s">
        <v>1994</v>
      </c>
      <c r="B961" s="2" t="s">
        <v>1995</v>
      </c>
      <c r="C961" s="2" t="s">
        <v>490</v>
      </c>
      <c r="D961" s="2" t="s">
        <v>33</v>
      </c>
      <c r="E961" s="2" t="s">
        <v>231</v>
      </c>
      <c r="F961" s="2" t="s">
        <v>543</v>
      </c>
      <c r="G961" s="2">
        <v>4</v>
      </c>
      <c r="H961" s="2" t="s">
        <v>223</v>
      </c>
      <c r="I961" s="2" t="s">
        <v>223</v>
      </c>
      <c r="J961" s="2">
        <v>187644</v>
      </c>
      <c r="K961" s="2" t="s">
        <v>36</v>
      </c>
      <c r="L961" s="2" t="s">
        <v>341</v>
      </c>
      <c r="M961" s="2" t="s">
        <v>47</v>
      </c>
    </row>
    <row r="962" spans="1:13" x14ac:dyDescent="0.25">
      <c r="A962" s="2" t="s">
        <v>1996</v>
      </c>
      <c r="B962" s="2" t="s">
        <v>1108</v>
      </c>
      <c r="C962" s="2" t="s">
        <v>238</v>
      </c>
      <c r="D962" s="2" t="s">
        <v>51</v>
      </c>
      <c r="E962" s="2" t="s">
        <v>322</v>
      </c>
      <c r="F962" s="2" t="s">
        <v>224</v>
      </c>
      <c r="G962" s="2">
        <v>6</v>
      </c>
      <c r="H962" s="2">
        <v>510</v>
      </c>
      <c r="I962" s="2">
        <v>0</v>
      </c>
      <c r="J962" s="2">
        <v>3060</v>
      </c>
      <c r="K962" s="2" t="s">
        <v>94</v>
      </c>
      <c r="L962" s="2" t="s">
        <v>491</v>
      </c>
      <c r="M962" s="2" t="s">
        <v>215</v>
      </c>
    </row>
    <row r="963" spans="1:13" x14ac:dyDescent="0.25">
      <c r="A963" s="2" t="s">
        <v>1997</v>
      </c>
      <c r="B963" s="2" t="s">
        <v>402</v>
      </c>
      <c r="C963" s="2" t="s">
        <v>204</v>
      </c>
      <c r="D963" s="2" t="s">
        <v>33</v>
      </c>
      <c r="E963" s="2" t="s">
        <v>65</v>
      </c>
      <c r="F963" s="2" t="s">
        <v>126</v>
      </c>
      <c r="G963" s="2">
        <v>3</v>
      </c>
      <c r="H963" s="2">
        <v>550</v>
      </c>
      <c r="I963" s="2">
        <v>0</v>
      </c>
      <c r="J963" s="2"/>
      <c r="K963" s="2" t="s">
        <v>36</v>
      </c>
      <c r="L963" s="2" t="s">
        <v>1998</v>
      </c>
      <c r="M963" s="2" t="s">
        <v>425</v>
      </c>
    </row>
    <row r="964" spans="1:13" x14ac:dyDescent="0.25">
      <c r="A964" s="2" t="s">
        <v>1999</v>
      </c>
      <c r="B964" s="2" t="s">
        <v>2000</v>
      </c>
      <c r="C964" s="2" t="s">
        <v>238</v>
      </c>
      <c r="D964" s="2" t="s">
        <v>51</v>
      </c>
      <c r="E964" s="2"/>
      <c r="F964" s="2" t="s">
        <v>35</v>
      </c>
      <c r="G964" s="2">
        <v>12</v>
      </c>
      <c r="H964" s="2">
        <v>18550</v>
      </c>
      <c r="I964" s="2">
        <v>0</v>
      </c>
      <c r="J964" s="2">
        <v>222600</v>
      </c>
      <c r="K964" s="2" t="s">
        <v>72</v>
      </c>
      <c r="L964" s="2" t="s">
        <v>95</v>
      </c>
      <c r="M964" s="2" t="s">
        <v>47</v>
      </c>
    </row>
    <row r="965" spans="1:13" x14ac:dyDescent="0.25">
      <c r="A965" s="2" t="s">
        <v>2001</v>
      </c>
      <c r="B965" s="2" t="s">
        <v>2002</v>
      </c>
      <c r="C965" s="2" t="s">
        <v>76</v>
      </c>
      <c r="D965" s="2" t="s">
        <v>33</v>
      </c>
      <c r="E965" s="2" t="s">
        <v>195</v>
      </c>
      <c r="F965" s="2" t="s">
        <v>374</v>
      </c>
      <c r="G965" s="2">
        <v>3</v>
      </c>
      <c r="H965" s="2">
        <v>5520</v>
      </c>
      <c r="I965" s="2">
        <v>0</v>
      </c>
      <c r="J965" s="2">
        <v>16560</v>
      </c>
      <c r="K965" s="2" t="s">
        <v>133</v>
      </c>
      <c r="L965" s="2" t="s">
        <v>73</v>
      </c>
      <c r="M965" s="2" t="s">
        <v>29</v>
      </c>
    </row>
    <row r="966" spans="1:13" x14ac:dyDescent="0.25">
      <c r="A966" s="2" t="s">
        <v>2003</v>
      </c>
      <c r="B966" s="2" t="s">
        <v>2004</v>
      </c>
      <c r="C966" s="2" t="s">
        <v>135</v>
      </c>
      <c r="D966" s="2" t="s">
        <v>58</v>
      </c>
      <c r="E966" s="2" t="s">
        <v>504</v>
      </c>
      <c r="F966" s="2" t="s">
        <v>83</v>
      </c>
      <c r="G966" s="2">
        <v>3</v>
      </c>
      <c r="H966" s="2">
        <v>16230</v>
      </c>
      <c r="I966" s="2">
        <v>5</v>
      </c>
      <c r="J966" s="2">
        <v>46255.5</v>
      </c>
      <c r="K966" s="2" t="s">
        <v>102</v>
      </c>
      <c r="L966" s="2" t="s">
        <v>84</v>
      </c>
      <c r="M966" s="2" t="s">
        <v>21</v>
      </c>
    </row>
    <row r="967" spans="1:13" x14ac:dyDescent="0.25">
      <c r="A967" s="2" t="s">
        <v>2005</v>
      </c>
      <c r="B967" s="2" t="s">
        <v>768</v>
      </c>
      <c r="C967" s="2" t="s">
        <v>204</v>
      </c>
      <c r="D967" s="2" t="s">
        <v>33</v>
      </c>
      <c r="E967" s="2" t="s">
        <v>111</v>
      </c>
      <c r="F967" s="2" t="s">
        <v>224</v>
      </c>
      <c r="G967" s="2">
        <v>2</v>
      </c>
      <c r="H967" s="2">
        <v>6880</v>
      </c>
      <c r="I967" s="2">
        <v>0</v>
      </c>
      <c r="J967" s="2">
        <v>13760</v>
      </c>
      <c r="K967" s="2" t="s">
        <v>72</v>
      </c>
      <c r="L967" s="2" t="s">
        <v>61</v>
      </c>
      <c r="M967" s="2" t="s">
        <v>21</v>
      </c>
    </row>
    <row r="968" spans="1:13" x14ac:dyDescent="0.25">
      <c r="A968" s="2" t="s">
        <v>2006</v>
      </c>
      <c r="B968" s="2" t="s">
        <v>1135</v>
      </c>
      <c r="C968" s="2" t="s">
        <v>32</v>
      </c>
      <c r="D968" s="2" t="s">
        <v>33</v>
      </c>
      <c r="E968" s="2" t="s">
        <v>163</v>
      </c>
      <c r="F968" s="2" t="s">
        <v>71</v>
      </c>
      <c r="G968" s="2">
        <v>11</v>
      </c>
      <c r="H968" s="2">
        <v>12800</v>
      </c>
      <c r="I968" s="2">
        <v>0</v>
      </c>
      <c r="J968" s="2">
        <v>140800</v>
      </c>
      <c r="K968" s="2" t="s">
        <v>144</v>
      </c>
      <c r="L968" s="2" t="s">
        <v>249</v>
      </c>
      <c r="M968" s="2" t="s">
        <v>29</v>
      </c>
    </row>
    <row r="969" spans="1:13" x14ac:dyDescent="0.25">
      <c r="A969" s="2" t="s">
        <v>2007</v>
      </c>
      <c r="B969" s="2" t="s">
        <v>2008</v>
      </c>
      <c r="C969" s="2" t="s">
        <v>24</v>
      </c>
      <c r="D969" s="2" t="s">
        <v>16</v>
      </c>
      <c r="E969" s="2" t="s">
        <v>284</v>
      </c>
      <c r="F969" s="2" t="s">
        <v>60</v>
      </c>
      <c r="G969" s="2">
        <v>-3</v>
      </c>
      <c r="H969" s="2">
        <v>71860</v>
      </c>
      <c r="I969" s="2">
        <v>0</v>
      </c>
      <c r="J969" s="2">
        <v>215580</v>
      </c>
      <c r="K969" s="2" t="s">
        <v>144</v>
      </c>
      <c r="L969" s="2" t="s">
        <v>266</v>
      </c>
      <c r="M969" s="2" t="s">
        <v>821</v>
      </c>
    </row>
    <row r="970" spans="1:13" x14ac:dyDescent="0.25">
      <c r="A970" s="2" t="s">
        <v>2009</v>
      </c>
      <c r="B970" s="2" t="s">
        <v>2010</v>
      </c>
      <c r="C970" s="2" t="s">
        <v>400</v>
      </c>
      <c r="D970" s="2" t="s">
        <v>33</v>
      </c>
      <c r="E970" s="2" t="s">
        <v>322</v>
      </c>
      <c r="F970" s="2" t="s">
        <v>239</v>
      </c>
      <c r="G970" s="2">
        <v>3</v>
      </c>
      <c r="H970" s="2">
        <v>10350</v>
      </c>
      <c r="I970" s="2">
        <v>15</v>
      </c>
      <c r="J970" s="2">
        <v>26392.5</v>
      </c>
      <c r="K970" s="2" t="s">
        <v>144</v>
      </c>
      <c r="L970" s="2" t="s">
        <v>1526</v>
      </c>
      <c r="M970" s="2" t="s">
        <v>21</v>
      </c>
    </row>
    <row r="971" spans="1:13" x14ac:dyDescent="0.25">
      <c r="A971" s="2" t="s">
        <v>2011</v>
      </c>
      <c r="B971" s="2" t="s">
        <v>2012</v>
      </c>
      <c r="C971" s="2" t="s">
        <v>32</v>
      </c>
      <c r="D971" s="2" t="s">
        <v>33</v>
      </c>
      <c r="E971" s="2" t="s">
        <v>148</v>
      </c>
      <c r="F971" s="2" t="s">
        <v>167</v>
      </c>
      <c r="G971" s="2">
        <v>10</v>
      </c>
      <c r="H971" s="2">
        <v>490</v>
      </c>
      <c r="I971" s="2">
        <v>0</v>
      </c>
      <c r="J971" s="2">
        <v>4900</v>
      </c>
      <c r="K971" s="2" t="s">
        <v>19</v>
      </c>
      <c r="L971" s="2" t="s">
        <v>176</v>
      </c>
      <c r="M971" s="2" t="s">
        <v>21</v>
      </c>
    </row>
    <row r="972" spans="1:13" x14ac:dyDescent="0.25">
      <c r="A972" s="2" t="s">
        <v>2013</v>
      </c>
      <c r="B972" s="2" t="s">
        <v>2014</v>
      </c>
      <c r="C972" s="2" t="s">
        <v>15</v>
      </c>
      <c r="D972" s="2" t="s">
        <v>16</v>
      </c>
      <c r="E972" s="2" t="s">
        <v>284</v>
      </c>
      <c r="F972" s="2" t="s">
        <v>149</v>
      </c>
      <c r="G972" s="2">
        <v>4</v>
      </c>
      <c r="H972" s="2">
        <v>1230</v>
      </c>
      <c r="I972" s="2">
        <v>10</v>
      </c>
      <c r="J972" s="2">
        <v>4428</v>
      </c>
      <c r="K972" s="2" t="s">
        <v>157</v>
      </c>
      <c r="L972" s="2" t="s">
        <v>311</v>
      </c>
      <c r="M972" s="2" t="s">
        <v>38</v>
      </c>
    </row>
    <row r="973" spans="1:13" x14ac:dyDescent="0.25">
      <c r="A973" s="2" t="s">
        <v>2015</v>
      </c>
      <c r="B973" s="2" t="s">
        <v>2016</v>
      </c>
      <c r="C973" s="2" t="s">
        <v>41</v>
      </c>
      <c r="D973" s="2" t="s">
        <v>42</v>
      </c>
      <c r="E973" s="2" t="s">
        <v>322</v>
      </c>
      <c r="F973" s="2" t="s">
        <v>180</v>
      </c>
      <c r="G973" s="2">
        <v>11</v>
      </c>
      <c r="H973" s="2">
        <v>560</v>
      </c>
      <c r="I973" s="2">
        <v>0</v>
      </c>
      <c r="J973" s="2">
        <v>6160</v>
      </c>
      <c r="K973" s="2" t="s">
        <v>102</v>
      </c>
      <c r="L973" s="2" t="s">
        <v>406</v>
      </c>
      <c r="M973" s="2" t="s">
        <v>47</v>
      </c>
    </row>
    <row r="974" spans="1:13" x14ac:dyDescent="0.25">
      <c r="A974" s="2" t="s">
        <v>2017</v>
      </c>
      <c r="B974" s="2" t="s">
        <v>203</v>
      </c>
      <c r="C974" s="2" t="s">
        <v>472</v>
      </c>
      <c r="D974" s="2" t="s">
        <v>16</v>
      </c>
      <c r="E974" s="2" t="s">
        <v>295</v>
      </c>
      <c r="F974" s="2" t="s">
        <v>66</v>
      </c>
      <c r="G974" s="2">
        <v>3</v>
      </c>
      <c r="H974" s="2">
        <v>5430</v>
      </c>
      <c r="I974" s="2">
        <v>0</v>
      </c>
      <c r="J974" s="2">
        <v>16290</v>
      </c>
      <c r="K974" s="2" t="s">
        <v>19</v>
      </c>
      <c r="L974" s="2" t="s">
        <v>888</v>
      </c>
      <c r="M974" s="2" t="s">
        <v>128</v>
      </c>
    </row>
    <row r="975" spans="1:13" x14ac:dyDescent="0.25">
      <c r="A975" s="2" t="s">
        <v>2018</v>
      </c>
      <c r="B975" s="2" t="s">
        <v>2019</v>
      </c>
      <c r="C975" s="2" t="s">
        <v>135</v>
      </c>
      <c r="D975" s="2" t="s">
        <v>58</v>
      </c>
      <c r="E975" s="2" t="s">
        <v>65</v>
      </c>
      <c r="F975" s="2" t="s">
        <v>319</v>
      </c>
      <c r="G975" s="2">
        <v>10</v>
      </c>
      <c r="H975" s="2">
        <v>5280</v>
      </c>
      <c r="I975" s="2">
        <v>0</v>
      </c>
      <c r="J975" s="2">
        <v>52800</v>
      </c>
      <c r="K975" s="2" t="s">
        <v>102</v>
      </c>
      <c r="L975" s="2" t="s">
        <v>249</v>
      </c>
      <c r="M975" s="2" t="s">
        <v>47</v>
      </c>
    </row>
    <row r="976" spans="1:13" x14ac:dyDescent="0.25">
      <c r="A976" s="2" t="s">
        <v>2020</v>
      </c>
      <c r="B976" s="2" t="s">
        <v>2021</v>
      </c>
      <c r="C976" s="2" t="s">
        <v>294</v>
      </c>
      <c r="D976" s="2" t="s">
        <v>42</v>
      </c>
      <c r="E976" s="2" t="s">
        <v>105</v>
      </c>
      <c r="F976" s="2" t="s">
        <v>93</v>
      </c>
      <c r="G976" s="2">
        <v>2</v>
      </c>
      <c r="H976" s="2">
        <v>9180</v>
      </c>
      <c r="I976" s="2">
        <v>0</v>
      </c>
      <c r="J976" s="2">
        <v>18360</v>
      </c>
      <c r="K976" s="2" t="s">
        <v>138</v>
      </c>
      <c r="L976" s="2" t="s">
        <v>411</v>
      </c>
      <c r="M976" s="2" t="s">
        <v>47</v>
      </c>
    </row>
    <row r="977" spans="1:13" x14ac:dyDescent="0.25">
      <c r="A977" s="2" t="s">
        <v>2022</v>
      </c>
      <c r="B977" s="2" t="s">
        <v>1005</v>
      </c>
      <c r="C977" s="2" t="s">
        <v>135</v>
      </c>
      <c r="D977" s="2" t="s">
        <v>58</v>
      </c>
      <c r="E977" s="2" t="s">
        <v>195</v>
      </c>
      <c r="F977" s="2" t="s">
        <v>71</v>
      </c>
      <c r="G977" s="2">
        <v>11</v>
      </c>
      <c r="H977" s="2">
        <v>1110</v>
      </c>
      <c r="I977" s="2">
        <v>15</v>
      </c>
      <c r="J977" s="2">
        <v>10378.5</v>
      </c>
      <c r="K977" s="2" t="s">
        <v>172</v>
      </c>
      <c r="L977" s="2" t="s">
        <v>79</v>
      </c>
      <c r="M977" s="2" t="s">
        <v>128</v>
      </c>
    </row>
    <row r="978" spans="1:13" x14ac:dyDescent="0.25">
      <c r="A978" s="2" t="s">
        <v>2023</v>
      </c>
      <c r="B978" s="2" t="s">
        <v>1372</v>
      </c>
      <c r="C978" s="2" t="s">
        <v>41</v>
      </c>
      <c r="D978" s="2"/>
      <c r="E978" s="2" t="s">
        <v>111</v>
      </c>
      <c r="F978" s="2" t="s">
        <v>543</v>
      </c>
      <c r="G978" s="2">
        <v>10</v>
      </c>
      <c r="H978" s="2">
        <v>480</v>
      </c>
      <c r="I978" s="2"/>
      <c r="J978" s="2">
        <v>4800</v>
      </c>
      <c r="K978" s="2" t="s">
        <v>172</v>
      </c>
      <c r="L978" s="2" t="s">
        <v>68</v>
      </c>
      <c r="M978" s="2" t="s">
        <v>29</v>
      </c>
    </row>
    <row r="979" spans="1:13" x14ac:dyDescent="0.25">
      <c r="A979" s="2" t="s">
        <v>2024</v>
      </c>
      <c r="B979" s="2" t="s">
        <v>966</v>
      </c>
      <c r="C979" s="2" t="s">
        <v>50</v>
      </c>
      <c r="D979" s="2" t="s">
        <v>51</v>
      </c>
      <c r="E979" s="2" t="s">
        <v>163</v>
      </c>
      <c r="F979" s="2" t="s">
        <v>199</v>
      </c>
      <c r="G979" s="2">
        <v>11</v>
      </c>
      <c r="H979" s="2">
        <v>13110</v>
      </c>
      <c r="I979" s="2">
        <v>5</v>
      </c>
      <c r="J979" s="2">
        <v>136999.5</v>
      </c>
      <c r="K979" s="2" t="s">
        <v>144</v>
      </c>
      <c r="L979" s="2" t="s">
        <v>428</v>
      </c>
      <c r="M979" s="2" t="s">
        <v>29</v>
      </c>
    </row>
    <row r="980" spans="1:13" x14ac:dyDescent="0.25">
      <c r="A980" s="2" t="s">
        <v>2025</v>
      </c>
      <c r="B980" s="2" t="s">
        <v>161</v>
      </c>
      <c r="C980" s="2" t="s">
        <v>156</v>
      </c>
      <c r="D980" s="2" t="s">
        <v>51</v>
      </c>
      <c r="E980" s="2" t="s">
        <v>34</v>
      </c>
      <c r="F980" s="2" t="s">
        <v>199</v>
      </c>
      <c r="G980" s="2">
        <v>5</v>
      </c>
      <c r="H980" s="2">
        <v>1360</v>
      </c>
      <c r="I980" s="2">
        <v>5</v>
      </c>
      <c r="J980" s="2">
        <v>6460</v>
      </c>
      <c r="K980" s="2" t="s">
        <v>94</v>
      </c>
      <c r="L980" s="2" t="s">
        <v>79</v>
      </c>
      <c r="M980" s="2" t="s">
        <v>29</v>
      </c>
    </row>
    <row r="981" spans="1:13" x14ac:dyDescent="0.25">
      <c r="A981" s="2" t="s">
        <v>2026</v>
      </c>
      <c r="B981" s="2" t="s">
        <v>2027</v>
      </c>
      <c r="C981" s="2" t="s">
        <v>156</v>
      </c>
      <c r="D981" s="2" t="s">
        <v>51</v>
      </c>
      <c r="E981" s="2" t="s">
        <v>125</v>
      </c>
      <c r="F981" s="2" t="s">
        <v>126</v>
      </c>
      <c r="G981" s="2">
        <v>10</v>
      </c>
      <c r="H981" s="2">
        <v>1090</v>
      </c>
      <c r="I981" s="2">
        <v>0</v>
      </c>
      <c r="J981" s="2">
        <v>10900</v>
      </c>
      <c r="K981" s="2" t="s">
        <v>144</v>
      </c>
      <c r="L981" s="2" t="s">
        <v>173</v>
      </c>
      <c r="M981" s="2" t="s">
        <v>21</v>
      </c>
    </row>
    <row r="982" spans="1:13" x14ac:dyDescent="0.25">
      <c r="A982" s="2" t="s">
        <v>2028</v>
      </c>
      <c r="B982" s="2" t="s">
        <v>226</v>
      </c>
      <c r="C982" s="2" t="s">
        <v>57</v>
      </c>
      <c r="D982" s="2" t="s">
        <v>58</v>
      </c>
      <c r="E982" s="2" t="s">
        <v>92</v>
      </c>
      <c r="F982" s="2" t="s">
        <v>115</v>
      </c>
      <c r="G982" s="2">
        <v>12</v>
      </c>
      <c r="H982" s="2">
        <v>450</v>
      </c>
      <c r="I982" s="2">
        <v>10</v>
      </c>
      <c r="J982" s="2">
        <v>4860</v>
      </c>
      <c r="K982" s="2" t="s">
        <v>144</v>
      </c>
      <c r="L982" s="2" t="s">
        <v>1229</v>
      </c>
      <c r="M982" s="2" t="s">
        <v>128</v>
      </c>
    </row>
    <row r="983" spans="1:13" x14ac:dyDescent="0.25">
      <c r="A983" s="2" t="s">
        <v>2029</v>
      </c>
      <c r="B983" s="2" t="s">
        <v>2030</v>
      </c>
      <c r="C983" s="2" t="s">
        <v>156</v>
      </c>
      <c r="D983" s="2" t="s">
        <v>51</v>
      </c>
      <c r="E983" s="2" t="s">
        <v>163</v>
      </c>
      <c r="F983" s="2" t="s">
        <v>164</v>
      </c>
      <c r="G983" s="2">
        <v>8</v>
      </c>
      <c r="H983" s="2">
        <v>450</v>
      </c>
      <c r="I983" s="2">
        <v>5</v>
      </c>
      <c r="J983" s="2">
        <v>3420</v>
      </c>
      <c r="K983" s="2" t="s">
        <v>144</v>
      </c>
      <c r="L983" s="2" t="s">
        <v>491</v>
      </c>
      <c r="M983" s="2" t="s">
        <v>21</v>
      </c>
    </row>
    <row r="984" spans="1:13" x14ac:dyDescent="0.25">
      <c r="A984" s="2" t="s">
        <v>2031</v>
      </c>
      <c r="B984" s="2" t="s">
        <v>446</v>
      </c>
      <c r="C984" s="2" t="s">
        <v>198</v>
      </c>
      <c r="D984" s="2" t="s">
        <v>42</v>
      </c>
      <c r="E984" s="2" t="s">
        <v>148</v>
      </c>
      <c r="F984" s="2" t="s">
        <v>435</v>
      </c>
      <c r="G984" s="2">
        <v>10</v>
      </c>
      <c r="H984" s="2">
        <v>1250</v>
      </c>
      <c r="I984" s="2">
        <v>0</v>
      </c>
      <c r="J984" s="2">
        <v>12500</v>
      </c>
      <c r="K984" s="2" t="s">
        <v>36</v>
      </c>
      <c r="L984" s="2" t="s">
        <v>883</v>
      </c>
      <c r="M984" s="2" t="s">
        <v>47</v>
      </c>
    </row>
    <row r="985" spans="1:13" x14ac:dyDescent="0.25">
      <c r="A985" s="2" t="s">
        <v>2032</v>
      </c>
      <c r="B985" s="2" t="s">
        <v>2033</v>
      </c>
      <c r="C985" s="2" t="s">
        <v>135</v>
      </c>
      <c r="D985" s="2" t="s">
        <v>58</v>
      </c>
      <c r="E985" s="2" t="s">
        <v>137</v>
      </c>
      <c r="F985" s="2" t="s">
        <v>164</v>
      </c>
      <c r="G985" s="2">
        <v>9</v>
      </c>
      <c r="H985" s="2">
        <v>73050</v>
      </c>
      <c r="I985" s="2">
        <v>0</v>
      </c>
      <c r="J985" s="2">
        <v>657450</v>
      </c>
      <c r="K985" s="2" t="s">
        <v>36</v>
      </c>
      <c r="L985" s="2" t="s">
        <v>176</v>
      </c>
      <c r="M985" s="2" t="s">
        <v>38</v>
      </c>
    </row>
    <row r="986" spans="1:13" x14ac:dyDescent="0.25">
      <c r="A986" s="2" t="s">
        <v>2034</v>
      </c>
      <c r="B986" s="2" t="s">
        <v>2035</v>
      </c>
      <c r="C986" s="2" t="s">
        <v>24</v>
      </c>
      <c r="D986" s="2" t="s">
        <v>16</v>
      </c>
      <c r="E986" s="2" t="s">
        <v>504</v>
      </c>
      <c r="F986" s="2" t="s">
        <v>252</v>
      </c>
      <c r="G986" s="2">
        <v>4</v>
      </c>
      <c r="H986" s="2">
        <v>5110</v>
      </c>
      <c r="I986" s="2">
        <v>0</v>
      </c>
      <c r="J986" s="2" t="s">
        <v>152</v>
      </c>
      <c r="K986" s="2" t="s">
        <v>138</v>
      </c>
      <c r="L986" s="2" t="s">
        <v>796</v>
      </c>
      <c r="M986" s="2" t="s">
        <v>47</v>
      </c>
    </row>
    <row r="987" spans="1:13" x14ac:dyDescent="0.25">
      <c r="A987" s="2" t="s">
        <v>2036</v>
      </c>
      <c r="B987" s="2" t="s">
        <v>1825</v>
      </c>
      <c r="C987" s="2" t="s">
        <v>198</v>
      </c>
      <c r="D987" s="2" t="s">
        <v>42</v>
      </c>
      <c r="E987" s="2"/>
      <c r="F987" s="2" t="s">
        <v>149</v>
      </c>
      <c r="G987" s="2">
        <v>11</v>
      </c>
      <c r="H987" s="2">
        <v>10090</v>
      </c>
      <c r="I987" s="2">
        <v>0</v>
      </c>
      <c r="J987" s="2">
        <v>110990</v>
      </c>
      <c r="K987" s="2" t="s">
        <v>205</v>
      </c>
      <c r="L987" s="2" t="s">
        <v>214</v>
      </c>
      <c r="M987" s="2" t="s">
        <v>38</v>
      </c>
    </row>
    <row r="988" spans="1:13" x14ac:dyDescent="0.25">
      <c r="A988" s="2" t="s">
        <v>2037</v>
      </c>
      <c r="B988" s="2" t="s">
        <v>2038</v>
      </c>
      <c r="C988" s="2"/>
      <c r="D988" s="2" t="s">
        <v>51</v>
      </c>
      <c r="E988" s="2" t="s">
        <v>119</v>
      </c>
      <c r="F988" s="2" t="s">
        <v>248</v>
      </c>
      <c r="G988" s="2">
        <v>11</v>
      </c>
      <c r="H988" s="2"/>
      <c r="I988" s="2">
        <v>15</v>
      </c>
      <c r="J988" s="2">
        <v>35997.5</v>
      </c>
      <c r="K988" s="2" t="s">
        <v>172</v>
      </c>
      <c r="L988" s="2" t="s">
        <v>883</v>
      </c>
      <c r="M988" s="2" t="s">
        <v>47</v>
      </c>
    </row>
    <row r="989" spans="1:13" x14ac:dyDescent="0.25">
      <c r="A989" s="2" t="s">
        <v>853</v>
      </c>
      <c r="B989" s="2" t="s">
        <v>14</v>
      </c>
      <c r="C989" s="2" t="s">
        <v>198</v>
      </c>
      <c r="D989" s="2" t="s">
        <v>42</v>
      </c>
      <c r="E989" s="2" t="s">
        <v>179</v>
      </c>
      <c r="F989" s="2" t="s">
        <v>78</v>
      </c>
      <c r="G989" s="2">
        <v>2</v>
      </c>
      <c r="H989" s="2">
        <v>13110</v>
      </c>
      <c r="I989" s="2">
        <v>10</v>
      </c>
      <c r="J989" s="2">
        <v>23598</v>
      </c>
      <c r="K989" s="2" t="s">
        <v>67</v>
      </c>
      <c r="L989" s="2" t="s">
        <v>79</v>
      </c>
      <c r="M989" s="2" t="s">
        <v>38</v>
      </c>
    </row>
    <row r="990" spans="1:13" x14ac:dyDescent="0.25">
      <c r="A990" s="2" t="s">
        <v>2039</v>
      </c>
      <c r="B990" s="2" t="s">
        <v>2040</v>
      </c>
      <c r="C990" s="2" t="s">
        <v>198</v>
      </c>
      <c r="D990" s="2" t="s">
        <v>42</v>
      </c>
      <c r="E990" s="2" t="s">
        <v>82</v>
      </c>
      <c r="F990" s="2" t="s">
        <v>83</v>
      </c>
      <c r="G990" s="2">
        <v>6</v>
      </c>
      <c r="H990" s="2">
        <v>71340</v>
      </c>
      <c r="I990" s="2">
        <v>0</v>
      </c>
      <c r="J990" s="2">
        <v>428040</v>
      </c>
      <c r="K990" s="2" t="s">
        <v>45</v>
      </c>
      <c r="L990" s="2" t="s">
        <v>311</v>
      </c>
      <c r="M990" s="2" t="s">
        <v>29</v>
      </c>
    </row>
    <row r="991" spans="1:13" x14ac:dyDescent="0.25">
      <c r="A991" s="2" t="s">
        <v>2041</v>
      </c>
      <c r="B991" s="2" t="s">
        <v>2042</v>
      </c>
      <c r="C991" s="2" t="s">
        <v>110</v>
      </c>
      <c r="D991" s="2" t="s">
        <v>33</v>
      </c>
      <c r="E991" s="2" t="s">
        <v>52</v>
      </c>
      <c r="F991" s="2" t="s">
        <v>248</v>
      </c>
      <c r="G991" s="2">
        <v>8</v>
      </c>
      <c r="H991" s="2">
        <v>62090</v>
      </c>
      <c r="I991" s="2">
        <v>0</v>
      </c>
      <c r="J991" s="2">
        <v>496720</v>
      </c>
      <c r="K991" s="2" t="s">
        <v>36</v>
      </c>
      <c r="L991" s="2" t="s">
        <v>903</v>
      </c>
      <c r="M991" s="2" t="s">
        <v>47</v>
      </c>
    </row>
    <row r="992" spans="1:13" x14ac:dyDescent="0.25">
      <c r="A992" s="2" t="s">
        <v>2043</v>
      </c>
      <c r="B992" s="2" t="s">
        <v>2044</v>
      </c>
      <c r="C992" s="2" t="s">
        <v>15</v>
      </c>
      <c r="D992" s="2" t="s">
        <v>16</v>
      </c>
      <c r="E992" s="2" t="s">
        <v>65</v>
      </c>
      <c r="F992" s="2" t="s">
        <v>319</v>
      </c>
      <c r="G992" s="2">
        <v>9</v>
      </c>
      <c r="H992" s="2">
        <v>470</v>
      </c>
      <c r="I992" s="2">
        <v>0</v>
      </c>
      <c r="J992" s="2">
        <v>4230</v>
      </c>
      <c r="K992" s="2" t="s">
        <v>45</v>
      </c>
      <c r="L992" s="2" t="s">
        <v>249</v>
      </c>
      <c r="M992" s="2" t="s">
        <v>21</v>
      </c>
    </row>
    <row r="993" spans="1:13" x14ac:dyDescent="0.25">
      <c r="A993" s="2" t="s">
        <v>2045</v>
      </c>
      <c r="B993" s="2" t="s">
        <v>2046</v>
      </c>
      <c r="C993" s="2" t="s">
        <v>24</v>
      </c>
      <c r="D993" s="2" t="s">
        <v>16</v>
      </c>
      <c r="E993" s="2" t="s">
        <v>52</v>
      </c>
      <c r="F993" s="2" t="s">
        <v>332</v>
      </c>
      <c r="G993" s="2">
        <v>2</v>
      </c>
      <c r="H993" s="2">
        <v>9450</v>
      </c>
      <c r="I993" s="2">
        <v>0</v>
      </c>
      <c r="J993" s="2">
        <v>18900</v>
      </c>
      <c r="K993" s="2" t="s">
        <v>53</v>
      </c>
      <c r="L993" s="2" t="s">
        <v>79</v>
      </c>
      <c r="M993" s="2" t="s">
        <v>47</v>
      </c>
    </row>
    <row r="994" spans="1:13" x14ac:dyDescent="0.25">
      <c r="A994" s="2" t="s">
        <v>862</v>
      </c>
      <c r="B994" s="2" t="s">
        <v>863</v>
      </c>
      <c r="C994" s="2" t="s">
        <v>449</v>
      </c>
      <c r="D994" s="2" t="s">
        <v>42</v>
      </c>
      <c r="E994" s="2" t="s">
        <v>195</v>
      </c>
      <c r="F994" s="2" t="s">
        <v>171</v>
      </c>
      <c r="G994" s="2">
        <v>7</v>
      </c>
      <c r="H994" s="2">
        <v>26330</v>
      </c>
      <c r="I994" s="2"/>
      <c r="J994" s="2">
        <v>156663.5</v>
      </c>
      <c r="K994" s="2" t="s">
        <v>53</v>
      </c>
      <c r="L994" s="2" t="s">
        <v>611</v>
      </c>
      <c r="M994" s="2"/>
    </row>
    <row r="995" spans="1:13" x14ac:dyDescent="0.25">
      <c r="A995" s="2" t="s">
        <v>2047</v>
      </c>
      <c r="B995" s="2" t="s">
        <v>2048</v>
      </c>
      <c r="C995" s="2" t="s">
        <v>76</v>
      </c>
      <c r="D995" s="2" t="s">
        <v>33</v>
      </c>
      <c r="E995" s="2" t="s">
        <v>59</v>
      </c>
      <c r="F995" s="2" t="s">
        <v>252</v>
      </c>
      <c r="G995" s="2">
        <v>5</v>
      </c>
      <c r="H995" s="2">
        <v>1280</v>
      </c>
      <c r="I995" s="2">
        <v>0</v>
      </c>
      <c r="J995" s="2">
        <v>6400</v>
      </c>
      <c r="K995" s="2" t="s">
        <v>27</v>
      </c>
      <c r="L995" s="2" t="s">
        <v>299</v>
      </c>
      <c r="M995" s="2" t="s">
        <v>128</v>
      </c>
    </row>
    <row r="996" spans="1:13" x14ac:dyDescent="0.25">
      <c r="A996" s="2" t="s">
        <v>2049</v>
      </c>
      <c r="B996" s="2" t="s">
        <v>1366</v>
      </c>
      <c r="C996" s="2" t="s">
        <v>135</v>
      </c>
      <c r="D996" s="2" t="s">
        <v>58</v>
      </c>
      <c r="E996" s="2" t="s">
        <v>92</v>
      </c>
      <c r="F996" s="2" t="s">
        <v>332</v>
      </c>
      <c r="G996" s="2">
        <v>9</v>
      </c>
      <c r="H996" s="2">
        <v>12350</v>
      </c>
      <c r="I996" s="2">
        <v>0</v>
      </c>
      <c r="J996" s="2">
        <v>111150</v>
      </c>
      <c r="K996" s="2" t="s">
        <v>36</v>
      </c>
      <c r="L996" s="2" t="s">
        <v>883</v>
      </c>
      <c r="M996" s="2" t="s">
        <v>128</v>
      </c>
    </row>
    <row r="997" spans="1:13" x14ac:dyDescent="0.25">
      <c r="A997" s="2" t="s">
        <v>2050</v>
      </c>
      <c r="B997" s="2" t="s">
        <v>2051</v>
      </c>
      <c r="C997" s="2" t="s">
        <v>156</v>
      </c>
      <c r="D997" s="2" t="s">
        <v>51</v>
      </c>
      <c r="E997" s="2" t="s">
        <v>231</v>
      </c>
      <c r="F997" s="2" t="s">
        <v>239</v>
      </c>
      <c r="G997" s="2">
        <v>6</v>
      </c>
      <c r="H997" s="2" t="s">
        <v>136</v>
      </c>
      <c r="I997" s="2">
        <v>15</v>
      </c>
      <c r="J997" s="2">
        <v>18768</v>
      </c>
      <c r="K997" s="2" t="s">
        <v>139</v>
      </c>
      <c r="L997" s="2" t="s">
        <v>349</v>
      </c>
      <c r="M997" s="2" t="s">
        <v>215</v>
      </c>
    </row>
    <row r="998" spans="1:13" x14ac:dyDescent="0.25">
      <c r="A998" s="2" t="s">
        <v>2052</v>
      </c>
      <c r="B998" s="2" t="s">
        <v>86</v>
      </c>
      <c r="C998" s="2" t="s">
        <v>218</v>
      </c>
      <c r="D998" s="2" t="s">
        <v>33</v>
      </c>
      <c r="E998" s="2" t="s">
        <v>82</v>
      </c>
      <c r="F998" s="2" t="s">
        <v>379</v>
      </c>
      <c r="G998" s="2">
        <v>7</v>
      </c>
      <c r="H998" s="2">
        <v>28300</v>
      </c>
      <c r="I998" s="2">
        <v>0</v>
      </c>
      <c r="J998" s="2">
        <v>198100</v>
      </c>
      <c r="K998" s="2" t="s">
        <v>139</v>
      </c>
      <c r="L998" s="2" t="s">
        <v>79</v>
      </c>
      <c r="M998" s="2" t="s">
        <v>47</v>
      </c>
    </row>
    <row r="999" spans="1:13" x14ac:dyDescent="0.25">
      <c r="A999" s="2" t="s">
        <v>2053</v>
      </c>
      <c r="B999" s="2" t="s">
        <v>2054</v>
      </c>
      <c r="C999" s="2" t="s">
        <v>32</v>
      </c>
      <c r="D999" s="2" t="s">
        <v>33</v>
      </c>
      <c r="E999" s="2" t="s">
        <v>25</v>
      </c>
      <c r="F999" s="2" t="s">
        <v>44</v>
      </c>
      <c r="G999" s="2">
        <v>10</v>
      </c>
      <c r="H999" s="2">
        <v>23300</v>
      </c>
      <c r="I999" s="2">
        <v>0</v>
      </c>
      <c r="J999" s="2">
        <v>233000</v>
      </c>
      <c r="K999" s="2" t="s">
        <v>205</v>
      </c>
      <c r="L999" s="2" t="s">
        <v>776</v>
      </c>
      <c r="M999" s="2" t="s">
        <v>21</v>
      </c>
    </row>
    <row r="1000" spans="1:13" x14ac:dyDescent="0.25">
      <c r="A1000" s="2" t="s">
        <v>2055</v>
      </c>
      <c r="B1000" s="2" t="s">
        <v>1292</v>
      </c>
      <c r="C1000" s="2" t="s">
        <v>162</v>
      </c>
      <c r="D1000" s="2" t="s">
        <v>33</v>
      </c>
      <c r="E1000" s="2" t="s">
        <v>100</v>
      </c>
      <c r="F1000" s="2" t="s">
        <v>132</v>
      </c>
      <c r="G1000" s="2">
        <v>9</v>
      </c>
      <c r="H1000" s="2">
        <v>3480</v>
      </c>
      <c r="I1000" s="2">
        <v>5</v>
      </c>
      <c r="J1000" s="2">
        <v>29754</v>
      </c>
      <c r="K1000" s="2" t="s">
        <v>157</v>
      </c>
      <c r="L1000" s="2" t="s">
        <v>341</v>
      </c>
      <c r="M1000" s="2" t="s">
        <v>29</v>
      </c>
    </row>
    <row r="1001" spans="1:13" x14ac:dyDescent="0.25">
      <c r="A1001" s="2" t="s">
        <v>2056</v>
      </c>
      <c r="B1001" s="2" t="s">
        <v>2057</v>
      </c>
      <c r="C1001" s="2" t="s">
        <v>472</v>
      </c>
      <c r="D1001" s="2" t="s">
        <v>16</v>
      </c>
      <c r="E1001" s="2" t="s">
        <v>504</v>
      </c>
      <c r="F1001" s="2" t="s">
        <v>60</v>
      </c>
      <c r="G1001" s="2">
        <v>8</v>
      </c>
      <c r="H1001" s="2">
        <v>5700</v>
      </c>
      <c r="I1001" s="2">
        <v>15</v>
      </c>
      <c r="J1001" s="2">
        <v>38760</v>
      </c>
      <c r="K1001" s="2" t="s">
        <v>172</v>
      </c>
      <c r="L1001" s="2" t="s">
        <v>54</v>
      </c>
      <c r="M1001" s="2" t="s">
        <v>29</v>
      </c>
    </row>
    <row r="1002" spans="1:13" x14ac:dyDescent="0.25">
      <c r="A1002" s="2" t="s">
        <v>2058</v>
      </c>
      <c r="B1002" s="2" t="s">
        <v>2059</v>
      </c>
      <c r="C1002" s="2" t="s">
        <v>41</v>
      </c>
      <c r="D1002" s="2" t="s">
        <v>42</v>
      </c>
      <c r="E1002" s="2" t="s">
        <v>34</v>
      </c>
      <c r="F1002" s="2" t="s">
        <v>171</v>
      </c>
      <c r="G1002" s="2">
        <v>5</v>
      </c>
      <c r="H1002" s="2">
        <v>23320</v>
      </c>
      <c r="I1002" s="2">
        <v>0</v>
      </c>
      <c r="J1002" s="2" t="s">
        <v>152</v>
      </c>
      <c r="K1002" s="2" t="s">
        <v>139</v>
      </c>
      <c r="L1002" s="2" t="s">
        <v>228</v>
      </c>
      <c r="M1002" s="2" t="s">
        <v>47</v>
      </c>
    </row>
    <row r="1003" spans="1:13" x14ac:dyDescent="0.25">
      <c r="A1003" s="2" t="s">
        <v>2060</v>
      </c>
      <c r="B1003" s="2" t="s">
        <v>464</v>
      </c>
      <c r="C1003" s="2" t="s">
        <v>472</v>
      </c>
      <c r="D1003" s="2" t="s">
        <v>16</v>
      </c>
      <c r="E1003" s="2" t="s">
        <v>322</v>
      </c>
      <c r="F1003" s="2" t="s">
        <v>224</v>
      </c>
      <c r="G1003" s="2">
        <v>9</v>
      </c>
      <c r="H1003" s="2">
        <v>3190</v>
      </c>
      <c r="I1003" s="2">
        <v>5</v>
      </c>
      <c r="J1003" s="2" t="s">
        <v>107</v>
      </c>
      <c r="K1003" s="2" t="s">
        <v>127</v>
      </c>
      <c r="L1003" s="2"/>
      <c r="M1003" s="2" t="s">
        <v>21</v>
      </c>
    </row>
    <row r="1004" spans="1:13" x14ac:dyDescent="0.25">
      <c r="A1004" s="2" t="s">
        <v>2061</v>
      </c>
      <c r="B1004" s="2" t="s">
        <v>2062</v>
      </c>
      <c r="C1004" s="2" t="s">
        <v>281</v>
      </c>
      <c r="D1004" s="2" t="s">
        <v>51</v>
      </c>
      <c r="E1004" s="2" t="s">
        <v>195</v>
      </c>
      <c r="F1004" s="2" t="s">
        <v>164</v>
      </c>
      <c r="G1004" s="2">
        <v>11</v>
      </c>
      <c r="H1004" s="2">
        <v>41270</v>
      </c>
      <c r="I1004" s="2">
        <v>0</v>
      </c>
      <c r="J1004" s="2">
        <v>453970</v>
      </c>
      <c r="K1004" s="2" t="s">
        <v>133</v>
      </c>
      <c r="L1004" s="2" t="s">
        <v>1281</v>
      </c>
      <c r="M1004" s="2" t="s">
        <v>21</v>
      </c>
    </row>
    <row r="1005" spans="1:13" x14ac:dyDescent="0.25">
      <c r="A1005" s="2" t="s">
        <v>2063</v>
      </c>
      <c r="B1005" s="2" t="s">
        <v>2064</v>
      </c>
      <c r="C1005" s="2" t="s">
        <v>198</v>
      </c>
      <c r="D1005" s="2" t="s">
        <v>42</v>
      </c>
      <c r="E1005" s="2" t="s">
        <v>148</v>
      </c>
      <c r="F1005" s="2" t="s">
        <v>379</v>
      </c>
      <c r="G1005" s="2">
        <v>7</v>
      </c>
      <c r="H1005" s="2">
        <v>9150</v>
      </c>
      <c r="I1005" s="2">
        <v>0</v>
      </c>
      <c r="J1005" s="2">
        <v>64050</v>
      </c>
      <c r="K1005" s="2" t="s">
        <v>139</v>
      </c>
      <c r="L1005" s="2" t="s">
        <v>79</v>
      </c>
      <c r="M1005" s="2" t="s">
        <v>38</v>
      </c>
    </row>
    <row r="1006" spans="1:13" x14ac:dyDescent="0.25">
      <c r="A1006" s="2" t="s">
        <v>2065</v>
      </c>
      <c r="B1006" s="2" t="s">
        <v>2066</v>
      </c>
      <c r="C1006" s="2" t="s">
        <v>110</v>
      </c>
      <c r="D1006" s="2" t="s">
        <v>33</v>
      </c>
      <c r="E1006" s="2"/>
      <c r="F1006" s="2" t="s">
        <v>209</v>
      </c>
      <c r="G1006" s="2">
        <v>3</v>
      </c>
      <c r="H1006" s="2">
        <v>10190</v>
      </c>
      <c r="I1006" s="2">
        <v>0</v>
      </c>
      <c r="J1006" s="2">
        <v>30570</v>
      </c>
      <c r="K1006" s="2" t="s">
        <v>120</v>
      </c>
      <c r="L1006" s="2" t="s">
        <v>341</v>
      </c>
      <c r="M1006" s="2" t="s">
        <v>21</v>
      </c>
    </row>
    <row r="1007" spans="1:13" x14ac:dyDescent="0.25">
      <c r="A1007" s="2" t="s">
        <v>2067</v>
      </c>
      <c r="B1007" s="2" t="s">
        <v>1674</v>
      </c>
      <c r="C1007" s="2" t="s">
        <v>238</v>
      </c>
      <c r="D1007" s="2" t="s">
        <v>51</v>
      </c>
      <c r="E1007" s="2" t="s">
        <v>77</v>
      </c>
      <c r="F1007" s="2" t="s">
        <v>78</v>
      </c>
      <c r="G1007" s="2">
        <v>1</v>
      </c>
      <c r="H1007" s="2">
        <v>48040</v>
      </c>
      <c r="I1007" s="2">
        <v>10</v>
      </c>
      <c r="J1007" s="2">
        <v>43236</v>
      </c>
      <c r="K1007" s="2" t="s">
        <v>102</v>
      </c>
      <c r="L1007" s="2" t="s">
        <v>758</v>
      </c>
      <c r="M1007" s="2" t="s">
        <v>128</v>
      </c>
    </row>
    <row r="1008" spans="1:13" x14ac:dyDescent="0.25">
      <c r="A1008" s="2" t="s">
        <v>2068</v>
      </c>
      <c r="B1008" s="2" t="s">
        <v>1362</v>
      </c>
      <c r="C1008" s="2" t="s">
        <v>41</v>
      </c>
      <c r="D1008" s="2" t="s">
        <v>42</v>
      </c>
      <c r="E1008" s="2" t="s">
        <v>17</v>
      </c>
      <c r="F1008" s="2" t="s">
        <v>374</v>
      </c>
      <c r="G1008" s="2">
        <v>7</v>
      </c>
      <c r="H1008" s="2">
        <v>63110</v>
      </c>
      <c r="I1008" s="2">
        <v>15</v>
      </c>
      <c r="J1008" s="2">
        <v>375504.5</v>
      </c>
      <c r="K1008" s="2" t="s">
        <v>120</v>
      </c>
      <c r="L1008" s="2" t="s">
        <v>79</v>
      </c>
      <c r="M1008" s="2" t="s">
        <v>140</v>
      </c>
    </row>
    <row r="1009" spans="1:13" x14ac:dyDescent="0.25">
      <c r="A1009" s="2" t="s">
        <v>2069</v>
      </c>
      <c r="B1009" s="2" t="s">
        <v>1046</v>
      </c>
      <c r="C1009" s="2" t="s">
        <v>162</v>
      </c>
      <c r="D1009" s="2" t="s">
        <v>33</v>
      </c>
      <c r="E1009" s="2" t="s">
        <v>119</v>
      </c>
      <c r="F1009" s="2" t="s">
        <v>106</v>
      </c>
      <c r="G1009" s="2">
        <v>12</v>
      </c>
      <c r="H1009" s="2">
        <v>1320</v>
      </c>
      <c r="I1009" s="2">
        <v>0</v>
      </c>
      <c r="J1009" s="2">
        <v>15840</v>
      </c>
      <c r="K1009" s="2" t="s">
        <v>144</v>
      </c>
      <c r="L1009" s="2" t="s">
        <v>584</v>
      </c>
      <c r="M1009" s="2" t="s">
        <v>21</v>
      </c>
    </row>
    <row r="1010" spans="1:13" x14ac:dyDescent="0.25">
      <c r="A1010" s="2" t="s">
        <v>2070</v>
      </c>
      <c r="B1010" s="2" t="s">
        <v>2071</v>
      </c>
      <c r="C1010" s="2" t="s">
        <v>124</v>
      </c>
      <c r="D1010" s="2" t="s">
        <v>51</v>
      </c>
      <c r="E1010" s="2" t="s">
        <v>82</v>
      </c>
      <c r="F1010" s="2" t="s">
        <v>83</v>
      </c>
      <c r="G1010" s="2">
        <v>1</v>
      </c>
      <c r="H1010" s="2">
        <v>7630</v>
      </c>
      <c r="I1010" s="2">
        <v>0</v>
      </c>
      <c r="J1010" s="2">
        <v>7630</v>
      </c>
      <c r="K1010" s="2" t="s">
        <v>139</v>
      </c>
      <c r="L1010" s="2" t="s">
        <v>95</v>
      </c>
      <c r="M1010" s="2"/>
    </row>
    <row r="1011" spans="1:13" x14ac:dyDescent="0.25">
      <c r="A1011" s="2" t="s">
        <v>2072</v>
      </c>
      <c r="B1011" s="2" t="s">
        <v>2073</v>
      </c>
      <c r="C1011" s="2" t="s">
        <v>244</v>
      </c>
      <c r="D1011" s="2" t="s">
        <v>42</v>
      </c>
      <c r="E1011" s="2" t="s">
        <v>59</v>
      </c>
      <c r="F1011" s="2" t="s">
        <v>60</v>
      </c>
      <c r="G1011" s="2">
        <v>5</v>
      </c>
      <c r="H1011" s="2">
        <v>510</v>
      </c>
      <c r="I1011" s="2">
        <v>0</v>
      </c>
      <c r="J1011" s="2" t="s">
        <v>138</v>
      </c>
      <c r="K1011" s="2" t="s">
        <v>144</v>
      </c>
      <c r="L1011" s="2" t="s">
        <v>256</v>
      </c>
      <c r="M1011" s="2" t="s">
        <v>38</v>
      </c>
    </row>
    <row r="1012" spans="1:13" x14ac:dyDescent="0.25">
      <c r="A1012" s="2" t="s">
        <v>2074</v>
      </c>
      <c r="B1012" s="2" t="s">
        <v>1605</v>
      </c>
      <c r="C1012" s="2" t="s">
        <v>41</v>
      </c>
      <c r="D1012" s="2" t="s">
        <v>42</v>
      </c>
      <c r="E1012" s="2" t="s">
        <v>111</v>
      </c>
      <c r="F1012" s="2" t="s">
        <v>232</v>
      </c>
      <c r="G1012" s="2">
        <v>10</v>
      </c>
      <c r="H1012" s="2">
        <v>17610</v>
      </c>
      <c r="I1012" s="2">
        <v>5</v>
      </c>
      <c r="J1012" s="2">
        <v>167295</v>
      </c>
      <c r="K1012" s="2" t="s">
        <v>19</v>
      </c>
      <c r="L1012" s="2" t="s">
        <v>791</v>
      </c>
      <c r="M1012" s="2" t="s">
        <v>47</v>
      </c>
    </row>
    <row r="1013" spans="1:13" x14ac:dyDescent="0.25">
      <c r="A1013" s="2" t="s">
        <v>2075</v>
      </c>
      <c r="B1013" s="2" t="s">
        <v>2076</v>
      </c>
      <c r="C1013" s="2" t="s">
        <v>162</v>
      </c>
      <c r="D1013" s="2" t="s">
        <v>33</v>
      </c>
      <c r="E1013" s="2" t="s">
        <v>195</v>
      </c>
      <c r="F1013" s="2" t="s">
        <v>164</v>
      </c>
      <c r="G1013" s="2">
        <v>4</v>
      </c>
      <c r="H1013" s="2">
        <v>59270</v>
      </c>
      <c r="I1013" s="2">
        <v>0</v>
      </c>
      <c r="J1013" s="2">
        <v>237080</v>
      </c>
      <c r="K1013" s="2" t="s">
        <v>72</v>
      </c>
      <c r="L1013" s="2" t="s">
        <v>107</v>
      </c>
      <c r="M1013" s="2" t="s">
        <v>21</v>
      </c>
    </row>
    <row r="1014" spans="1:13" x14ac:dyDescent="0.25">
      <c r="A1014" s="2" t="s">
        <v>2077</v>
      </c>
      <c r="B1014" s="2" t="s">
        <v>2078</v>
      </c>
      <c r="C1014" s="2" t="s">
        <v>204</v>
      </c>
      <c r="D1014" s="2" t="s">
        <v>33</v>
      </c>
      <c r="E1014" s="2" t="s">
        <v>163</v>
      </c>
      <c r="F1014" s="2" t="s">
        <v>171</v>
      </c>
      <c r="G1014" s="2">
        <v>3</v>
      </c>
      <c r="H1014" s="2">
        <v>1130</v>
      </c>
      <c r="I1014" s="2"/>
      <c r="J1014" s="2">
        <v>3390</v>
      </c>
      <c r="K1014" s="2" t="s">
        <v>205</v>
      </c>
      <c r="L1014" s="2" t="s">
        <v>791</v>
      </c>
      <c r="M1014" s="2" t="s">
        <v>21</v>
      </c>
    </row>
    <row r="1015" spans="1:13" x14ac:dyDescent="0.25">
      <c r="A1015" s="2" t="s">
        <v>895</v>
      </c>
      <c r="B1015" s="2" t="s">
        <v>896</v>
      </c>
      <c r="C1015" s="2" t="s">
        <v>204</v>
      </c>
      <c r="D1015" s="2" t="s">
        <v>33</v>
      </c>
      <c r="E1015" s="2" t="s">
        <v>111</v>
      </c>
      <c r="F1015" s="2" t="s">
        <v>543</v>
      </c>
      <c r="G1015" s="2">
        <v>6</v>
      </c>
      <c r="H1015" s="2">
        <v>69080</v>
      </c>
      <c r="I1015" s="2">
        <v>0</v>
      </c>
      <c r="J1015" s="2">
        <v>414480</v>
      </c>
      <c r="K1015" s="2" t="s">
        <v>102</v>
      </c>
      <c r="L1015" s="2" t="s">
        <v>473</v>
      </c>
      <c r="M1015" s="2" t="s">
        <v>821</v>
      </c>
    </row>
    <row r="1016" spans="1:13" x14ac:dyDescent="0.25">
      <c r="A1016" s="2" t="s">
        <v>2079</v>
      </c>
      <c r="B1016" s="2" t="s">
        <v>517</v>
      </c>
      <c r="C1016" s="2" t="s">
        <v>24</v>
      </c>
      <c r="D1016" s="2" t="s">
        <v>16</v>
      </c>
      <c r="E1016" s="2" t="s">
        <v>179</v>
      </c>
      <c r="F1016" s="2" t="s">
        <v>78</v>
      </c>
      <c r="G1016" s="2">
        <v>2</v>
      </c>
      <c r="H1016" s="2">
        <v>8150</v>
      </c>
      <c r="I1016" s="2">
        <v>5</v>
      </c>
      <c r="J1016" s="2">
        <v>15485</v>
      </c>
      <c r="K1016" s="2" t="s">
        <v>205</v>
      </c>
      <c r="L1016" s="2" t="s">
        <v>46</v>
      </c>
      <c r="M1016" s="2" t="s">
        <v>47</v>
      </c>
    </row>
    <row r="1017" spans="1:13" x14ac:dyDescent="0.25">
      <c r="A1017" s="2" t="s">
        <v>2080</v>
      </c>
      <c r="B1017" s="2" t="s">
        <v>2081</v>
      </c>
      <c r="C1017" s="2" t="s">
        <v>41</v>
      </c>
      <c r="D1017" s="2" t="s">
        <v>42</v>
      </c>
      <c r="E1017" s="2" t="s">
        <v>322</v>
      </c>
      <c r="F1017" s="2" t="s">
        <v>239</v>
      </c>
      <c r="G1017" s="2">
        <v>11</v>
      </c>
      <c r="H1017" s="2" t="s">
        <v>152</v>
      </c>
      <c r="I1017" s="2">
        <v>0</v>
      </c>
      <c r="J1017" s="2">
        <v>488510</v>
      </c>
      <c r="K1017" s="2" t="s">
        <v>102</v>
      </c>
      <c r="L1017" s="2" t="s">
        <v>88</v>
      </c>
      <c r="M1017" s="2" t="s">
        <v>96</v>
      </c>
    </row>
    <row r="1018" spans="1:13" x14ac:dyDescent="0.25">
      <c r="A1018" s="2" t="s">
        <v>2082</v>
      </c>
      <c r="B1018" s="2" t="s">
        <v>2083</v>
      </c>
      <c r="C1018" s="2" t="s">
        <v>135</v>
      </c>
      <c r="D1018" s="2" t="s">
        <v>58</v>
      </c>
      <c r="E1018" s="2" t="s">
        <v>100</v>
      </c>
      <c r="F1018" s="2" t="s">
        <v>319</v>
      </c>
      <c r="G1018" s="2">
        <v>10</v>
      </c>
      <c r="H1018" s="2">
        <v>44800</v>
      </c>
      <c r="I1018" s="2">
        <v>5</v>
      </c>
      <c r="J1018" s="2">
        <v>425600</v>
      </c>
      <c r="K1018" s="2" t="s">
        <v>19</v>
      </c>
      <c r="L1018" s="2" t="s">
        <v>88</v>
      </c>
      <c r="M1018" s="2" t="s">
        <v>47</v>
      </c>
    </row>
    <row r="1019" spans="1:13" x14ac:dyDescent="0.25">
      <c r="A1019" s="2" t="s">
        <v>2084</v>
      </c>
      <c r="B1019" s="2" t="s">
        <v>1839</v>
      </c>
      <c r="C1019" s="2" t="s">
        <v>41</v>
      </c>
      <c r="D1019" s="2" t="s">
        <v>42</v>
      </c>
      <c r="E1019" s="2" t="s">
        <v>223</v>
      </c>
      <c r="F1019" s="2" t="s">
        <v>290</v>
      </c>
      <c r="G1019" s="2">
        <v>8</v>
      </c>
      <c r="H1019" s="2">
        <v>-8600</v>
      </c>
      <c r="I1019" s="2">
        <v>0</v>
      </c>
      <c r="J1019" s="2">
        <v>68800</v>
      </c>
      <c r="K1019" s="2" t="s">
        <v>102</v>
      </c>
      <c r="L1019" s="2" t="s">
        <v>95</v>
      </c>
      <c r="M1019" s="2" t="s">
        <v>47</v>
      </c>
    </row>
    <row r="1020" spans="1:13" x14ac:dyDescent="0.25">
      <c r="A1020" s="2" t="s">
        <v>2085</v>
      </c>
      <c r="B1020" s="2" t="s">
        <v>2086</v>
      </c>
      <c r="C1020" s="2" t="s">
        <v>218</v>
      </c>
      <c r="D1020" s="2" t="s">
        <v>33</v>
      </c>
      <c r="E1020" s="2" t="s">
        <v>152</v>
      </c>
      <c r="F1020" s="2" t="s">
        <v>18</v>
      </c>
      <c r="G1020" s="2">
        <v>3</v>
      </c>
      <c r="H1020" s="2">
        <v>8540</v>
      </c>
      <c r="I1020" s="2">
        <v>10</v>
      </c>
      <c r="J1020" s="2">
        <v>23058</v>
      </c>
      <c r="K1020" s="2" t="s">
        <v>87</v>
      </c>
      <c r="L1020" s="2" t="s">
        <v>387</v>
      </c>
      <c r="M1020" s="2" t="s">
        <v>38</v>
      </c>
    </row>
    <row r="1021" spans="1:13" x14ac:dyDescent="0.25">
      <c r="A1021" s="2" t="s">
        <v>2087</v>
      </c>
      <c r="B1021" s="2" t="s">
        <v>1418</v>
      </c>
      <c r="C1021" s="2" t="s">
        <v>227</v>
      </c>
      <c r="D1021" s="2" t="s">
        <v>33</v>
      </c>
      <c r="E1021" s="2" t="s">
        <v>65</v>
      </c>
      <c r="F1021" s="2" t="s">
        <v>126</v>
      </c>
      <c r="G1021" s="2">
        <v>8</v>
      </c>
      <c r="H1021" s="2">
        <v>3880</v>
      </c>
      <c r="I1021" s="2">
        <v>15</v>
      </c>
      <c r="J1021" s="2">
        <v>26384</v>
      </c>
      <c r="K1021" s="2" t="s">
        <v>27</v>
      </c>
      <c r="L1021" s="2" t="s">
        <v>274</v>
      </c>
      <c r="M1021" s="2" t="s">
        <v>140</v>
      </c>
    </row>
    <row r="1022" spans="1:13" x14ac:dyDescent="0.25">
      <c r="A1022" s="2" t="s">
        <v>2088</v>
      </c>
      <c r="B1022" s="2" t="s">
        <v>1221</v>
      </c>
      <c r="C1022" s="2" t="s">
        <v>472</v>
      </c>
      <c r="D1022" s="2" t="s">
        <v>16</v>
      </c>
      <c r="E1022" s="2" t="s">
        <v>52</v>
      </c>
      <c r="F1022" s="2" t="s">
        <v>93</v>
      </c>
      <c r="G1022" s="2"/>
      <c r="H1022" s="2">
        <v>8120</v>
      </c>
      <c r="I1022" s="2">
        <v>0</v>
      </c>
      <c r="J1022" s="2"/>
      <c r="K1022" s="2" t="s">
        <v>53</v>
      </c>
      <c r="L1022" s="2" t="s">
        <v>698</v>
      </c>
      <c r="M1022" s="2" t="s">
        <v>47</v>
      </c>
    </row>
    <row r="1023" spans="1:13" x14ac:dyDescent="0.25">
      <c r="A1023" s="2" t="s">
        <v>2089</v>
      </c>
      <c r="B1023" s="2" t="s">
        <v>2090</v>
      </c>
      <c r="C1023" s="2" t="s">
        <v>24</v>
      </c>
      <c r="D1023" s="2" t="s">
        <v>16</v>
      </c>
      <c r="E1023" s="2" t="s">
        <v>284</v>
      </c>
      <c r="F1023" s="2" t="s">
        <v>167</v>
      </c>
      <c r="G1023" s="2">
        <v>12</v>
      </c>
      <c r="H1023" s="2">
        <v>62100</v>
      </c>
      <c r="I1023" s="2">
        <v>10</v>
      </c>
      <c r="J1023" s="2">
        <v>670680</v>
      </c>
      <c r="K1023" s="2" t="s">
        <v>133</v>
      </c>
      <c r="L1023" s="2" t="s">
        <v>168</v>
      </c>
      <c r="M1023" s="2" t="s">
        <v>38</v>
      </c>
    </row>
    <row r="1024" spans="1:13" x14ac:dyDescent="0.25">
      <c r="A1024" s="2" t="s">
        <v>2091</v>
      </c>
      <c r="B1024" s="2" t="s">
        <v>2092</v>
      </c>
      <c r="C1024" s="2" t="s">
        <v>135</v>
      </c>
      <c r="D1024" s="2" t="s">
        <v>58</v>
      </c>
      <c r="E1024" s="2" t="s">
        <v>131</v>
      </c>
      <c r="F1024" s="2" t="s">
        <v>319</v>
      </c>
      <c r="G1024" s="2">
        <v>7</v>
      </c>
      <c r="H1024" s="2">
        <v>9680</v>
      </c>
      <c r="I1024" s="2">
        <v>15</v>
      </c>
      <c r="J1024" s="2">
        <v>57596</v>
      </c>
      <c r="K1024" s="2" t="s">
        <v>36</v>
      </c>
      <c r="L1024" s="2" t="s">
        <v>54</v>
      </c>
      <c r="M1024" s="2" t="s">
        <v>38</v>
      </c>
    </row>
    <row r="1025" spans="1:13" x14ac:dyDescent="0.25">
      <c r="A1025" s="2" t="s">
        <v>2093</v>
      </c>
      <c r="B1025" s="2" t="s">
        <v>2094</v>
      </c>
      <c r="C1025" s="2" t="s">
        <v>472</v>
      </c>
      <c r="D1025" s="2" t="s">
        <v>16</v>
      </c>
      <c r="E1025" s="2" t="s">
        <v>163</v>
      </c>
      <c r="F1025" s="2" t="s">
        <v>164</v>
      </c>
      <c r="G1025" s="2">
        <v>1</v>
      </c>
      <c r="H1025" s="2">
        <v>1350</v>
      </c>
      <c r="I1025" s="2" t="s">
        <v>107</v>
      </c>
      <c r="J1025" s="2">
        <v>1350</v>
      </c>
      <c r="K1025" s="2" t="s">
        <v>102</v>
      </c>
      <c r="L1025" s="2" t="s">
        <v>20</v>
      </c>
      <c r="M1025" s="2" t="s">
        <v>47</v>
      </c>
    </row>
    <row r="1026" spans="1:13" x14ac:dyDescent="0.25">
      <c r="A1026" s="2" t="s">
        <v>2095</v>
      </c>
      <c r="B1026" s="2" t="s">
        <v>2096</v>
      </c>
      <c r="C1026" s="2" t="s">
        <v>118</v>
      </c>
      <c r="D1026" s="2" t="s">
        <v>51</v>
      </c>
      <c r="E1026" s="2" t="s">
        <v>125</v>
      </c>
      <c r="F1026" s="2" t="s">
        <v>314</v>
      </c>
      <c r="G1026" s="2">
        <v>7</v>
      </c>
      <c r="H1026" s="2">
        <v>42240</v>
      </c>
      <c r="I1026" s="2">
        <v>0</v>
      </c>
      <c r="J1026" s="2">
        <v>295680</v>
      </c>
      <c r="K1026" s="2" t="s">
        <v>67</v>
      </c>
      <c r="L1026" s="2" t="s">
        <v>46</v>
      </c>
      <c r="M1026" s="2" t="s">
        <v>21</v>
      </c>
    </row>
    <row r="1027" spans="1:13" x14ac:dyDescent="0.25">
      <c r="A1027" s="2" t="s">
        <v>2097</v>
      </c>
      <c r="B1027" s="2" t="s">
        <v>2098</v>
      </c>
      <c r="C1027" s="2" t="s">
        <v>57</v>
      </c>
      <c r="D1027" s="2" t="s">
        <v>58</v>
      </c>
      <c r="E1027" s="2" t="s">
        <v>148</v>
      </c>
      <c r="F1027" s="2" t="s">
        <v>149</v>
      </c>
      <c r="G1027" s="2">
        <v>1</v>
      </c>
      <c r="H1027" s="2">
        <v>3170</v>
      </c>
      <c r="I1027" s="2">
        <v>10</v>
      </c>
      <c r="J1027" s="2">
        <v>2853</v>
      </c>
      <c r="K1027" s="2" t="s">
        <v>172</v>
      </c>
      <c r="L1027" s="2" t="s">
        <v>369</v>
      </c>
      <c r="M1027" s="2" t="s">
        <v>21</v>
      </c>
    </row>
    <row r="1028" spans="1:13" x14ac:dyDescent="0.25">
      <c r="A1028" s="2" t="s">
        <v>2099</v>
      </c>
      <c r="B1028" s="2" t="s">
        <v>1425</v>
      </c>
      <c r="C1028" s="2" t="s">
        <v>449</v>
      </c>
      <c r="D1028" s="2" t="s">
        <v>42</v>
      </c>
      <c r="E1028" s="2" t="s">
        <v>163</v>
      </c>
      <c r="F1028" s="2" t="s">
        <v>374</v>
      </c>
      <c r="G1028" s="2">
        <v>7</v>
      </c>
      <c r="H1028" s="2">
        <v>520</v>
      </c>
      <c r="I1028" s="2">
        <v>0</v>
      </c>
      <c r="J1028" s="2">
        <v>3640</v>
      </c>
      <c r="K1028" s="2" t="s">
        <v>102</v>
      </c>
      <c r="L1028" s="2" t="s">
        <v>54</v>
      </c>
      <c r="M1028" s="2" t="s">
        <v>29</v>
      </c>
    </row>
    <row r="1029" spans="1:13" x14ac:dyDescent="0.25">
      <c r="A1029" s="2" t="s">
        <v>2100</v>
      </c>
      <c r="B1029" s="2" t="s">
        <v>2101</v>
      </c>
      <c r="C1029" s="2" t="s">
        <v>294</v>
      </c>
      <c r="D1029" s="2" t="s">
        <v>42</v>
      </c>
      <c r="E1029" s="2" t="s">
        <v>163</v>
      </c>
      <c r="F1029" s="2" t="s">
        <v>290</v>
      </c>
      <c r="G1029" s="2">
        <v>8</v>
      </c>
      <c r="H1029" s="2">
        <v>5230</v>
      </c>
      <c r="I1029" s="2">
        <v>0</v>
      </c>
      <c r="J1029" s="2">
        <v>41840</v>
      </c>
      <c r="K1029" s="2" t="s">
        <v>102</v>
      </c>
      <c r="L1029" s="2" t="s">
        <v>1929</v>
      </c>
      <c r="M1029" s="2" t="s">
        <v>47</v>
      </c>
    </row>
    <row r="1030" spans="1:13" x14ac:dyDescent="0.25">
      <c r="A1030" s="2" t="s">
        <v>2102</v>
      </c>
      <c r="B1030" s="2" t="s">
        <v>2103</v>
      </c>
      <c r="C1030" s="2" t="s">
        <v>773</v>
      </c>
      <c r="D1030" s="2" t="s">
        <v>16</v>
      </c>
      <c r="E1030" s="2" t="s">
        <v>125</v>
      </c>
      <c r="F1030" s="2" t="s">
        <v>132</v>
      </c>
      <c r="G1030" s="2">
        <v>2</v>
      </c>
      <c r="H1030" s="2">
        <v>8540</v>
      </c>
      <c r="I1030" s="2">
        <v>0</v>
      </c>
      <c r="J1030" s="2">
        <v>17080</v>
      </c>
      <c r="K1030" s="2" t="s">
        <v>133</v>
      </c>
      <c r="L1030" s="2" t="s">
        <v>1163</v>
      </c>
      <c r="M1030" s="2" t="s">
        <v>201</v>
      </c>
    </row>
    <row r="1031" spans="1:13" x14ac:dyDescent="0.25">
      <c r="A1031" s="2" t="s">
        <v>2104</v>
      </c>
      <c r="B1031" s="2" t="s">
        <v>1439</v>
      </c>
      <c r="C1031" s="2" t="s">
        <v>118</v>
      </c>
      <c r="D1031" s="2"/>
      <c r="E1031" s="2" t="s">
        <v>25</v>
      </c>
      <c r="F1031" s="2" t="s">
        <v>106</v>
      </c>
      <c r="G1031" s="2">
        <v>5</v>
      </c>
      <c r="H1031" s="2">
        <v>3240</v>
      </c>
      <c r="I1031" s="2">
        <v>15</v>
      </c>
      <c r="J1031" s="2">
        <v>13770</v>
      </c>
      <c r="K1031" s="2"/>
      <c r="L1031" s="2" t="s">
        <v>121</v>
      </c>
      <c r="M1031" s="2" t="s">
        <v>136</v>
      </c>
    </row>
    <row r="1032" spans="1:13" x14ac:dyDescent="0.25">
      <c r="A1032" s="2" t="s">
        <v>2105</v>
      </c>
      <c r="B1032" s="2" t="s">
        <v>2106</v>
      </c>
      <c r="C1032" s="2" t="s">
        <v>238</v>
      </c>
      <c r="D1032" s="2" t="s">
        <v>51</v>
      </c>
      <c r="E1032" s="2" t="s">
        <v>77</v>
      </c>
      <c r="F1032" s="2" t="s">
        <v>543</v>
      </c>
      <c r="G1032" s="2">
        <v>2</v>
      </c>
      <c r="H1032" s="2">
        <v>8840</v>
      </c>
      <c r="I1032" s="2">
        <v>10</v>
      </c>
      <c r="J1032" s="2">
        <v>15912</v>
      </c>
      <c r="K1032" s="2" t="s">
        <v>53</v>
      </c>
      <c r="L1032" s="2" t="s">
        <v>200</v>
      </c>
      <c r="M1032" s="2" t="s">
        <v>29</v>
      </c>
    </row>
    <row r="1033" spans="1:13" x14ac:dyDescent="0.25">
      <c r="A1033" s="2" t="s">
        <v>2107</v>
      </c>
      <c r="B1033" s="2" t="s">
        <v>2108</v>
      </c>
      <c r="C1033" s="2" t="s">
        <v>76</v>
      </c>
      <c r="D1033" s="2" t="s">
        <v>33</v>
      </c>
      <c r="E1033" s="2" t="s">
        <v>111</v>
      </c>
      <c r="F1033" s="2" t="s">
        <v>224</v>
      </c>
      <c r="G1033" s="2">
        <v>12</v>
      </c>
      <c r="H1033" s="2">
        <v>510</v>
      </c>
      <c r="I1033" s="2"/>
      <c r="J1033" s="2">
        <v>6120</v>
      </c>
      <c r="K1033" s="2" t="s">
        <v>172</v>
      </c>
      <c r="L1033" s="2" t="s">
        <v>411</v>
      </c>
      <c r="M1033" s="2" t="s">
        <v>140</v>
      </c>
    </row>
    <row r="1034" spans="1:13" x14ac:dyDescent="0.25">
      <c r="A1034" s="2" t="s">
        <v>2109</v>
      </c>
      <c r="B1034" s="2" t="s">
        <v>2110</v>
      </c>
      <c r="C1034" s="2" t="s">
        <v>238</v>
      </c>
      <c r="D1034" s="2" t="s">
        <v>51</v>
      </c>
      <c r="E1034" s="2" t="s">
        <v>77</v>
      </c>
      <c r="F1034" s="2" t="s">
        <v>184</v>
      </c>
      <c r="G1034" s="2">
        <v>7</v>
      </c>
      <c r="H1034" s="2">
        <v>5190</v>
      </c>
      <c r="I1034" s="2">
        <v>0</v>
      </c>
      <c r="J1034" s="2">
        <v>36330</v>
      </c>
      <c r="K1034" s="2" t="s">
        <v>157</v>
      </c>
      <c r="L1034" s="2" t="s">
        <v>411</v>
      </c>
      <c r="M1034" s="2" t="s">
        <v>821</v>
      </c>
    </row>
    <row r="1035" spans="1:13" x14ac:dyDescent="0.25">
      <c r="A1035" s="2" t="s">
        <v>2111</v>
      </c>
      <c r="B1035" s="2" t="s">
        <v>2112</v>
      </c>
      <c r="C1035" s="2"/>
      <c r="D1035" s="2" t="s">
        <v>33</v>
      </c>
      <c r="E1035" s="2" t="s">
        <v>34</v>
      </c>
      <c r="F1035" s="2" t="s">
        <v>35</v>
      </c>
      <c r="G1035" s="2">
        <v>4</v>
      </c>
      <c r="H1035" s="2">
        <v>8920</v>
      </c>
      <c r="I1035" s="2">
        <v>0</v>
      </c>
      <c r="J1035" s="2"/>
      <c r="K1035" s="2" t="s">
        <v>53</v>
      </c>
      <c r="L1035" s="2" t="s">
        <v>168</v>
      </c>
      <c r="M1035" s="2" t="s">
        <v>425</v>
      </c>
    </row>
    <row r="1036" spans="1:13" x14ac:dyDescent="0.25">
      <c r="A1036" s="2" t="s">
        <v>2113</v>
      </c>
      <c r="B1036" s="2" t="s">
        <v>456</v>
      </c>
      <c r="C1036" s="2" t="s">
        <v>138</v>
      </c>
      <c r="D1036" s="2" t="s">
        <v>33</v>
      </c>
      <c r="E1036" s="2" t="s">
        <v>131</v>
      </c>
      <c r="F1036" s="2" t="s">
        <v>126</v>
      </c>
      <c r="G1036" s="2">
        <v>7</v>
      </c>
      <c r="H1036" s="2">
        <v>1330</v>
      </c>
      <c r="I1036" s="2">
        <v>5</v>
      </c>
      <c r="J1036" s="2">
        <v>8844.5</v>
      </c>
      <c r="K1036" s="2" t="s">
        <v>102</v>
      </c>
      <c r="L1036" s="2" t="s">
        <v>73</v>
      </c>
      <c r="M1036" s="2" t="s">
        <v>29</v>
      </c>
    </row>
    <row r="1037" spans="1:13" x14ac:dyDescent="0.25">
      <c r="A1037" s="2" t="s">
        <v>2114</v>
      </c>
      <c r="B1037" s="2" t="s">
        <v>1547</v>
      </c>
      <c r="C1037" s="2" t="s">
        <v>227</v>
      </c>
      <c r="D1037" s="2" t="s">
        <v>33</v>
      </c>
      <c r="E1037" s="2" t="s">
        <v>322</v>
      </c>
      <c r="F1037" s="2" t="s">
        <v>239</v>
      </c>
      <c r="G1037" s="2">
        <v>7</v>
      </c>
      <c r="H1037" s="2">
        <v>6850</v>
      </c>
      <c r="I1037" s="2">
        <v>0</v>
      </c>
      <c r="J1037" s="2">
        <v>47950</v>
      </c>
      <c r="K1037" s="2" t="s">
        <v>144</v>
      </c>
      <c r="L1037" s="2" t="s">
        <v>341</v>
      </c>
      <c r="M1037" s="2" t="s">
        <v>47</v>
      </c>
    </row>
    <row r="1038" spans="1:13" x14ac:dyDescent="0.25">
      <c r="A1038" s="2" t="s">
        <v>2115</v>
      </c>
      <c r="B1038" s="2" t="s">
        <v>2116</v>
      </c>
      <c r="C1038" s="2" t="s">
        <v>400</v>
      </c>
      <c r="D1038" s="2" t="s">
        <v>33</v>
      </c>
      <c r="E1038" s="2" t="s">
        <v>92</v>
      </c>
      <c r="F1038" s="2" t="s">
        <v>44</v>
      </c>
      <c r="G1038" s="2">
        <v>3</v>
      </c>
      <c r="H1038" s="2">
        <v>1240</v>
      </c>
      <c r="I1038" s="2">
        <v>5</v>
      </c>
      <c r="J1038" s="2">
        <v>3534</v>
      </c>
      <c r="K1038" s="2" t="s">
        <v>157</v>
      </c>
      <c r="L1038" s="2" t="s">
        <v>176</v>
      </c>
      <c r="M1038" s="2" t="s">
        <v>215</v>
      </c>
    </row>
    <row r="1039" spans="1:13" x14ac:dyDescent="0.25">
      <c r="A1039" s="2" t="s">
        <v>2117</v>
      </c>
      <c r="B1039" s="2" t="s">
        <v>63</v>
      </c>
      <c r="C1039" s="2" t="s">
        <v>41</v>
      </c>
      <c r="D1039" s="2" t="s">
        <v>42</v>
      </c>
      <c r="E1039" s="2" t="s">
        <v>163</v>
      </c>
      <c r="F1039" s="2" t="s">
        <v>374</v>
      </c>
      <c r="G1039" s="2">
        <v>9</v>
      </c>
      <c r="H1039" s="2">
        <v>7930</v>
      </c>
      <c r="I1039" s="2">
        <v>5</v>
      </c>
      <c r="J1039" s="2">
        <v>67801.5</v>
      </c>
      <c r="K1039" s="2" t="s">
        <v>133</v>
      </c>
      <c r="L1039" s="2" t="s">
        <v>883</v>
      </c>
      <c r="M1039" s="2" t="s">
        <v>128</v>
      </c>
    </row>
    <row r="1040" spans="1:13" x14ac:dyDescent="0.25">
      <c r="A1040" s="2" t="s">
        <v>2118</v>
      </c>
      <c r="B1040" s="2" t="s">
        <v>2119</v>
      </c>
      <c r="C1040" s="2" t="s">
        <v>24</v>
      </c>
      <c r="D1040" s="2" t="s">
        <v>16</v>
      </c>
      <c r="E1040" s="2" t="s">
        <v>125</v>
      </c>
      <c r="F1040" s="2" t="s">
        <v>66</v>
      </c>
      <c r="G1040" s="2">
        <v>3</v>
      </c>
      <c r="H1040" s="2">
        <v>2280</v>
      </c>
      <c r="I1040" s="2">
        <v>5</v>
      </c>
      <c r="J1040" s="2">
        <v>6498</v>
      </c>
      <c r="K1040" s="2" t="s">
        <v>157</v>
      </c>
      <c r="L1040" s="2" t="s">
        <v>395</v>
      </c>
      <c r="M1040" s="2" t="s">
        <v>38</v>
      </c>
    </row>
    <row r="1041" spans="1:13" x14ac:dyDescent="0.25">
      <c r="A1041" s="2" t="s">
        <v>2120</v>
      </c>
      <c r="B1041" s="2" t="s">
        <v>1944</v>
      </c>
      <c r="C1041" s="2" t="s">
        <v>135</v>
      </c>
      <c r="D1041" s="2" t="s">
        <v>58</v>
      </c>
      <c r="E1041" s="2" t="s">
        <v>284</v>
      </c>
      <c r="F1041" s="2" t="s">
        <v>209</v>
      </c>
      <c r="G1041" s="2">
        <v>5</v>
      </c>
      <c r="H1041" s="2">
        <v>5280</v>
      </c>
      <c r="I1041" s="2">
        <v>0</v>
      </c>
      <c r="J1041" s="2">
        <v>26400</v>
      </c>
      <c r="K1041" s="2" t="s">
        <v>157</v>
      </c>
      <c r="L1041" s="2" t="s">
        <v>341</v>
      </c>
      <c r="M1041" s="2" t="s">
        <v>152</v>
      </c>
    </row>
    <row r="1042" spans="1:13" x14ac:dyDescent="0.25">
      <c r="A1042" s="2" t="s">
        <v>2121</v>
      </c>
      <c r="B1042" s="2" t="s">
        <v>2122</v>
      </c>
      <c r="C1042" s="2" t="s">
        <v>32</v>
      </c>
      <c r="D1042" s="2" t="s">
        <v>33</v>
      </c>
      <c r="E1042" s="2" t="s">
        <v>137</v>
      </c>
      <c r="F1042" s="2" t="s">
        <v>164</v>
      </c>
      <c r="G1042" s="2">
        <v>1</v>
      </c>
      <c r="H1042" s="2">
        <v>18090</v>
      </c>
      <c r="I1042" s="2">
        <v>0</v>
      </c>
      <c r="J1042" s="2">
        <v>18090</v>
      </c>
      <c r="K1042" s="2" t="s">
        <v>67</v>
      </c>
      <c r="L1042" s="2" t="s">
        <v>387</v>
      </c>
      <c r="M1042" s="2" t="s">
        <v>128</v>
      </c>
    </row>
    <row r="1043" spans="1:13" x14ac:dyDescent="0.25">
      <c r="A1043" s="2" t="s">
        <v>2123</v>
      </c>
      <c r="B1043" s="2" t="s">
        <v>793</v>
      </c>
      <c r="C1043" s="2" t="s">
        <v>657</v>
      </c>
      <c r="D1043" s="2" t="s">
        <v>58</v>
      </c>
      <c r="E1043" s="2" t="s">
        <v>25</v>
      </c>
      <c r="F1043" s="2" t="s">
        <v>26</v>
      </c>
      <c r="G1043" s="2">
        <v>3</v>
      </c>
      <c r="H1043" s="2">
        <v>43370</v>
      </c>
      <c r="I1043" s="2" t="s">
        <v>136</v>
      </c>
      <c r="J1043" s="2">
        <v>130110</v>
      </c>
      <c r="K1043" s="2" t="s">
        <v>27</v>
      </c>
      <c r="L1043" s="2" t="s">
        <v>411</v>
      </c>
      <c r="M1043" s="2" t="s">
        <v>47</v>
      </c>
    </row>
    <row r="1044" spans="1:13" x14ac:dyDescent="0.25">
      <c r="A1044" s="2" t="s">
        <v>2124</v>
      </c>
      <c r="B1044" s="2" t="s">
        <v>2125</v>
      </c>
      <c r="C1044" s="2" t="s">
        <v>64</v>
      </c>
      <c r="D1044" s="2" t="s">
        <v>51</v>
      </c>
      <c r="E1044" s="2" t="s">
        <v>82</v>
      </c>
      <c r="F1044" s="2" t="s">
        <v>379</v>
      </c>
      <c r="G1044" s="2">
        <v>12</v>
      </c>
      <c r="H1044" s="2">
        <v>530</v>
      </c>
      <c r="I1044" s="2">
        <v>10</v>
      </c>
      <c r="J1044" s="2">
        <v>5724</v>
      </c>
      <c r="K1044" s="2" t="s">
        <v>102</v>
      </c>
      <c r="L1044" s="2" t="s">
        <v>54</v>
      </c>
      <c r="M1044" s="2" t="s">
        <v>21</v>
      </c>
    </row>
    <row r="1045" spans="1:13" x14ac:dyDescent="0.25">
      <c r="A1045" s="2" t="s">
        <v>2126</v>
      </c>
      <c r="B1045" s="2" t="s">
        <v>2127</v>
      </c>
      <c r="C1045" s="2" t="s">
        <v>24</v>
      </c>
      <c r="D1045" s="2" t="s">
        <v>16</v>
      </c>
      <c r="E1045" s="2" t="s">
        <v>43</v>
      </c>
      <c r="F1045" s="2" t="s">
        <v>26</v>
      </c>
      <c r="G1045" s="2">
        <v>6</v>
      </c>
      <c r="H1045" s="2">
        <v>8890</v>
      </c>
      <c r="I1045" s="2">
        <v>0</v>
      </c>
      <c r="J1045" s="2">
        <v>53340</v>
      </c>
      <c r="K1045" s="2" t="s">
        <v>36</v>
      </c>
      <c r="L1045" s="2" t="s">
        <v>73</v>
      </c>
      <c r="M1045" s="2" t="s">
        <v>825</v>
      </c>
    </row>
    <row r="1046" spans="1:13" x14ac:dyDescent="0.25">
      <c r="A1046" s="2" t="s">
        <v>2128</v>
      </c>
      <c r="B1046" s="2" t="s">
        <v>2129</v>
      </c>
      <c r="C1046" s="2" t="s">
        <v>238</v>
      </c>
      <c r="D1046" s="2" t="s">
        <v>51</v>
      </c>
      <c r="E1046" s="2" t="s">
        <v>34</v>
      </c>
      <c r="F1046" s="2" t="s">
        <v>290</v>
      </c>
      <c r="G1046" s="2">
        <v>12</v>
      </c>
      <c r="H1046" s="2">
        <v>25690</v>
      </c>
      <c r="I1046" s="2">
        <v>5</v>
      </c>
      <c r="J1046" s="2">
        <v>292866</v>
      </c>
      <c r="K1046" s="2" t="s">
        <v>72</v>
      </c>
      <c r="L1046" s="2" t="s">
        <v>107</v>
      </c>
      <c r="M1046" s="2" t="s">
        <v>140</v>
      </c>
    </row>
    <row r="1047" spans="1:13" x14ac:dyDescent="0.25">
      <c r="A1047" s="2" t="s">
        <v>2130</v>
      </c>
      <c r="B1047" s="2" t="s">
        <v>360</v>
      </c>
      <c r="C1047" s="2" t="s">
        <v>238</v>
      </c>
      <c r="D1047" s="2" t="s">
        <v>51</v>
      </c>
      <c r="E1047" s="2" t="s">
        <v>195</v>
      </c>
      <c r="F1047" s="2" t="s">
        <v>290</v>
      </c>
      <c r="G1047" s="2">
        <v>6</v>
      </c>
      <c r="H1047" s="2">
        <v>4010</v>
      </c>
      <c r="I1047" s="2">
        <v>0</v>
      </c>
      <c r="J1047" s="2">
        <v>24060</v>
      </c>
      <c r="K1047" s="2" t="s">
        <v>127</v>
      </c>
      <c r="L1047" s="2" t="s">
        <v>176</v>
      </c>
      <c r="M1047" s="2" t="s">
        <v>29</v>
      </c>
    </row>
    <row r="1048" spans="1:13" x14ac:dyDescent="0.25">
      <c r="A1048" s="2" t="s">
        <v>2131</v>
      </c>
      <c r="B1048" s="2" t="s">
        <v>1640</v>
      </c>
      <c r="C1048" s="2" t="s">
        <v>135</v>
      </c>
      <c r="D1048" s="2" t="s">
        <v>58</v>
      </c>
      <c r="E1048" s="2" t="s">
        <v>92</v>
      </c>
      <c r="F1048" s="2" t="s">
        <v>115</v>
      </c>
      <c r="G1048" s="2">
        <v>2</v>
      </c>
      <c r="H1048" s="2">
        <v>10260</v>
      </c>
      <c r="I1048" s="2">
        <v>15</v>
      </c>
      <c r="J1048" s="2">
        <v>17442</v>
      </c>
      <c r="K1048" s="2" t="s">
        <v>27</v>
      </c>
      <c r="L1048" s="2" t="s">
        <v>1710</v>
      </c>
      <c r="M1048" s="2" t="s">
        <v>47</v>
      </c>
    </row>
    <row r="1049" spans="1:13" x14ac:dyDescent="0.25">
      <c r="A1049" s="2" t="s">
        <v>2132</v>
      </c>
      <c r="B1049" s="2" t="s">
        <v>2133</v>
      </c>
      <c r="C1049" s="2" t="s">
        <v>24</v>
      </c>
      <c r="D1049" s="2" t="s">
        <v>16</v>
      </c>
      <c r="E1049" s="2" t="s">
        <v>34</v>
      </c>
      <c r="F1049" s="2" t="s">
        <v>18</v>
      </c>
      <c r="G1049" s="2">
        <v>10</v>
      </c>
      <c r="H1049" s="2">
        <v>62800</v>
      </c>
      <c r="I1049" s="2">
        <v>0</v>
      </c>
      <c r="J1049" s="2">
        <v>628000</v>
      </c>
      <c r="K1049" s="2"/>
      <c r="L1049" s="2" t="s">
        <v>88</v>
      </c>
      <c r="M1049" s="2" t="s">
        <v>140</v>
      </c>
    </row>
    <row r="1050" spans="1:13" x14ac:dyDescent="0.25">
      <c r="A1050" s="2" t="s">
        <v>2134</v>
      </c>
      <c r="B1050" s="2" t="s">
        <v>2135</v>
      </c>
      <c r="C1050" s="2" t="s">
        <v>198</v>
      </c>
      <c r="D1050" s="2" t="s">
        <v>42</v>
      </c>
      <c r="E1050" s="2" t="s">
        <v>322</v>
      </c>
      <c r="F1050" s="2" t="s">
        <v>184</v>
      </c>
      <c r="G1050" s="2">
        <v>10</v>
      </c>
      <c r="H1050" s="2">
        <v>-1180</v>
      </c>
      <c r="I1050" s="2">
        <v>5</v>
      </c>
      <c r="J1050" s="2" t="s">
        <v>107</v>
      </c>
      <c r="K1050" s="2" t="s">
        <v>102</v>
      </c>
      <c r="L1050" s="2" t="s">
        <v>440</v>
      </c>
      <c r="M1050" s="2" t="s">
        <v>21</v>
      </c>
    </row>
    <row r="1051" spans="1:13" x14ac:dyDescent="0.25">
      <c r="A1051" s="2" t="s">
        <v>2136</v>
      </c>
      <c r="B1051" s="2" t="s">
        <v>2137</v>
      </c>
      <c r="C1051" s="2" t="s">
        <v>64</v>
      </c>
      <c r="D1051" s="2" t="s">
        <v>51</v>
      </c>
      <c r="E1051" s="2" t="s">
        <v>100</v>
      </c>
      <c r="F1051" s="2" t="s">
        <v>314</v>
      </c>
      <c r="G1051" s="2">
        <v>1</v>
      </c>
      <c r="H1051" s="2">
        <v>7990</v>
      </c>
      <c r="I1051" s="2">
        <v>0</v>
      </c>
      <c r="J1051" s="2">
        <v>7990</v>
      </c>
      <c r="K1051" s="2" t="s">
        <v>72</v>
      </c>
      <c r="L1051" s="2" t="s">
        <v>256</v>
      </c>
      <c r="M1051" s="2" t="s">
        <v>47</v>
      </c>
    </row>
    <row r="1052" spans="1:13" x14ac:dyDescent="0.25">
      <c r="A1052" s="2" t="s">
        <v>2138</v>
      </c>
      <c r="B1052" s="2" t="s">
        <v>1562</v>
      </c>
      <c r="C1052" s="2" t="s">
        <v>773</v>
      </c>
      <c r="D1052" s="2" t="s">
        <v>16</v>
      </c>
      <c r="E1052" s="2" t="s">
        <v>163</v>
      </c>
      <c r="F1052" s="2" t="s">
        <v>199</v>
      </c>
      <c r="G1052" s="2">
        <v>6</v>
      </c>
      <c r="H1052" s="2">
        <v>3660</v>
      </c>
      <c r="I1052" s="2">
        <v>15</v>
      </c>
      <c r="J1052" s="2">
        <v>18666</v>
      </c>
      <c r="K1052" s="2" t="s">
        <v>157</v>
      </c>
      <c r="L1052" s="2" t="s">
        <v>820</v>
      </c>
      <c r="M1052" s="2" t="s">
        <v>21</v>
      </c>
    </row>
    <row r="1053" spans="1:13" x14ac:dyDescent="0.25">
      <c r="A1053" s="2" t="s">
        <v>2139</v>
      </c>
      <c r="B1053" s="2" t="s">
        <v>669</v>
      </c>
      <c r="C1053" s="2" t="s">
        <v>227</v>
      </c>
      <c r="D1053" s="2" t="s">
        <v>33</v>
      </c>
      <c r="E1053" s="2" t="s">
        <v>179</v>
      </c>
      <c r="F1053" s="2" t="s">
        <v>78</v>
      </c>
      <c r="G1053" s="2">
        <v>0</v>
      </c>
      <c r="H1053" s="2">
        <v>2850</v>
      </c>
      <c r="I1053" s="2">
        <v>0</v>
      </c>
      <c r="J1053" s="2">
        <v>31350</v>
      </c>
      <c r="K1053" s="2" t="s">
        <v>72</v>
      </c>
      <c r="L1053" s="2" t="s">
        <v>341</v>
      </c>
      <c r="M1053" s="2" t="s">
        <v>47</v>
      </c>
    </row>
    <row r="1054" spans="1:13" x14ac:dyDescent="0.25">
      <c r="A1054" s="2" t="s">
        <v>2140</v>
      </c>
      <c r="B1054" s="2" t="s">
        <v>2141</v>
      </c>
      <c r="C1054" s="2" t="s">
        <v>156</v>
      </c>
      <c r="D1054" s="2" t="s">
        <v>51</v>
      </c>
      <c r="E1054" s="2" t="s">
        <v>119</v>
      </c>
      <c r="F1054" s="2" t="s">
        <v>44</v>
      </c>
      <c r="G1054" s="2">
        <v>9</v>
      </c>
      <c r="H1054" s="2">
        <v>65880</v>
      </c>
      <c r="I1054" s="2">
        <v>0</v>
      </c>
      <c r="J1054" s="2" t="s">
        <v>138</v>
      </c>
      <c r="K1054" s="2" t="s">
        <v>172</v>
      </c>
      <c r="L1054" s="2" t="s">
        <v>68</v>
      </c>
      <c r="M1054" s="2" t="s">
        <v>29</v>
      </c>
    </row>
    <row r="1055" spans="1:13" x14ac:dyDescent="0.25">
      <c r="A1055" s="2" t="s">
        <v>2142</v>
      </c>
      <c r="B1055" s="2" t="s">
        <v>1857</v>
      </c>
      <c r="C1055" s="2" t="s">
        <v>32</v>
      </c>
      <c r="D1055" s="2" t="s">
        <v>33</v>
      </c>
      <c r="E1055" s="2" t="s">
        <v>105</v>
      </c>
      <c r="F1055" s="2" t="s">
        <v>26</v>
      </c>
      <c r="G1055" s="2">
        <v>5</v>
      </c>
      <c r="H1055" s="2">
        <v>2250</v>
      </c>
      <c r="I1055" s="2"/>
      <c r="J1055" s="2">
        <v>11250</v>
      </c>
      <c r="K1055" s="2" t="s">
        <v>53</v>
      </c>
      <c r="L1055" s="2" t="s">
        <v>79</v>
      </c>
      <c r="M1055" s="2" t="s">
        <v>38</v>
      </c>
    </row>
    <row r="1056" spans="1:13" x14ac:dyDescent="0.25">
      <c r="A1056" s="2" t="s">
        <v>2143</v>
      </c>
      <c r="B1056" s="2" t="s">
        <v>2076</v>
      </c>
      <c r="C1056" s="2" t="s">
        <v>110</v>
      </c>
      <c r="D1056" s="2" t="s">
        <v>33</v>
      </c>
      <c r="E1056" s="2" t="s">
        <v>295</v>
      </c>
      <c r="F1056" s="2" t="s">
        <v>296</v>
      </c>
      <c r="G1056" s="2">
        <v>8</v>
      </c>
      <c r="H1056" s="2">
        <v>1260</v>
      </c>
      <c r="I1056" s="2">
        <v>0</v>
      </c>
      <c r="J1056" s="2">
        <v>10080</v>
      </c>
      <c r="K1056" s="2" t="s">
        <v>144</v>
      </c>
      <c r="L1056" s="2" t="s">
        <v>68</v>
      </c>
      <c r="M1056" s="2" t="s">
        <v>152</v>
      </c>
    </row>
    <row r="1057" spans="1:13" x14ac:dyDescent="0.25">
      <c r="A1057" s="2" t="s">
        <v>2144</v>
      </c>
      <c r="B1057" s="2" t="s">
        <v>2145</v>
      </c>
      <c r="C1057" s="2" t="s">
        <v>213</v>
      </c>
      <c r="D1057" s="2" t="s">
        <v>58</v>
      </c>
      <c r="E1057" s="2" t="s">
        <v>65</v>
      </c>
      <c r="F1057" s="2" t="s">
        <v>296</v>
      </c>
      <c r="G1057" s="2">
        <v>10</v>
      </c>
      <c r="H1057" s="2">
        <v>69090</v>
      </c>
      <c r="I1057" s="2">
        <v>0</v>
      </c>
      <c r="J1057" s="2">
        <v>690900</v>
      </c>
      <c r="K1057" s="2" t="s">
        <v>120</v>
      </c>
      <c r="L1057" s="2" t="s">
        <v>274</v>
      </c>
      <c r="M1057" s="2" t="s">
        <v>21</v>
      </c>
    </row>
    <row r="1058" spans="1:13" x14ac:dyDescent="0.25">
      <c r="A1058" s="2" t="s">
        <v>2146</v>
      </c>
      <c r="B1058" s="2" t="s">
        <v>1891</v>
      </c>
      <c r="C1058" s="2" t="s">
        <v>1465</v>
      </c>
      <c r="D1058" s="2" t="s">
        <v>51</v>
      </c>
      <c r="E1058" s="2" t="s">
        <v>231</v>
      </c>
      <c r="F1058" s="2" t="s">
        <v>232</v>
      </c>
      <c r="G1058" s="2">
        <v>3</v>
      </c>
      <c r="H1058" s="2">
        <v>12890</v>
      </c>
      <c r="I1058" s="2">
        <v>0</v>
      </c>
      <c r="J1058" s="2">
        <v>38670</v>
      </c>
      <c r="K1058" s="2" t="s">
        <v>133</v>
      </c>
      <c r="L1058" s="2" t="s">
        <v>223</v>
      </c>
      <c r="M1058" s="2" t="s">
        <v>96</v>
      </c>
    </row>
    <row r="1059" spans="1:13" x14ac:dyDescent="0.25">
      <c r="A1059" s="2" t="s">
        <v>2147</v>
      </c>
      <c r="B1059" s="2" t="s">
        <v>1192</v>
      </c>
      <c r="C1059" s="2" t="s">
        <v>472</v>
      </c>
      <c r="D1059" s="2" t="s">
        <v>16</v>
      </c>
      <c r="E1059" s="2" t="s">
        <v>163</v>
      </c>
      <c r="F1059" s="2" t="s">
        <v>374</v>
      </c>
      <c r="G1059" s="2">
        <v>10</v>
      </c>
      <c r="H1059" s="2">
        <v>8460</v>
      </c>
      <c r="I1059" s="2">
        <v>0</v>
      </c>
      <c r="J1059" s="2">
        <v>84600</v>
      </c>
      <c r="K1059" s="2" t="s">
        <v>72</v>
      </c>
      <c r="L1059" s="2" t="s">
        <v>54</v>
      </c>
      <c r="M1059" s="2" t="s">
        <v>47</v>
      </c>
    </row>
    <row r="1060" spans="1:13" x14ac:dyDescent="0.25">
      <c r="A1060" s="2" t="s">
        <v>2148</v>
      </c>
      <c r="B1060" s="2" t="s">
        <v>2149</v>
      </c>
      <c r="C1060" s="2" t="s">
        <v>107</v>
      </c>
      <c r="D1060" s="2" t="s">
        <v>16</v>
      </c>
      <c r="E1060" s="2" t="s">
        <v>100</v>
      </c>
      <c r="F1060" s="2" t="s">
        <v>132</v>
      </c>
      <c r="G1060" s="2">
        <v>11</v>
      </c>
      <c r="H1060" s="2">
        <v>24510</v>
      </c>
      <c r="I1060" s="2">
        <v>5</v>
      </c>
      <c r="J1060" s="2">
        <v>256129.5</v>
      </c>
      <c r="K1060" s="2" t="s">
        <v>127</v>
      </c>
      <c r="L1060" s="2" t="s">
        <v>188</v>
      </c>
      <c r="M1060" s="2" t="s">
        <v>29</v>
      </c>
    </row>
    <row r="1061" spans="1:13" x14ac:dyDescent="0.25">
      <c r="A1061" s="2" t="s">
        <v>2150</v>
      </c>
      <c r="B1061" s="2" t="s">
        <v>2057</v>
      </c>
      <c r="C1061" s="2" t="s">
        <v>24</v>
      </c>
      <c r="D1061" s="2" t="s">
        <v>16</v>
      </c>
      <c r="E1061" s="2" t="s">
        <v>17</v>
      </c>
      <c r="F1061" s="2" t="s">
        <v>164</v>
      </c>
      <c r="G1061" s="2">
        <v>4</v>
      </c>
      <c r="H1061" s="2">
        <v>4510</v>
      </c>
      <c r="I1061" s="2">
        <v>5</v>
      </c>
      <c r="J1061" s="2">
        <v>17138</v>
      </c>
      <c r="K1061" s="2" t="s">
        <v>72</v>
      </c>
      <c r="L1061" s="2" t="s">
        <v>440</v>
      </c>
      <c r="M1061" s="2" t="s">
        <v>29</v>
      </c>
    </row>
    <row r="1062" spans="1:13" x14ac:dyDescent="0.25">
      <c r="A1062" s="2" t="s">
        <v>2151</v>
      </c>
      <c r="B1062" s="2" t="s">
        <v>2152</v>
      </c>
      <c r="C1062" s="2" t="s">
        <v>57</v>
      </c>
      <c r="D1062" s="2" t="s">
        <v>58</v>
      </c>
      <c r="E1062" s="2" t="s">
        <v>223</v>
      </c>
      <c r="F1062" s="2" t="s">
        <v>232</v>
      </c>
      <c r="G1062" s="2">
        <v>9</v>
      </c>
      <c r="H1062" s="2">
        <v>24560</v>
      </c>
      <c r="I1062" s="2">
        <v>0</v>
      </c>
      <c r="J1062" s="2">
        <v>221040</v>
      </c>
      <c r="K1062" s="2" t="s">
        <v>139</v>
      </c>
      <c r="L1062" s="2" t="s">
        <v>411</v>
      </c>
      <c r="M1062" s="2"/>
    </row>
    <row r="1063" spans="1:13" x14ac:dyDescent="0.25">
      <c r="A1063" s="2" t="s">
        <v>2153</v>
      </c>
      <c r="B1063" s="2" t="s">
        <v>2154</v>
      </c>
      <c r="C1063" s="2" t="s">
        <v>156</v>
      </c>
      <c r="D1063" s="2" t="s">
        <v>51</v>
      </c>
      <c r="E1063" s="2" t="s">
        <v>43</v>
      </c>
      <c r="F1063" s="2" t="s">
        <v>44</v>
      </c>
      <c r="G1063" s="2" t="s">
        <v>138</v>
      </c>
      <c r="H1063" s="2">
        <v>19660</v>
      </c>
      <c r="I1063" s="2">
        <v>0</v>
      </c>
      <c r="J1063" s="2">
        <v>176940</v>
      </c>
      <c r="K1063" s="2" t="s">
        <v>172</v>
      </c>
      <c r="L1063" s="2" t="s">
        <v>220</v>
      </c>
      <c r="M1063" s="2" t="s">
        <v>29</v>
      </c>
    </row>
    <row r="1064" spans="1:13" x14ac:dyDescent="0.25">
      <c r="A1064" s="2" t="s">
        <v>2155</v>
      </c>
      <c r="B1064" s="2" t="s">
        <v>2156</v>
      </c>
      <c r="C1064" s="2" t="s">
        <v>213</v>
      </c>
      <c r="D1064" s="2" t="s">
        <v>58</v>
      </c>
      <c r="E1064" s="2"/>
      <c r="F1064" s="2" t="s">
        <v>239</v>
      </c>
      <c r="G1064" s="2">
        <v>7</v>
      </c>
      <c r="H1064" s="2"/>
      <c r="I1064" s="2">
        <v>15</v>
      </c>
      <c r="J1064" s="2">
        <v>28917</v>
      </c>
      <c r="K1064" s="2" t="s">
        <v>72</v>
      </c>
      <c r="L1064" s="2" t="s">
        <v>491</v>
      </c>
      <c r="M1064" s="2" t="s">
        <v>201</v>
      </c>
    </row>
    <row r="1065" spans="1:13" x14ac:dyDescent="0.25">
      <c r="A1065" s="2" t="s">
        <v>2157</v>
      </c>
      <c r="B1065" s="2" t="s">
        <v>693</v>
      </c>
      <c r="C1065" s="2" t="s">
        <v>204</v>
      </c>
      <c r="D1065" s="2" t="s">
        <v>33</v>
      </c>
      <c r="E1065" s="2" t="s">
        <v>111</v>
      </c>
      <c r="F1065" s="2" t="s">
        <v>543</v>
      </c>
      <c r="G1065" s="2">
        <v>5</v>
      </c>
      <c r="H1065" s="2">
        <v>3870</v>
      </c>
      <c r="I1065" s="2">
        <v>15</v>
      </c>
      <c r="J1065" s="2">
        <v>16447.5</v>
      </c>
      <c r="K1065" s="2" t="s">
        <v>102</v>
      </c>
      <c r="L1065" s="2" t="s">
        <v>375</v>
      </c>
      <c r="M1065" s="2" t="s">
        <v>47</v>
      </c>
    </row>
    <row r="1066" spans="1:13" x14ac:dyDescent="0.25">
      <c r="A1066" s="2" t="s">
        <v>2158</v>
      </c>
      <c r="B1066" s="2" t="s">
        <v>2159</v>
      </c>
      <c r="C1066" s="2" t="s">
        <v>50</v>
      </c>
      <c r="D1066" s="2" t="s">
        <v>51</v>
      </c>
      <c r="E1066" s="2" t="s">
        <v>231</v>
      </c>
      <c r="F1066" s="2" t="s">
        <v>543</v>
      </c>
      <c r="G1066" s="2">
        <v>6</v>
      </c>
      <c r="H1066" s="2">
        <v>3570</v>
      </c>
      <c r="I1066" s="2">
        <v>0</v>
      </c>
      <c r="J1066" s="2">
        <v>21420</v>
      </c>
      <c r="K1066" s="2" t="s">
        <v>102</v>
      </c>
      <c r="L1066" s="2" t="s">
        <v>228</v>
      </c>
      <c r="M1066" s="2" t="s">
        <v>107</v>
      </c>
    </row>
    <row r="1067" spans="1:13" x14ac:dyDescent="0.25">
      <c r="A1067" s="2" t="s">
        <v>2160</v>
      </c>
      <c r="B1067" s="2" t="s">
        <v>1859</v>
      </c>
      <c r="C1067" s="2" t="s">
        <v>238</v>
      </c>
      <c r="D1067" s="2" t="s">
        <v>51</v>
      </c>
      <c r="E1067" s="2" t="s">
        <v>125</v>
      </c>
      <c r="F1067" s="2" t="s">
        <v>101</v>
      </c>
      <c r="G1067" s="2">
        <v>1</v>
      </c>
      <c r="H1067" s="2">
        <v>5040</v>
      </c>
      <c r="I1067" s="2">
        <v>0</v>
      </c>
      <c r="J1067" s="2">
        <v>5040</v>
      </c>
      <c r="K1067" s="2" t="s">
        <v>144</v>
      </c>
      <c r="L1067" s="2" t="s">
        <v>79</v>
      </c>
      <c r="M1067" s="2" t="s">
        <v>21</v>
      </c>
    </row>
    <row r="1068" spans="1:13" x14ac:dyDescent="0.25">
      <c r="A1068" s="2" t="s">
        <v>2161</v>
      </c>
      <c r="B1068" s="2" t="s">
        <v>2162</v>
      </c>
      <c r="C1068" s="2" t="s">
        <v>204</v>
      </c>
      <c r="D1068" s="2" t="s">
        <v>33</v>
      </c>
      <c r="E1068" s="2" t="s">
        <v>131</v>
      </c>
      <c r="F1068" s="2" t="s">
        <v>314</v>
      </c>
      <c r="G1068" s="2">
        <v>9</v>
      </c>
      <c r="H1068" s="2">
        <v>19930</v>
      </c>
      <c r="I1068" s="2">
        <v>0</v>
      </c>
      <c r="J1068" s="2">
        <v>179370</v>
      </c>
      <c r="K1068" s="2" t="s">
        <v>53</v>
      </c>
      <c r="L1068" s="2" t="s">
        <v>406</v>
      </c>
      <c r="M1068" s="2" t="s">
        <v>47</v>
      </c>
    </row>
    <row r="1069" spans="1:13" x14ac:dyDescent="0.25">
      <c r="A1069" s="2" t="s">
        <v>2163</v>
      </c>
      <c r="B1069" s="2" t="s">
        <v>754</v>
      </c>
      <c r="C1069" s="2" t="s">
        <v>198</v>
      </c>
      <c r="D1069" s="2" t="s">
        <v>42</v>
      </c>
      <c r="E1069" s="2" t="s">
        <v>92</v>
      </c>
      <c r="F1069" s="2" t="s">
        <v>255</v>
      </c>
      <c r="G1069" s="2">
        <v>10</v>
      </c>
      <c r="H1069" s="2">
        <v>8030</v>
      </c>
      <c r="I1069" s="2">
        <v>0</v>
      </c>
      <c r="J1069" s="2">
        <v>80300</v>
      </c>
      <c r="K1069" s="2" t="s">
        <v>19</v>
      </c>
      <c r="L1069" s="2" t="s">
        <v>341</v>
      </c>
      <c r="M1069" s="2" t="s">
        <v>201</v>
      </c>
    </row>
    <row r="1070" spans="1:13" x14ac:dyDescent="0.25">
      <c r="A1070" s="2" t="s">
        <v>2164</v>
      </c>
      <c r="B1070" s="2" t="s">
        <v>1055</v>
      </c>
      <c r="C1070" s="2" t="s">
        <v>76</v>
      </c>
      <c r="D1070" s="2" t="s">
        <v>33</v>
      </c>
      <c r="E1070" s="2" t="s">
        <v>34</v>
      </c>
      <c r="F1070" s="2" t="s">
        <v>18</v>
      </c>
      <c r="G1070" s="2">
        <v>8</v>
      </c>
      <c r="H1070" s="2">
        <v>3900</v>
      </c>
      <c r="I1070" s="2">
        <v>15</v>
      </c>
      <c r="J1070" s="2">
        <v>26520</v>
      </c>
      <c r="K1070" s="2" t="s">
        <v>45</v>
      </c>
      <c r="L1070" s="2" t="s">
        <v>188</v>
      </c>
      <c r="M1070" s="2" t="s">
        <v>128</v>
      </c>
    </row>
    <row r="1071" spans="1:13" x14ac:dyDescent="0.25">
      <c r="A1071" s="2" t="s">
        <v>2165</v>
      </c>
      <c r="B1071" s="2" t="s">
        <v>722</v>
      </c>
      <c r="C1071" s="2" t="s">
        <v>50</v>
      </c>
      <c r="D1071" s="2" t="s">
        <v>51</v>
      </c>
      <c r="E1071" s="2" t="s">
        <v>92</v>
      </c>
      <c r="F1071" s="2" t="s">
        <v>255</v>
      </c>
      <c r="G1071" s="2">
        <v>3</v>
      </c>
      <c r="H1071" s="2">
        <v>3820</v>
      </c>
      <c r="I1071" s="2">
        <v>10</v>
      </c>
      <c r="J1071" s="2">
        <v>10314</v>
      </c>
      <c r="K1071" s="2" t="s">
        <v>36</v>
      </c>
      <c r="L1071" s="2" t="s">
        <v>584</v>
      </c>
      <c r="M1071" s="2" t="s">
        <v>21</v>
      </c>
    </row>
    <row r="1072" spans="1:13" x14ac:dyDescent="0.25">
      <c r="A1072" s="2" t="s">
        <v>2166</v>
      </c>
      <c r="B1072" s="2" t="s">
        <v>2167</v>
      </c>
      <c r="C1072" s="2" t="s">
        <v>135</v>
      </c>
      <c r="D1072" s="2" t="s">
        <v>58</v>
      </c>
      <c r="E1072" s="2" t="s">
        <v>148</v>
      </c>
      <c r="F1072" s="2" t="s">
        <v>83</v>
      </c>
      <c r="G1072" s="2">
        <v>10</v>
      </c>
      <c r="H1072" s="2">
        <v>6770</v>
      </c>
      <c r="I1072" s="2">
        <v>0</v>
      </c>
      <c r="J1072" s="2">
        <v>67700</v>
      </c>
      <c r="K1072" s="2" t="s">
        <v>27</v>
      </c>
      <c r="L1072" s="2" t="s">
        <v>138</v>
      </c>
      <c r="M1072" s="2" t="s">
        <v>128</v>
      </c>
    </row>
    <row r="1073" spans="1:13" x14ac:dyDescent="0.25">
      <c r="A1073" s="2" t="s">
        <v>2168</v>
      </c>
      <c r="B1073" s="2" t="s">
        <v>305</v>
      </c>
      <c r="C1073" s="2" t="s">
        <v>24</v>
      </c>
      <c r="D1073" s="2" t="s">
        <v>16</v>
      </c>
      <c r="E1073" s="2" t="s">
        <v>137</v>
      </c>
      <c r="F1073" s="2" t="s">
        <v>199</v>
      </c>
      <c r="G1073" s="2">
        <v>7</v>
      </c>
      <c r="H1073" s="2">
        <v>9820</v>
      </c>
      <c r="I1073" s="2">
        <v>15</v>
      </c>
      <c r="J1073" s="2">
        <v>58429</v>
      </c>
      <c r="K1073" s="2" t="s">
        <v>120</v>
      </c>
      <c r="L1073" s="2" t="s">
        <v>168</v>
      </c>
      <c r="M1073" s="2" t="s">
        <v>38</v>
      </c>
    </row>
    <row r="1074" spans="1:13" x14ac:dyDescent="0.25">
      <c r="A1074" s="2" t="s">
        <v>2169</v>
      </c>
      <c r="B1074" s="2" t="s">
        <v>2170</v>
      </c>
      <c r="C1074" s="2" t="s">
        <v>449</v>
      </c>
      <c r="D1074" s="2" t="s">
        <v>42</v>
      </c>
      <c r="E1074" s="2" t="s">
        <v>25</v>
      </c>
      <c r="F1074" s="2" t="s">
        <v>115</v>
      </c>
      <c r="G1074" s="2">
        <v>1</v>
      </c>
      <c r="H1074" s="2">
        <v>71850</v>
      </c>
      <c r="I1074" s="2" t="s">
        <v>107</v>
      </c>
      <c r="J1074" s="2">
        <v>71850</v>
      </c>
      <c r="K1074" s="2" t="s">
        <v>157</v>
      </c>
      <c r="L1074" s="2" t="s">
        <v>883</v>
      </c>
      <c r="M1074" s="2" t="s">
        <v>140</v>
      </c>
    </row>
    <row r="1075" spans="1:13" x14ac:dyDescent="0.25">
      <c r="A1075" s="2" t="s">
        <v>2171</v>
      </c>
      <c r="B1075" s="2" t="s">
        <v>1950</v>
      </c>
      <c r="C1075" s="2" t="s">
        <v>472</v>
      </c>
      <c r="D1075" s="2" t="s">
        <v>16</v>
      </c>
      <c r="E1075" s="2" t="s">
        <v>43</v>
      </c>
      <c r="F1075" s="2" t="s">
        <v>248</v>
      </c>
      <c r="G1075" s="2">
        <v>10</v>
      </c>
      <c r="H1075" s="2">
        <v>1310</v>
      </c>
      <c r="I1075" s="2">
        <v>0</v>
      </c>
      <c r="J1075" s="2">
        <v>13100</v>
      </c>
      <c r="K1075" s="2" t="s">
        <v>157</v>
      </c>
      <c r="L1075" s="2" t="s">
        <v>46</v>
      </c>
      <c r="M1075" s="2" t="s">
        <v>128</v>
      </c>
    </row>
    <row r="1076" spans="1:13" x14ac:dyDescent="0.25">
      <c r="A1076" s="2" t="s">
        <v>2172</v>
      </c>
      <c r="B1076" s="2" t="s">
        <v>2173</v>
      </c>
      <c r="C1076" s="2" t="s">
        <v>110</v>
      </c>
      <c r="D1076" s="2" t="s">
        <v>33</v>
      </c>
      <c r="E1076" s="2" t="s">
        <v>322</v>
      </c>
      <c r="F1076" s="2" t="s">
        <v>180</v>
      </c>
      <c r="G1076" s="2">
        <v>12</v>
      </c>
      <c r="H1076" s="2">
        <v>1240</v>
      </c>
      <c r="I1076" s="2">
        <v>15</v>
      </c>
      <c r="J1076" s="2">
        <v>12648</v>
      </c>
      <c r="K1076" s="2" t="s">
        <v>94</v>
      </c>
      <c r="L1076" s="2" t="s">
        <v>249</v>
      </c>
      <c r="M1076" s="2" t="s">
        <v>210</v>
      </c>
    </row>
    <row r="1077" spans="1:13" x14ac:dyDescent="0.25">
      <c r="A1077" s="2" t="s">
        <v>2174</v>
      </c>
      <c r="B1077" s="2" t="s">
        <v>1473</v>
      </c>
      <c r="C1077" s="2" t="s">
        <v>156</v>
      </c>
      <c r="D1077" s="2" t="s">
        <v>51</v>
      </c>
      <c r="E1077" s="2" t="s">
        <v>284</v>
      </c>
      <c r="F1077" s="2" t="s">
        <v>60</v>
      </c>
      <c r="G1077" s="2" t="s">
        <v>107</v>
      </c>
      <c r="H1077" s="2">
        <v>480</v>
      </c>
      <c r="I1077" s="2">
        <v>0</v>
      </c>
      <c r="J1077" s="2">
        <v>480</v>
      </c>
      <c r="K1077" s="2"/>
      <c r="L1077" s="2" t="s">
        <v>223</v>
      </c>
      <c r="M1077" s="2" t="s">
        <v>128</v>
      </c>
    </row>
    <row r="1078" spans="1:13" x14ac:dyDescent="0.25">
      <c r="A1078" s="2" t="s">
        <v>2175</v>
      </c>
      <c r="B1078" s="2" t="s">
        <v>1676</v>
      </c>
      <c r="C1078" s="2" t="s">
        <v>472</v>
      </c>
      <c r="D1078" s="2" t="s">
        <v>16</v>
      </c>
      <c r="E1078" s="2" t="s">
        <v>82</v>
      </c>
      <c r="F1078" s="2" t="s">
        <v>209</v>
      </c>
      <c r="G1078" s="2" t="s">
        <v>138</v>
      </c>
      <c r="H1078" s="2">
        <v>65500</v>
      </c>
      <c r="I1078" s="2">
        <v>0</v>
      </c>
      <c r="J1078" s="2">
        <v>196500</v>
      </c>
      <c r="K1078" s="2" t="s">
        <v>67</v>
      </c>
      <c r="L1078" s="2" t="s">
        <v>903</v>
      </c>
      <c r="M1078" s="2" t="s">
        <v>152</v>
      </c>
    </row>
    <row r="1079" spans="1:13" x14ac:dyDescent="0.25">
      <c r="A1079" s="2" t="s">
        <v>2176</v>
      </c>
      <c r="B1079" s="2" t="s">
        <v>2177</v>
      </c>
      <c r="C1079" s="2" t="s">
        <v>57</v>
      </c>
      <c r="D1079" s="2" t="s">
        <v>58</v>
      </c>
      <c r="E1079" s="2" t="s">
        <v>284</v>
      </c>
      <c r="F1079" s="2" t="s">
        <v>379</v>
      </c>
      <c r="G1079" s="2">
        <v>10</v>
      </c>
      <c r="H1079" s="2">
        <v>2270</v>
      </c>
      <c r="I1079" s="2">
        <v>5</v>
      </c>
      <c r="J1079" s="2">
        <v>21565</v>
      </c>
      <c r="K1079" s="2" t="s">
        <v>205</v>
      </c>
      <c r="L1079" s="2" t="s">
        <v>411</v>
      </c>
      <c r="M1079" s="2" t="s">
        <v>128</v>
      </c>
    </row>
    <row r="1080" spans="1:13" x14ac:dyDescent="0.25">
      <c r="A1080" s="2" t="s">
        <v>2178</v>
      </c>
      <c r="B1080" s="2" t="s">
        <v>446</v>
      </c>
      <c r="C1080" s="2" t="s">
        <v>76</v>
      </c>
      <c r="D1080" s="2" t="s">
        <v>33</v>
      </c>
      <c r="E1080" s="2" t="s">
        <v>504</v>
      </c>
      <c r="F1080" s="2" t="s">
        <v>60</v>
      </c>
      <c r="G1080" s="2">
        <v>6</v>
      </c>
      <c r="H1080" s="2">
        <v>17730</v>
      </c>
      <c r="I1080" s="2">
        <v>5</v>
      </c>
      <c r="J1080" s="2">
        <v>101061</v>
      </c>
      <c r="K1080" s="2" t="s">
        <v>133</v>
      </c>
      <c r="L1080" s="2" t="s">
        <v>176</v>
      </c>
      <c r="M1080" s="2" t="s">
        <v>128</v>
      </c>
    </row>
    <row r="1081" spans="1:13" x14ac:dyDescent="0.25">
      <c r="A1081" s="2" t="s">
        <v>2179</v>
      </c>
      <c r="B1081" s="2" t="s">
        <v>2180</v>
      </c>
      <c r="C1081" s="2" t="s">
        <v>32</v>
      </c>
      <c r="D1081" s="2" t="s">
        <v>33</v>
      </c>
      <c r="E1081" s="2" t="s">
        <v>295</v>
      </c>
      <c r="F1081" s="2" t="s">
        <v>101</v>
      </c>
      <c r="G1081" s="2">
        <v>5</v>
      </c>
      <c r="H1081" s="2">
        <v>13530</v>
      </c>
      <c r="I1081" s="2">
        <v>0</v>
      </c>
      <c r="J1081" s="2">
        <v>67650</v>
      </c>
      <c r="K1081" s="2" t="s">
        <v>133</v>
      </c>
      <c r="L1081" s="2" t="s">
        <v>740</v>
      </c>
      <c r="M1081" s="2" t="s">
        <v>223</v>
      </c>
    </row>
    <row r="1082" spans="1:13" x14ac:dyDescent="0.25">
      <c r="A1082" s="2" t="s">
        <v>2181</v>
      </c>
      <c r="B1082" s="2" t="s">
        <v>362</v>
      </c>
      <c r="C1082" s="2" t="s">
        <v>76</v>
      </c>
      <c r="D1082" s="2" t="s">
        <v>33</v>
      </c>
      <c r="E1082" s="2" t="s">
        <v>119</v>
      </c>
      <c r="F1082" s="2" t="s">
        <v>115</v>
      </c>
      <c r="G1082" s="2">
        <v>10</v>
      </c>
      <c r="H1082" s="2">
        <v>27180</v>
      </c>
      <c r="I1082" s="2">
        <v>10</v>
      </c>
      <c r="J1082" s="2" t="s">
        <v>138</v>
      </c>
      <c r="K1082" s="2"/>
      <c r="L1082" s="2" t="s">
        <v>266</v>
      </c>
      <c r="M1082" s="2" t="s">
        <v>47</v>
      </c>
    </row>
    <row r="1083" spans="1:13" x14ac:dyDescent="0.25">
      <c r="A1083" s="2" t="s">
        <v>2182</v>
      </c>
      <c r="B1083" s="2" t="s">
        <v>1046</v>
      </c>
      <c r="C1083" s="2" t="s">
        <v>198</v>
      </c>
      <c r="D1083" s="2" t="s">
        <v>42</v>
      </c>
      <c r="E1083" s="2" t="s">
        <v>284</v>
      </c>
      <c r="F1083" s="2" t="s">
        <v>167</v>
      </c>
      <c r="G1083" s="2">
        <v>3</v>
      </c>
      <c r="H1083" s="2">
        <v>50360</v>
      </c>
      <c r="I1083" s="2">
        <v>10</v>
      </c>
      <c r="J1083" s="2">
        <v>135972</v>
      </c>
      <c r="K1083" s="2" t="s">
        <v>139</v>
      </c>
      <c r="L1083" s="2" t="s">
        <v>168</v>
      </c>
      <c r="M1083" s="2" t="s">
        <v>29</v>
      </c>
    </row>
    <row r="1084" spans="1:13" x14ac:dyDescent="0.25">
      <c r="A1084" s="2" t="s">
        <v>2183</v>
      </c>
      <c r="B1084" s="2" t="s">
        <v>2184</v>
      </c>
      <c r="C1084" s="2" t="s">
        <v>15</v>
      </c>
      <c r="D1084" s="2" t="s">
        <v>16</v>
      </c>
      <c r="E1084" s="2" t="s">
        <v>195</v>
      </c>
      <c r="F1084" s="2" t="s">
        <v>18</v>
      </c>
      <c r="G1084" s="2">
        <v>9</v>
      </c>
      <c r="H1084" s="2">
        <v>8490</v>
      </c>
      <c r="I1084" s="2">
        <v>0</v>
      </c>
      <c r="J1084" s="2">
        <v>76410</v>
      </c>
      <c r="K1084" s="2" t="s">
        <v>67</v>
      </c>
      <c r="L1084" s="2" t="s">
        <v>428</v>
      </c>
      <c r="M1084" s="2" t="s">
        <v>140</v>
      </c>
    </row>
    <row r="1085" spans="1:13" x14ac:dyDescent="0.25">
      <c r="A1085" s="2" t="s">
        <v>2185</v>
      </c>
      <c r="B1085" s="2" t="s">
        <v>2186</v>
      </c>
      <c r="C1085" s="2" t="s">
        <v>531</v>
      </c>
      <c r="D1085" s="2" t="s">
        <v>33</v>
      </c>
      <c r="E1085" s="2" t="s">
        <v>231</v>
      </c>
      <c r="F1085" s="2" t="s">
        <v>224</v>
      </c>
      <c r="G1085" s="2">
        <v>7</v>
      </c>
      <c r="H1085" s="2">
        <v>13610</v>
      </c>
      <c r="I1085" s="2">
        <v>15</v>
      </c>
      <c r="J1085" s="2">
        <v>80979.5</v>
      </c>
      <c r="K1085" s="2" t="s">
        <v>67</v>
      </c>
      <c r="L1085" s="2" t="s">
        <v>344</v>
      </c>
      <c r="M1085" s="2" t="s">
        <v>201</v>
      </c>
    </row>
    <row r="1086" spans="1:13" x14ac:dyDescent="0.25">
      <c r="A1086" s="2" t="s">
        <v>2187</v>
      </c>
      <c r="B1086" s="2" t="s">
        <v>1447</v>
      </c>
      <c r="C1086" s="2" t="s">
        <v>41</v>
      </c>
      <c r="D1086" s="2" t="s">
        <v>42</v>
      </c>
      <c r="E1086" s="2" t="s">
        <v>82</v>
      </c>
      <c r="F1086" s="2" t="s">
        <v>379</v>
      </c>
      <c r="G1086" s="2">
        <v>3</v>
      </c>
      <c r="H1086" s="2">
        <v>72870</v>
      </c>
      <c r="I1086" s="2">
        <v>15</v>
      </c>
      <c r="J1086" s="2">
        <v>185818.5</v>
      </c>
      <c r="K1086" s="2" t="s">
        <v>205</v>
      </c>
      <c r="L1086" s="2" t="s">
        <v>599</v>
      </c>
      <c r="M1086" s="2" t="s">
        <v>128</v>
      </c>
    </row>
    <row r="1087" spans="1:13" x14ac:dyDescent="0.25">
      <c r="A1087" s="2" t="s">
        <v>2188</v>
      </c>
      <c r="B1087" s="2" t="s">
        <v>2189</v>
      </c>
      <c r="C1087" s="2" t="s">
        <v>24</v>
      </c>
      <c r="D1087" s="2" t="s">
        <v>16</v>
      </c>
      <c r="E1087" s="2" t="s">
        <v>52</v>
      </c>
      <c r="F1087" s="2" t="s">
        <v>106</v>
      </c>
      <c r="G1087" s="2">
        <v>2</v>
      </c>
      <c r="H1087" s="2">
        <v>22900</v>
      </c>
      <c r="I1087" s="2">
        <v>0</v>
      </c>
      <c r="J1087" s="2">
        <v>45800</v>
      </c>
      <c r="K1087" s="2" t="s">
        <v>19</v>
      </c>
      <c r="L1087" s="2" t="s">
        <v>406</v>
      </c>
      <c r="M1087" s="2" t="s">
        <v>21</v>
      </c>
    </row>
    <row r="1088" spans="1:13" x14ac:dyDescent="0.25">
      <c r="A1088" s="2" t="s">
        <v>2190</v>
      </c>
      <c r="B1088" s="2" t="s">
        <v>1801</v>
      </c>
      <c r="C1088" s="2" t="s">
        <v>57</v>
      </c>
      <c r="D1088" s="2" t="s">
        <v>58</v>
      </c>
      <c r="E1088" s="2" t="s">
        <v>125</v>
      </c>
      <c r="F1088" s="2" t="s">
        <v>314</v>
      </c>
      <c r="G1088" s="2">
        <v>4</v>
      </c>
      <c r="H1088" s="2">
        <v>20050</v>
      </c>
      <c r="I1088" s="2">
        <v>10</v>
      </c>
      <c r="J1088" s="2">
        <v>72180</v>
      </c>
      <c r="K1088" s="2" t="s">
        <v>139</v>
      </c>
      <c r="L1088" s="2" t="s">
        <v>37</v>
      </c>
      <c r="M1088" s="2" t="s">
        <v>38</v>
      </c>
    </row>
    <row r="1089" spans="1:13" x14ac:dyDescent="0.25">
      <c r="A1089" s="2" t="s">
        <v>2191</v>
      </c>
      <c r="B1089" s="2" t="s">
        <v>2192</v>
      </c>
      <c r="C1089" s="2" t="s">
        <v>64</v>
      </c>
      <c r="D1089" s="2" t="s">
        <v>138</v>
      </c>
      <c r="E1089" s="2" t="s">
        <v>65</v>
      </c>
      <c r="F1089" s="2" t="s">
        <v>132</v>
      </c>
      <c r="G1089" s="2">
        <v>1</v>
      </c>
      <c r="H1089" s="2">
        <v>26160</v>
      </c>
      <c r="I1089" s="2">
        <v>0</v>
      </c>
      <c r="J1089" s="2">
        <v>26160</v>
      </c>
      <c r="K1089" s="2" t="s">
        <v>138</v>
      </c>
      <c r="L1089" s="2" t="s">
        <v>46</v>
      </c>
      <c r="M1089" s="2" t="s">
        <v>128</v>
      </c>
    </row>
    <row r="1090" spans="1:13" x14ac:dyDescent="0.25">
      <c r="A1090" s="2" t="s">
        <v>2193</v>
      </c>
      <c r="B1090" s="2" t="s">
        <v>2194</v>
      </c>
      <c r="C1090" s="2" t="s">
        <v>24</v>
      </c>
      <c r="D1090" s="2" t="s">
        <v>16</v>
      </c>
      <c r="E1090" s="2" t="s">
        <v>65</v>
      </c>
      <c r="F1090" s="2" t="s">
        <v>219</v>
      </c>
      <c r="G1090" s="2">
        <v>7</v>
      </c>
      <c r="H1090" s="2">
        <v>12770</v>
      </c>
      <c r="I1090" s="2">
        <v>15</v>
      </c>
      <c r="J1090" s="2">
        <v>75981.5</v>
      </c>
      <c r="K1090" s="2" t="s">
        <v>205</v>
      </c>
      <c r="L1090" s="2" t="s">
        <v>168</v>
      </c>
      <c r="M1090" s="2" t="s">
        <v>47</v>
      </c>
    </row>
    <row r="1091" spans="1:13" x14ac:dyDescent="0.25">
      <c r="A1091" s="2" t="s">
        <v>2195</v>
      </c>
      <c r="B1091" s="2" t="s">
        <v>1748</v>
      </c>
      <c r="C1091" s="2" t="s">
        <v>156</v>
      </c>
      <c r="D1091" s="2" t="s">
        <v>51</v>
      </c>
      <c r="E1091" s="2" t="s">
        <v>59</v>
      </c>
      <c r="F1091" s="2" t="s">
        <v>149</v>
      </c>
      <c r="G1091" s="2">
        <v>8</v>
      </c>
      <c r="H1091" s="2">
        <v>69740</v>
      </c>
      <c r="I1091" s="2">
        <v>15</v>
      </c>
      <c r="J1091" s="2">
        <v>474232</v>
      </c>
      <c r="K1091" s="2" t="s">
        <v>27</v>
      </c>
      <c r="L1091" s="2" t="s">
        <v>95</v>
      </c>
      <c r="M1091" s="2" t="s">
        <v>47</v>
      </c>
    </row>
    <row r="1092" spans="1:13" x14ac:dyDescent="0.25">
      <c r="A1092" s="2" t="s">
        <v>2196</v>
      </c>
      <c r="B1092" s="2" t="s">
        <v>2197</v>
      </c>
      <c r="C1092" s="2" t="s">
        <v>76</v>
      </c>
      <c r="D1092" s="2" t="s">
        <v>33</v>
      </c>
      <c r="E1092" s="2" t="s">
        <v>119</v>
      </c>
      <c r="F1092" s="2" t="s">
        <v>106</v>
      </c>
      <c r="G1092" s="2">
        <v>5</v>
      </c>
      <c r="H1092" s="2">
        <v>1270</v>
      </c>
      <c r="I1092" s="2">
        <v>0</v>
      </c>
      <c r="J1092" s="2">
        <v>6350</v>
      </c>
      <c r="K1092" s="2" t="s">
        <v>144</v>
      </c>
      <c r="L1092" s="2" t="s">
        <v>341</v>
      </c>
      <c r="M1092" s="2" t="s">
        <v>29</v>
      </c>
    </row>
    <row r="1093" spans="1:13" x14ac:dyDescent="0.25">
      <c r="A1093" s="2" t="s">
        <v>2198</v>
      </c>
      <c r="B1093" s="2" t="s">
        <v>2199</v>
      </c>
      <c r="C1093" s="2" t="s">
        <v>24</v>
      </c>
      <c r="D1093" s="2" t="s">
        <v>16</v>
      </c>
      <c r="E1093" s="2" t="s">
        <v>137</v>
      </c>
      <c r="F1093" s="2" t="s">
        <v>199</v>
      </c>
      <c r="G1093" s="2">
        <v>9</v>
      </c>
      <c r="H1093" s="2">
        <v>1280</v>
      </c>
      <c r="I1093" s="2">
        <v>0</v>
      </c>
      <c r="J1093" s="2">
        <v>11520</v>
      </c>
      <c r="K1093" s="2" t="s">
        <v>36</v>
      </c>
      <c r="L1093" s="2" t="s">
        <v>1086</v>
      </c>
      <c r="M1093" s="2" t="s">
        <v>29</v>
      </c>
    </row>
    <row r="1094" spans="1:13" x14ac:dyDescent="0.25">
      <c r="A1094" s="2" t="s">
        <v>2200</v>
      </c>
      <c r="B1094" s="2" t="s">
        <v>2201</v>
      </c>
      <c r="C1094" s="2" t="s">
        <v>162</v>
      </c>
      <c r="D1094" s="2" t="s">
        <v>33</v>
      </c>
      <c r="E1094" s="2" t="s">
        <v>125</v>
      </c>
      <c r="F1094" s="2" t="s">
        <v>126</v>
      </c>
      <c r="G1094" s="2" t="s">
        <v>136</v>
      </c>
      <c r="H1094" s="2">
        <v>59110</v>
      </c>
      <c r="I1094" s="2" t="s">
        <v>136</v>
      </c>
      <c r="J1094" s="2">
        <v>351704.5</v>
      </c>
      <c r="K1094" s="2" t="s">
        <v>144</v>
      </c>
      <c r="L1094" s="2" t="s">
        <v>341</v>
      </c>
      <c r="M1094" s="2" t="s">
        <v>38</v>
      </c>
    </row>
    <row r="1095" spans="1:13" x14ac:dyDescent="0.25">
      <c r="A1095" s="2" t="s">
        <v>2202</v>
      </c>
      <c r="B1095" s="2" t="s">
        <v>2203</v>
      </c>
      <c r="C1095" s="2" t="s">
        <v>238</v>
      </c>
      <c r="D1095" s="2" t="s">
        <v>51</v>
      </c>
      <c r="E1095" s="2" t="s">
        <v>125</v>
      </c>
      <c r="F1095" s="2" t="s">
        <v>132</v>
      </c>
      <c r="G1095" s="2">
        <v>8</v>
      </c>
      <c r="H1095" s="2">
        <v>3850</v>
      </c>
      <c r="I1095" s="2">
        <v>15</v>
      </c>
      <c r="J1095" s="2">
        <v>26180</v>
      </c>
      <c r="K1095" s="2" t="s">
        <v>172</v>
      </c>
      <c r="L1095" s="2" t="s">
        <v>883</v>
      </c>
      <c r="M1095" s="2" t="s">
        <v>29</v>
      </c>
    </row>
    <row r="1096" spans="1:13" x14ac:dyDescent="0.25">
      <c r="A1096" s="2" t="s">
        <v>2204</v>
      </c>
      <c r="B1096" s="2" t="s">
        <v>2149</v>
      </c>
      <c r="C1096" s="2" t="s">
        <v>32</v>
      </c>
      <c r="D1096" s="2" t="s">
        <v>33</v>
      </c>
      <c r="E1096" s="2" t="s">
        <v>148</v>
      </c>
      <c r="F1096" s="2" t="s">
        <v>167</v>
      </c>
      <c r="G1096" s="2">
        <v>5</v>
      </c>
      <c r="H1096" s="2">
        <v>8590</v>
      </c>
      <c r="I1096" s="2">
        <v>10</v>
      </c>
      <c r="J1096" s="2">
        <v>38655</v>
      </c>
      <c r="K1096" s="2" t="s">
        <v>157</v>
      </c>
      <c r="L1096" s="2" t="s">
        <v>406</v>
      </c>
      <c r="M1096" s="2" t="s">
        <v>821</v>
      </c>
    </row>
    <row r="1097" spans="1:13" x14ac:dyDescent="0.25">
      <c r="A1097" s="2" t="s">
        <v>2205</v>
      </c>
      <c r="B1097" s="2" t="s">
        <v>1562</v>
      </c>
      <c r="C1097" s="2" t="s">
        <v>156</v>
      </c>
      <c r="D1097" s="2" t="s">
        <v>51</v>
      </c>
      <c r="E1097" s="2" t="s">
        <v>43</v>
      </c>
      <c r="F1097" s="2" t="s">
        <v>26</v>
      </c>
      <c r="G1097" s="2"/>
      <c r="H1097" s="2">
        <v>480</v>
      </c>
      <c r="I1097" s="2">
        <v>0</v>
      </c>
      <c r="J1097" s="2">
        <v>1440</v>
      </c>
      <c r="K1097" s="2" t="s">
        <v>133</v>
      </c>
      <c r="L1097" s="2" t="s">
        <v>698</v>
      </c>
      <c r="M1097" s="2" t="s">
        <v>38</v>
      </c>
    </row>
    <row r="1098" spans="1:13" x14ac:dyDescent="0.25">
      <c r="A1098" s="2" t="s">
        <v>2206</v>
      </c>
      <c r="B1098" s="2" t="s">
        <v>2207</v>
      </c>
      <c r="C1098" s="2" t="s">
        <v>32</v>
      </c>
      <c r="D1098" s="2" t="s">
        <v>33</v>
      </c>
      <c r="E1098" s="2" t="s">
        <v>92</v>
      </c>
      <c r="F1098" s="2" t="s">
        <v>106</v>
      </c>
      <c r="G1098" s="2">
        <v>4</v>
      </c>
      <c r="H1098" s="2">
        <v>19090</v>
      </c>
      <c r="I1098" s="2">
        <v>15</v>
      </c>
      <c r="J1098" s="2"/>
      <c r="K1098" s="2" t="s">
        <v>102</v>
      </c>
      <c r="L1098" s="2" t="s">
        <v>20</v>
      </c>
      <c r="M1098" s="2" t="s">
        <v>47</v>
      </c>
    </row>
    <row r="1099" spans="1:13" x14ac:dyDescent="0.25">
      <c r="A1099" s="2" t="s">
        <v>2208</v>
      </c>
      <c r="B1099" s="2" t="s">
        <v>2209</v>
      </c>
      <c r="C1099" s="2" t="s">
        <v>76</v>
      </c>
      <c r="D1099" s="2" t="s">
        <v>33</v>
      </c>
      <c r="E1099" s="2" t="s">
        <v>119</v>
      </c>
      <c r="F1099" s="2" t="s">
        <v>93</v>
      </c>
      <c r="G1099" s="2">
        <v>9</v>
      </c>
      <c r="H1099" s="2">
        <v>44580</v>
      </c>
      <c r="I1099" s="2">
        <v>0</v>
      </c>
      <c r="J1099" s="2">
        <v>401220</v>
      </c>
      <c r="K1099" s="2" t="s">
        <v>127</v>
      </c>
      <c r="L1099" s="2" t="s">
        <v>73</v>
      </c>
      <c r="M1099" s="2" t="s">
        <v>47</v>
      </c>
    </row>
    <row r="1100" spans="1:13" x14ac:dyDescent="0.25">
      <c r="A1100" s="2" t="s">
        <v>2210</v>
      </c>
      <c r="B1100" s="2" t="s">
        <v>2211</v>
      </c>
      <c r="C1100" s="2" t="s">
        <v>227</v>
      </c>
      <c r="D1100" s="2" t="s">
        <v>33</v>
      </c>
      <c r="E1100" s="2" t="s">
        <v>105</v>
      </c>
      <c r="F1100" s="2" t="s">
        <v>248</v>
      </c>
      <c r="G1100" s="2">
        <v>10</v>
      </c>
      <c r="H1100" s="2">
        <v>1230</v>
      </c>
      <c r="I1100" s="2">
        <v>5</v>
      </c>
      <c r="J1100" s="2">
        <v>11685</v>
      </c>
      <c r="K1100" s="2" t="s">
        <v>144</v>
      </c>
      <c r="L1100" s="2" t="s">
        <v>37</v>
      </c>
      <c r="M1100" s="2" t="s">
        <v>47</v>
      </c>
    </row>
    <row r="1101" spans="1:13" x14ac:dyDescent="0.25">
      <c r="A1101" s="2" t="s">
        <v>2212</v>
      </c>
      <c r="B1101" s="2" t="s">
        <v>2213</v>
      </c>
      <c r="C1101" s="2" t="s">
        <v>238</v>
      </c>
      <c r="D1101" s="2" t="s">
        <v>51</v>
      </c>
      <c r="E1101" s="2" t="s">
        <v>111</v>
      </c>
      <c r="F1101" s="2" t="s">
        <v>143</v>
      </c>
      <c r="G1101" s="2" t="s">
        <v>223</v>
      </c>
      <c r="H1101" s="2">
        <v>72210</v>
      </c>
      <c r="I1101" s="2">
        <v>15</v>
      </c>
      <c r="J1101" s="2" t="s">
        <v>136</v>
      </c>
      <c r="K1101" s="2" t="s">
        <v>67</v>
      </c>
      <c r="L1101" s="2" t="s">
        <v>88</v>
      </c>
      <c r="M1101" s="2" t="s">
        <v>21</v>
      </c>
    </row>
    <row r="1102" spans="1:13" x14ac:dyDescent="0.25">
      <c r="A1102" s="2" t="s">
        <v>2214</v>
      </c>
      <c r="B1102" s="2" t="s">
        <v>2215</v>
      </c>
      <c r="C1102" s="2" t="s">
        <v>32</v>
      </c>
      <c r="D1102" s="2" t="s">
        <v>33</v>
      </c>
      <c r="E1102" s="2" t="s">
        <v>59</v>
      </c>
      <c r="F1102" s="2" t="s">
        <v>379</v>
      </c>
      <c r="G1102" s="2">
        <v>5</v>
      </c>
      <c r="H1102" s="2">
        <v>2840</v>
      </c>
      <c r="I1102" s="2">
        <v>0</v>
      </c>
      <c r="J1102" s="2">
        <v>14200</v>
      </c>
      <c r="K1102" s="2" t="s">
        <v>102</v>
      </c>
      <c r="L1102" s="2" t="s">
        <v>743</v>
      </c>
      <c r="M1102" s="2" t="s">
        <v>128</v>
      </c>
    </row>
    <row r="1103" spans="1:13" x14ac:dyDescent="0.25">
      <c r="A1103" s="2" t="s">
        <v>2216</v>
      </c>
      <c r="B1103" s="2" t="s">
        <v>2217</v>
      </c>
      <c r="C1103" s="2" t="s">
        <v>194</v>
      </c>
      <c r="D1103" s="2" t="s">
        <v>51</v>
      </c>
      <c r="E1103" s="2" t="s">
        <v>65</v>
      </c>
      <c r="F1103" s="2" t="s">
        <v>219</v>
      </c>
      <c r="G1103" s="2">
        <v>4</v>
      </c>
      <c r="H1103" s="2">
        <v>12100</v>
      </c>
      <c r="I1103" s="2">
        <v>0</v>
      </c>
      <c r="J1103" s="2">
        <v>48400</v>
      </c>
      <c r="K1103" s="2" t="s">
        <v>120</v>
      </c>
      <c r="L1103" s="2" t="s">
        <v>220</v>
      </c>
      <c r="M1103" s="2" t="s">
        <v>47</v>
      </c>
    </row>
    <row r="1104" spans="1:13" x14ac:dyDescent="0.25">
      <c r="A1104" s="2" t="s">
        <v>2218</v>
      </c>
      <c r="B1104" s="2" t="s">
        <v>885</v>
      </c>
      <c r="C1104" s="2" t="s">
        <v>135</v>
      </c>
      <c r="D1104" s="2" t="s">
        <v>58</v>
      </c>
      <c r="E1104" s="2" t="s">
        <v>52</v>
      </c>
      <c r="F1104" s="2" t="s">
        <v>106</v>
      </c>
      <c r="G1104" s="2" t="s">
        <v>223</v>
      </c>
      <c r="H1104" s="2">
        <v>1230</v>
      </c>
      <c r="I1104" s="2">
        <v>0</v>
      </c>
      <c r="J1104" s="2">
        <v>9840</v>
      </c>
      <c r="K1104" s="2" t="s">
        <v>27</v>
      </c>
      <c r="L1104" s="2" t="s">
        <v>311</v>
      </c>
      <c r="M1104" s="2" t="s">
        <v>47</v>
      </c>
    </row>
    <row r="1105" spans="1:13" x14ac:dyDescent="0.25">
      <c r="A1105" s="2" t="s">
        <v>2219</v>
      </c>
      <c r="B1105" s="2" t="s">
        <v>2220</v>
      </c>
      <c r="C1105" s="2" t="s">
        <v>32</v>
      </c>
      <c r="D1105" s="2" t="s">
        <v>33</v>
      </c>
      <c r="E1105" s="2" t="s">
        <v>163</v>
      </c>
      <c r="F1105" s="2" t="s">
        <v>374</v>
      </c>
      <c r="G1105" s="2">
        <v>9</v>
      </c>
      <c r="H1105" s="2">
        <v>20550</v>
      </c>
      <c r="I1105" s="2">
        <v>0</v>
      </c>
      <c r="J1105" s="2">
        <v>184950</v>
      </c>
      <c r="K1105" s="2" t="s">
        <v>144</v>
      </c>
      <c r="L1105" s="2" t="s">
        <v>121</v>
      </c>
      <c r="M1105" s="2" t="s">
        <v>140</v>
      </c>
    </row>
    <row r="1106" spans="1:13" x14ac:dyDescent="0.25">
      <c r="A1106" s="2" t="s">
        <v>2221</v>
      </c>
      <c r="B1106" s="2" t="s">
        <v>2222</v>
      </c>
      <c r="C1106" s="2" t="s">
        <v>198</v>
      </c>
      <c r="D1106" s="2" t="s">
        <v>42</v>
      </c>
      <c r="E1106" s="2" t="s">
        <v>111</v>
      </c>
      <c r="F1106" s="2" t="s">
        <v>180</v>
      </c>
      <c r="G1106" s="2">
        <v>4</v>
      </c>
      <c r="H1106" s="2">
        <v>560</v>
      </c>
      <c r="I1106" s="2">
        <v>0</v>
      </c>
      <c r="J1106" s="2">
        <v>2240</v>
      </c>
      <c r="K1106" s="2" t="s">
        <v>87</v>
      </c>
      <c r="L1106" s="2" t="s">
        <v>68</v>
      </c>
      <c r="M1106" s="2" t="s">
        <v>215</v>
      </c>
    </row>
    <row r="1107" spans="1:13" x14ac:dyDescent="0.25">
      <c r="A1107" s="2" t="s">
        <v>2223</v>
      </c>
      <c r="B1107" s="2" t="s">
        <v>2224</v>
      </c>
      <c r="C1107" s="2" t="s">
        <v>416</v>
      </c>
      <c r="D1107" s="2" t="s">
        <v>33</v>
      </c>
      <c r="E1107" s="2"/>
      <c r="F1107" s="2" t="s">
        <v>379</v>
      </c>
      <c r="G1107" s="2">
        <v>1</v>
      </c>
      <c r="H1107" s="2">
        <v>8460</v>
      </c>
      <c r="I1107" s="2">
        <v>10</v>
      </c>
      <c r="J1107" s="2">
        <v>7614</v>
      </c>
      <c r="K1107" s="2" t="s">
        <v>133</v>
      </c>
      <c r="L1107" s="2" t="s">
        <v>720</v>
      </c>
      <c r="M1107" s="2" t="s">
        <v>47</v>
      </c>
    </row>
    <row r="1108" spans="1:13" x14ac:dyDescent="0.25">
      <c r="A1108" s="2" t="s">
        <v>2225</v>
      </c>
      <c r="B1108" s="2" t="s">
        <v>2004</v>
      </c>
      <c r="C1108" s="2" t="s">
        <v>238</v>
      </c>
      <c r="D1108" s="2" t="s">
        <v>51</v>
      </c>
      <c r="E1108" s="2" t="s">
        <v>82</v>
      </c>
      <c r="F1108" s="2" t="s">
        <v>149</v>
      </c>
      <c r="G1108" s="2">
        <v>1</v>
      </c>
      <c r="H1108" s="2">
        <v>9880</v>
      </c>
      <c r="I1108" s="2">
        <v>10</v>
      </c>
      <c r="J1108" s="2">
        <v>8892</v>
      </c>
      <c r="K1108" s="2" t="s">
        <v>94</v>
      </c>
      <c r="L1108" s="2" t="s">
        <v>2226</v>
      </c>
      <c r="M1108" s="2" t="s">
        <v>140</v>
      </c>
    </row>
    <row r="1109" spans="1:13" x14ac:dyDescent="0.25">
      <c r="A1109" s="2" t="s">
        <v>2227</v>
      </c>
      <c r="B1109" s="2" t="s">
        <v>2228</v>
      </c>
      <c r="C1109" s="2" t="s">
        <v>152</v>
      </c>
      <c r="D1109" s="2" t="s">
        <v>42</v>
      </c>
      <c r="E1109" s="2" t="s">
        <v>17</v>
      </c>
      <c r="F1109" s="2" t="s">
        <v>290</v>
      </c>
      <c r="G1109" s="2">
        <v>12</v>
      </c>
      <c r="H1109" s="2">
        <v>12540</v>
      </c>
      <c r="I1109" s="2">
        <v>10</v>
      </c>
      <c r="J1109" s="2">
        <v>135432</v>
      </c>
      <c r="K1109" s="2" t="s">
        <v>27</v>
      </c>
      <c r="L1109" s="2" t="s">
        <v>1007</v>
      </c>
      <c r="M1109" s="2" t="s">
        <v>47</v>
      </c>
    </row>
    <row r="1110" spans="1:13" x14ac:dyDescent="0.25">
      <c r="A1110" s="2" t="s">
        <v>2229</v>
      </c>
      <c r="B1110" s="2" t="s">
        <v>2230</v>
      </c>
      <c r="C1110" s="2" t="s">
        <v>156</v>
      </c>
      <c r="D1110" s="2" t="s">
        <v>51</v>
      </c>
      <c r="E1110" s="2" t="s">
        <v>322</v>
      </c>
      <c r="F1110" s="2" t="s">
        <v>184</v>
      </c>
      <c r="G1110" s="2">
        <v>10</v>
      </c>
      <c r="H1110" s="2">
        <v>4770</v>
      </c>
      <c r="I1110" s="2">
        <v>15</v>
      </c>
      <c r="J1110" s="2">
        <v>40545</v>
      </c>
      <c r="K1110" s="2" t="s">
        <v>67</v>
      </c>
      <c r="L1110" s="2" t="s">
        <v>266</v>
      </c>
      <c r="M1110" s="2" t="s">
        <v>128</v>
      </c>
    </row>
    <row r="1111" spans="1:13" x14ac:dyDescent="0.25">
      <c r="A1111" s="2" t="s">
        <v>2231</v>
      </c>
      <c r="B1111" s="2" t="s">
        <v>2232</v>
      </c>
      <c r="C1111" s="2" t="s">
        <v>135</v>
      </c>
      <c r="D1111" s="2" t="s">
        <v>58</v>
      </c>
      <c r="E1111" s="2" t="s">
        <v>295</v>
      </c>
      <c r="F1111" s="2" t="s">
        <v>101</v>
      </c>
      <c r="G1111" s="2">
        <v>7</v>
      </c>
      <c r="H1111" s="2">
        <v>17300</v>
      </c>
      <c r="I1111" s="2">
        <v>0</v>
      </c>
      <c r="J1111" s="2">
        <v>121100</v>
      </c>
      <c r="K1111" s="2" t="s">
        <v>67</v>
      </c>
      <c r="L1111" s="2" t="s">
        <v>271</v>
      </c>
      <c r="M1111" s="2" t="s">
        <v>21</v>
      </c>
    </row>
    <row r="1112" spans="1:13" x14ac:dyDescent="0.25">
      <c r="A1112" s="2" t="s">
        <v>2233</v>
      </c>
      <c r="B1112" s="2" t="s">
        <v>2234</v>
      </c>
      <c r="C1112" s="2" t="s">
        <v>920</v>
      </c>
      <c r="D1112" s="2" t="s">
        <v>58</v>
      </c>
      <c r="E1112" s="2" t="s">
        <v>100</v>
      </c>
      <c r="F1112" s="2" t="s">
        <v>126</v>
      </c>
      <c r="G1112" s="2">
        <v>8</v>
      </c>
      <c r="H1112" s="2">
        <v>13660</v>
      </c>
      <c r="I1112" s="2">
        <v>15</v>
      </c>
      <c r="J1112" s="2">
        <v>92888</v>
      </c>
      <c r="K1112" s="2" t="s">
        <v>133</v>
      </c>
      <c r="L1112" s="2" t="s">
        <v>84</v>
      </c>
      <c r="M1112" s="2" t="s">
        <v>128</v>
      </c>
    </row>
    <row r="1113" spans="1:13" x14ac:dyDescent="0.25">
      <c r="A1113" s="2" t="s">
        <v>2235</v>
      </c>
      <c r="B1113" s="2" t="s">
        <v>2236</v>
      </c>
      <c r="C1113" s="2" t="s">
        <v>156</v>
      </c>
      <c r="D1113" s="2" t="s">
        <v>51</v>
      </c>
      <c r="E1113" s="2" t="s">
        <v>148</v>
      </c>
      <c r="F1113" s="2" t="s">
        <v>209</v>
      </c>
      <c r="G1113" s="2">
        <v>3</v>
      </c>
      <c r="H1113" s="2">
        <v>510</v>
      </c>
      <c r="I1113" s="2">
        <v>5</v>
      </c>
      <c r="J1113" s="2">
        <v>1453.5</v>
      </c>
      <c r="K1113" s="2" t="s">
        <v>27</v>
      </c>
      <c r="L1113" s="2" t="s">
        <v>168</v>
      </c>
      <c r="M1113" s="2" t="s">
        <v>47</v>
      </c>
    </row>
    <row r="1114" spans="1:13" x14ac:dyDescent="0.25">
      <c r="A1114" s="2" t="s">
        <v>2237</v>
      </c>
      <c r="B1114" s="2" t="s">
        <v>439</v>
      </c>
      <c r="C1114" s="2"/>
      <c r="D1114" s="2" t="s">
        <v>42</v>
      </c>
      <c r="E1114" s="2" t="s">
        <v>148</v>
      </c>
      <c r="F1114" s="2" t="s">
        <v>435</v>
      </c>
      <c r="G1114" s="2">
        <v>9</v>
      </c>
      <c r="H1114" s="2">
        <v>47720</v>
      </c>
      <c r="I1114" s="2">
        <v>0</v>
      </c>
      <c r="J1114" s="2">
        <v>429480</v>
      </c>
      <c r="K1114" s="2" t="s">
        <v>172</v>
      </c>
      <c r="L1114" s="2" t="s">
        <v>341</v>
      </c>
      <c r="M1114" s="2" t="s">
        <v>96</v>
      </c>
    </row>
    <row r="1115" spans="1:13" x14ac:dyDescent="0.25">
      <c r="A1115" s="2" t="s">
        <v>2238</v>
      </c>
      <c r="B1115" s="2" t="s">
        <v>1031</v>
      </c>
      <c r="C1115" s="2" t="s">
        <v>135</v>
      </c>
      <c r="D1115" s="2" t="s">
        <v>58</v>
      </c>
      <c r="E1115" s="2" t="s">
        <v>25</v>
      </c>
      <c r="F1115" s="2" t="s">
        <v>106</v>
      </c>
      <c r="G1115" s="2">
        <v>4</v>
      </c>
      <c r="H1115" s="2">
        <v>12860</v>
      </c>
      <c r="I1115" s="2">
        <v>0</v>
      </c>
      <c r="J1115" s="2">
        <v>51440</v>
      </c>
      <c r="K1115" s="2" t="s">
        <v>27</v>
      </c>
      <c r="L1115" s="2" t="s">
        <v>121</v>
      </c>
      <c r="M1115" s="2" t="s">
        <v>21</v>
      </c>
    </row>
    <row r="1116" spans="1:13" x14ac:dyDescent="0.25">
      <c r="A1116" s="2" t="s">
        <v>2239</v>
      </c>
      <c r="B1116" s="2" t="s">
        <v>2240</v>
      </c>
      <c r="C1116" s="2" t="s">
        <v>227</v>
      </c>
      <c r="D1116" s="2" t="s">
        <v>33</v>
      </c>
      <c r="E1116" s="2" t="s">
        <v>322</v>
      </c>
      <c r="F1116" s="2" t="s">
        <v>78</v>
      </c>
      <c r="G1116" s="2" t="s">
        <v>136</v>
      </c>
      <c r="H1116" s="2">
        <v>9350</v>
      </c>
      <c r="I1116" s="2">
        <v>0</v>
      </c>
      <c r="J1116" s="2">
        <v>74800</v>
      </c>
      <c r="K1116" s="2" t="s">
        <v>172</v>
      </c>
      <c r="L1116" s="2" t="s">
        <v>274</v>
      </c>
      <c r="M1116" s="2" t="s">
        <v>128</v>
      </c>
    </row>
    <row r="1117" spans="1:13" x14ac:dyDescent="0.25">
      <c r="A1117" s="2" t="s">
        <v>2241</v>
      </c>
      <c r="B1117" s="2" t="s">
        <v>2242</v>
      </c>
      <c r="C1117" s="2" t="s">
        <v>472</v>
      </c>
      <c r="D1117" s="2" t="s">
        <v>16</v>
      </c>
      <c r="E1117" s="2" t="s">
        <v>119</v>
      </c>
      <c r="F1117" s="2" t="s">
        <v>93</v>
      </c>
      <c r="G1117" s="2">
        <v>7</v>
      </c>
      <c r="H1117" s="2">
        <v>42320</v>
      </c>
      <c r="I1117" s="2">
        <v>0</v>
      </c>
      <c r="J1117" s="2">
        <v>296240</v>
      </c>
      <c r="K1117" s="2" t="s">
        <v>36</v>
      </c>
      <c r="L1117" s="2" t="s">
        <v>883</v>
      </c>
      <c r="M1117" s="2" t="s">
        <v>215</v>
      </c>
    </row>
    <row r="1118" spans="1:13" x14ac:dyDescent="0.25">
      <c r="A1118" s="2" t="s">
        <v>2243</v>
      </c>
      <c r="B1118" s="2" t="s">
        <v>2106</v>
      </c>
      <c r="C1118" s="2" t="s">
        <v>198</v>
      </c>
      <c r="D1118" s="2" t="s">
        <v>42</v>
      </c>
      <c r="E1118" s="2" t="s">
        <v>231</v>
      </c>
      <c r="F1118" s="2" t="s">
        <v>180</v>
      </c>
      <c r="G1118" s="2">
        <v>11</v>
      </c>
      <c r="H1118" s="2">
        <v>5250</v>
      </c>
      <c r="I1118" s="2"/>
      <c r="J1118" s="2">
        <v>57750</v>
      </c>
      <c r="K1118" s="2" t="s">
        <v>127</v>
      </c>
      <c r="L1118" s="2" t="s">
        <v>37</v>
      </c>
      <c r="M1118" s="2" t="s">
        <v>38</v>
      </c>
    </row>
    <row r="1119" spans="1:13" x14ac:dyDescent="0.25">
      <c r="A1119" s="2" t="s">
        <v>2244</v>
      </c>
      <c r="B1119" s="2" t="s">
        <v>2245</v>
      </c>
      <c r="C1119" s="2" t="s">
        <v>57</v>
      </c>
      <c r="D1119" s="2" t="s">
        <v>58</v>
      </c>
      <c r="E1119" s="2" t="s">
        <v>284</v>
      </c>
      <c r="F1119" s="2" t="s">
        <v>83</v>
      </c>
      <c r="G1119" s="2">
        <v>6</v>
      </c>
      <c r="H1119" s="2">
        <v>3190</v>
      </c>
      <c r="I1119" s="2"/>
      <c r="J1119" s="2">
        <v>19140</v>
      </c>
      <c r="K1119" s="2" t="s">
        <v>27</v>
      </c>
      <c r="L1119" s="2" t="s">
        <v>136</v>
      </c>
      <c r="M1119" s="2" t="s">
        <v>140</v>
      </c>
    </row>
    <row r="1120" spans="1:13" x14ac:dyDescent="0.25">
      <c r="A1120" s="2" t="s">
        <v>2246</v>
      </c>
      <c r="B1120" s="2" t="s">
        <v>863</v>
      </c>
      <c r="C1120" s="2" t="s">
        <v>657</v>
      </c>
      <c r="D1120" s="2" t="s">
        <v>58</v>
      </c>
      <c r="E1120" s="2" t="s">
        <v>322</v>
      </c>
      <c r="F1120" s="2" t="s">
        <v>239</v>
      </c>
      <c r="G1120" s="2">
        <v>10</v>
      </c>
      <c r="H1120" s="2">
        <v>7360</v>
      </c>
      <c r="I1120" s="2">
        <v>10</v>
      </c>
      <c r="J1120" s="2">
        <v>66240</v>
      </c>
      <c r="K1120" s="2" t="s">
        <v>27</v>
      </c>
      <c r="L1120" s="2" t="s">
        <v>406</v>
      </c>
      <c r="M1120" s="2" t="s">
        <v>140</v>
      </c>
    </row>
    <row r="1121" spans="1:13" x14ac:dyDescent="0.25">
      <c r="A1121" s="2" t="s">
        <v>2247</v>
      </c>
      <c r="B1121" s="2" t="s">
        <v>934</v>
      </c>
      <c r="C1121" s="2" t="s">
        <v>32</v>
      </c>
      <c r="D1121" s="2" t="s">
        <v>33</v>
      </c>
      <c r="E1121" s="2" t="s">
        <v>65</v>
      </c>
      <c r="F1121" s="2" t="s">
        <v>66</v>
      </c>
      <c r="G1121" s="2">
        <v>7</v>
      </c>
      <c r="H1121" s="2">
        <v>8260</v>
      </c>
      <c r="I1121" s="2"/>
      <c r="J1121" s="2">
        <v>57820</v>
      </c>
      <c r="K1121" s="2" t="s">
        <v>36</v>
      </c>
      <c r="L1121" s="2" t="s">
        <v>758</v>
      </c>
      <c r="M1121" s="2" t="s">
        <v>29</v>
      </c>
    </row>
    <row r="1122" spans="1:13" x14ac:dyDescent="0.25">
      <c r="A1122" s="2" t="s">
        <v>2248</v>
      </c>
      <c r="B1122" s="2" t="s">
        <v>560</v>
      </c>
      <c r="C1122" s="2" t="s">
        <v>472</v>
      </c>
      <c r="D1122" s="2" t="s">
        <v>16</v>
      </c>
      <c r="E1122" s="2" t="s">
        <v>231</v>
      </c>
      <c r="F1122" s="2" t="s">
        <v>184</v>
      </c>
      <c r="G1122" s="2">
        <v>2</v>
      </c>
      <c r="H1122" s="2">
        <v>20590</v>
      </c>
      <c r="I1122" s="2">
        <v>0</v>
      </c>
      <c r="J1122" s="2">
        <v>41180</v>
      </c>
      <c r="K1122" s="2" t="s">
        <v>53</v>
      </c>
      <c r="L1122" s="2" t="s">
        <v>554</v>
      </c>
      <c r="M1122" s="2" t="s">
        <v>29</v>
      </c>
    </row>
    <row r="1123" spans="1:13" x14ac:dyDescent="0.25">
      <c r="A1123" s="2" t="s">
        <v>1767</v>
      </c>
      <c r="B1123" s="2" t="s">
        <v>1768</v>
      </c>
      <c r="C1123" s="2" t="s">
        <v>91</v>
      </c>
      <c r="D1123" s="2" t="s">
        <v>51</v>
      </c>
      <c r="E1123" s="2" t="s">
        <v>504</v>
      </c>
      <c r="F1123" s="2" t="s">
        <v>209</v>
      </c>
      <c r="G1123" s="2">
        <v>3</v>
      </c>
      <c r="H1123" s="2">
        <v>11430</v>
      </c>
      <c r="I1123" s="2">
        <v>0</v>
      </c>
      <c r="J1123" s="2"/>
      <c r="K1123" s="2" t="s">
        <v>72</v>
      </c>
      <c r="L1123" s="2" t="s">
        <v>794</v>
      </c>
      <c r="M1123" s="2" t="s">
        <v>128</v>
      </c>
    </row>
    <row r="1124" spans="1:13" x14ac:dyDescent="0.25">
      <c r="A1124" s="2" t="s">
        <v>2249</v>
      </c>
      <c r="B1124" s="2" t="s">
        <v>2250</v>
      </c>
      <c r="C1124" s="2" t="s">
        <v>124</v>
      </c>
      <c r="D1124" s="2" t="s">
        <v>51</v>
      </c>
      <c r="E1124" s="2" t="s">
        <v>131</v>
      </c>
      <c r="F1124" s="2" t="s">
        <v>126</v>
      </c>
      <c r="G1124" s="2">
        <v>11</v>
      </c>
      <c r="H1124" s="2">
        <v>1090</v>
      </c>
      <c r="I1124" s="2">
        <v>0</v>
      </c>
      <c r="J1124" s="2">
        <v>11990</v>
      </c>
      <c r="K1124" s="2" t="s">
        <v>102</v>
      </c>
      <c r="L1124" s="2" t="s">
        <v>37</v>
      </c>
      <c r="M1124" s="2" t="s">
        <v>29</v>
      </c>
    </row>
    <row r="1125" spans="1:13" x14ac:dyDescent="0.25">
      <c r="A1125" s="2" t="s">
        <v>2251</v>
      </c>
      <c r="B1125" s="2" t="s">
        <v>2252</v>
      </c>
      <c r="C1125" s="2" t="s">
        <v>32</v>
      </c>
      <c r="D1125" s="2" t="s">
        <v>33</v>
      </c>
      <c r="E1125" s="2" t="s">
        <v>100</v>
      </c>
      <c r="F1125" s="2" t="s">
        <v>101</v>
      </c>
      <c r="G1125" s="2">
        <v>0</v>
      </c>
      <c r="H1125" s="2">
        <v>9870</v>
      </c>
      <c r="I1125" s="2">
        <v>0</v>
      </c>
      <c r="J1125" s="2" t="s">
        <v>152</v>
      </c>
      <c r="K1125" s="2" t="s">
        <v>67</v>
      </c>
      <c r="L1125" s="2" t="s">
        <v>95</v>
      </c>
      <c r="M1125" s="2" t="s">
        <v>21</v>
      </c>
    </row>
    <row r="1126" spans="1:13" x14ac:dyDescent="0.25">
      <c r="A1126" s="2" t="s">
        <v>2253</v>
      </c>
      <c r="B1126" s="2" t="s">
        <v>898</v>
      </c>
      <c r="C1126" s="2" t="s">
        <v>32</v>
      </c>
      <c r="D1126" s="2" t="s">
        <v>33</v>
      </c>
      <c r="E1126" s="2" t="s">
        <v>77</v>
      </c>
      <c r="F1126" s="2" t="s">
        <v>239</v>
      </c>
      <c r="G1126" s="2">
        <v>5</v>
      </c>
      <c r="H1126" s="2">
        <v>8340</v>
      </c>
      <c r="I1126" s="2">
        <v>0</v>
      </c>
      <c r="J1126" s="2"/>
      <c r="K1126" s="2" t="s">
        <v>67</v>
      </c>
      <c r="L1126" s="2" t="s">
        <v>271</v>
      </c>
      <c r="M1126" s="2" t="s">
        <v>201</v>
      </c>
    </row>
    <row r="1127" spans="1:13" x14ac:dyDescent="0.25">
      <c r="A1127" s="2" t="s">
        <v>2254</v>
      </c>
      <c r="B1127" s="2" t="s">
        <v>442</v>
      </c>
      <c r="C1127" s="2" t="s">
        <v>598</v>
      </c>
      <c r="D1127" s="2" t="s">
        <v>42</v>
      </c>
      <c r="E1127" s="2" t="s">
        <v>179</v>
      </c>
      <c r="F1127" s="2" t="s">
        <v>543</v>
      </c>
      <c r="G1127" s="2">
        <v>10</v>
      </c>
      <c r="H1127" s="2">
        <v>42610</v>
      </c>
      <c r="I1127" s="2">
        <v>0</v>
      </c>
      <c r="J1127" s="2">
        <v>426100</v>
      </c>
      <c r="K1127" s="2" t="s">
        <v>36</v>
      </c>
      <c r="L1127" s="2" t="s">
        <v>79</v>
      </c>
      <c r="M1127" s="2" t="s">
        <v>29</v>
      </c>
    </row>
    <row r="1128" spans="1:13" x14ac:dyDescent="0.25">
      <c r="A1128" s="2" t="s">
        <v>2255</v>
      </c>
      <c r="B1128" s="2" t="s">
        <v>2256</v>
      </c>
      <c r="C1128" s="2" t="s">
        <v>76</v>
      </c>
      <c r="D1128" s="2" t="s">
        <v>33</v>
      </c>
      <c r="E1128" s="2" t="s">
        <v>25</v>
      </c>
      <c r="F1128" s="2" t="s">
        <v>106</v>
      </c>
      <c r="G1128" s="2">
        <v>3</v>
      </c>
      <c r="H1128" s="2">
        <v>20090</v>
      </c>
      <c r="I1128" s="2">
        <v>0</v>
      </c>
      <c r="J1128" s="2">
        <v>60270</v>
      </c>
      <c r="K1128" s="2" t="s">
        <v>36</v>
      </c>
      <c r="L1128" s="2" t="s">
        <v>473</v>
      </c>
      <c r="M1128" s="2" t="s">
        <v>21</v>
      </c>
    </row>
    <row r="1129" spans="1:13" x14ac:dyDescent="0.25">
      <c r="A1129" s="2" t="s">
        <v>2257</v>
      </c>
      <c r="B1129" s="2" t="s">
        <v>1040</v>
      </c>
      <c r="C1129" s="2" t="s">
        <v>32</v>
      </c>
      <c r="D1129" s="2" t="s">
        <v>33</v>
      </c>
      <c r="E1129" s="2" t="s">
        <v>119</v>
      </c>
      <c r="F1129" s="2" t="s">
        <v>248</v>
      </c>
      <c r="G1129" s="2">
        <v>10</v>
      </c>
      <c r="H1129" s="2">
        <v>74360</v>
      </c>
      <c r="I1129" s="2">
        <v>0</v>
      </c>
      <c r="J1129" s="2">
        <v>743600</v>
      </c>
      <c r="K1129" s="2" t="s">
        <v>144</v>
      </c>
      <c r="L1129" s="2" t="s">
        <v>88</v>
      </c>
      <c r="M1129" s="2" t="s">
        <v>140</v>
      </c>
    </row>
    <row r="1130" spans="1:13" x14ac:dyDescent="0.25">
      <c r="A1130" s="2" t="s">
        <v>2258</v>
      </c>
      <c r="B1130" s="2" t="s">
        <v>1166</v>
      </c>
      <c r="C1130" s="2" t="s">
        <v>685</v>
      </c>
      <c r="D1130" s="2" t="s">
        <v>33</v>
      </c>
      <c r="E1130" s="2" t="s">
        <v>77</v>
      </c>
      <c r="F1130" s="2" t="s">
        <v>143</v>
      </c>
      <c r="G1130" s="2">
        <v>1</v>
      </c>
      <c r="H1130" s="2" t="s">
        <v>152</v>
      </c>
      <c r="I1130" s="2">
        <v>0</v>
      </c>
      <c r="J1130" s="2">
        <v>66280</v>
      </c>
      <c r="K1130" s="2" t="s">
        <v>157</v>
      </c>
      <c r="L1130" s="2" t="s">
        <v>339</v>
      </c>
      <c r="M1130" s="2" t="s">
        <v>21</v>
      </c>
    </row>
    <row r="1131" spans="1:13" x14ac:dyDescent="0.25">
      <c r="A1131" s="2" t="s">
        <v>2259</v>
      </c>
      <c r="B1131" s="2" t="s">
        <v>2260</v>
      </c>
      <c r="C1131" s="2" t="s">
        <v>135</v>
      </c>
      <c r="D1131" s="2" t="s">
        <v>58</v>
      </c>
      <c r="E1131" s="2" t="s">
        <v>195</v>
      </c>
      <c r="F1131" s="2" t="s">
        <v>290</v>
      </c>
      <c r="G1131" s="2">
        <v>4</v>
      </c>
      <c r="H1131" s="2">
        <v>23710</v>
      </c>
      <c r="I1131" s="2">
        <v>5</v>
      </c>
      <c r="J1131" s="2">
        <v>90098</v>
      </c>
      <c r="K1131" s="2"/>
      <c r="L1131" s="2" t="s">
        <v>173</v>
      </c>
      <c r="M1131" s="2" t="s">
        <v>140</v>
      </c>
    </row>
    <row r="1132" spans="1:13" x14ac:dyDescent="0.25">
      <c r="A1132" s="2" t="s">
        <v>2261</v>
      </c>
      <c r="B1132" s="2" t="s">
        <v>2262</v>
      </c>
      <c r="C1132" s="2" t="s">
        <v>57</v>
      </c>
      <c r="D1132" s="2" t="s">
        <v>58</v>
      </c>
      <c r="E1132" s="2" t="s">
        <v>136</v>
      </c>
      <c r="F1132" s="2" t="s">
        <v>314</v>
      </c>
      <c r="G1132" s="2">
        <v>1</v>
      </c>
      <c r="H1132" s="2">
        <v>4740</v>
      </c>
      <c r="I1132" s="2">
        <v>10</v>
      </c>
      <c r="J1132" s="2">
        <v>4266</v>
      </c>
      <c r="K1132" s="2" t="s">
        <v>127</v>
      </c>
      <c r="L1132" s="2" t="s">
        <v>796</v>
      </c>
      <c r="M1132" s="2" t="s">
        <v>47</v>
      </c>
    </row>
    <row r="1133" spans="1:13" x14ac:dyDescent="0.25">
      <c r="A1133" s="2" t="s">
        <v>2263</v>
      </c>
      <c r="B1133" s="2" t="s">
        <v>2264</v>
      </c>
      <c r="C1133" s="2" t="s">
        <v>15</v>
      </c>
      <c r="D1133" s="2" t="s">
        <v>16</v>
      </c>
      <c r="E1133" s="2" t="s">
        <v>77</v>
      </c>
      <c r="F1133" s="2" t="s">
        <v>224</v>
      </c>
      <c r="G1133" s="2">
        <v>11</v>
      </c>
      <c r="H1133" s="2">
        <v>1160</v>
      </c>
      <c r="I1133" s="2">
        <v>0</v>
      </c>
      <c r="J1133" s="2">
        <v>12760</v>
      </c>
      <c r="K1133" s="2" t="s">
        <v>102</v>
      </c>
      <c r="L1133" s="2" t="s">
        <v>311</v>
      </c>
      <c r="M1133" s="2" t="s">
        <v>47</v>
      </c>
    </row>
    <row r="1134" spans="1:13" x14ac:dyDescent="0.25">
      <c r="A1134" s="2" t="s">
        <v>2265</v>
      </c>
      <c r="B1134" s="2" t="s">
        <v>451</v>
      </c>
      <c r="C1134" s="2" t="s">
        <v>135</v>
      </c>
      <c r="D1134" s="2" t="s">
        <v>58</v>
      </c>
      <c r="E1134" s="2" t="s">
        <v>179</v>
      </c>
      <c r="F1134" s="2" t="s">
        <v>239</v>
      </c>
      <c r="G1134" s="2">
        <v>5</v>
      </c>
      <c r="H1134" s="2">
        <v>8390</v>
      </c>
      <c r="I1134" s="2" t="s">
        <v>152</v>
      </c>
      <c r="J1134" s="2">
        <v>41950</v>
      </c>
      <c r="K1134" s="2" t="s">
        <v>127</v>
      </c>
      <c r="L1134" s="2" t="s">
        <v>584</v>
      </c>
      <c r="M1134" s="2" t="s">
        <v>128</v>
      </c>
    </row>
    <row r="1135" spans="1:13" x14ac:dyDescent="0.25">
      <c r="A1135" s="2" t="s">
        <v>2266</v>
      </c>
      <c r="B1135" s="2" t="s">
        <v>750</v>
      </c>
      <c r="C1135" s="2" t="s">
        <v>156</v>
      </c>
      <c r="D1135" s="2" t="s">
        <v>51</v>
      </c>
      <c r="E1135" s="2" t="s">
        <v>131</v>
      </c>
      <c r="F1135" s="2" t="s">
        <v>319</v>
      </c>
      <c r="G1135" s="2">
        <v>4</v>
      </c>
      <c r="H1135" s="2">
        <v>26260</v>
      </c>
      <c r="I1135" s="2">
        <v>10</v>
      </c>
      <c r="J1135" s="2">
        <v>94536</v>
      </c>
      <c r="K1135" s="2" t="s">
        <v>120</v>
      </c>
      <c r="L1135" s="2" t="s">
        <v>883</v>
      </c>
      <c r="M1135" s="2" t="s">
        <v>21</v>
      </c>
    </row>
    <row r="1136" spans="1:13" x14ac:dyDescent="0.25">
      <c r="A1136" s="2" t="s">
        <v>2267</v>
      </c>
      <c r="B1136" s="2" t="s">
        <v>2268</v>
      </c>
      <c r="C1136" s="2" t="s">
        <v>118</v>
      </c>
      <c r="D1136" s="2" t="s">
        <v>51</v>
      </c>
      <c r="E1136" s="2" t="s">
        <v>125</v>
      </c>
      <c r="F1136" s="2" t="s">
        <v>132</v>
      </c>
      <c r="G1136" s="2">
        <v>7</v>
      </c>
      <c r="H1136" s="2">
        <v>70700</v>
      </c>
      <c r="I1136" s="2">
        <v>0</v>
      </c>
      <c r="J1136" s="2">
        <v>494900</v>
      </c>
      <c r="K1136" s="2" t="s">
        <v>19</v>
      </c>
      <c r="L1136" s="2" t="s">
        <v>121</v>
      </c>
      <c r="M1136" s="2" t="s">
        <v>21</v>
      </c>
    </row>
    <row r="1137" spans="1:13" x14ac:dyDescent="0.25">
      <c r="A1137" s="2" t="s">
        <v>2269</v>
      </c>
      <c r="B1137" s="2" t="s">
        <v>2270</v>
      </c>
      <c r="C1137" s="2" t="s">
        <v>156</v>
      </c>
      <c r="D1137" s="2" t="s">
        <v>51</v>
      </c>
      <c r="E1137" s="2" t="s">
        <v>131</v>
      </c>
      <c r="F1137" s="2" t="s">
        <v>219</v>
      </c>
      <c r="G1137" s="2">
        <v>6</v>
      </c>
      <c r="H1137" s="2">
        <v>1320</v>
      </c>
      <c r="I1137" s="2">
        <v>15</v>
      </c>
      <c r="J1137" s="2">
        <v>6732</v>
      </c>
      <c r="K1137" s="2" t="s">
        <v>133</v>
      </c>
      <c r="L1137" s="2" t="s">
        <v>341</v>
      </c>
      <c r="M1137" s="2" t="s">
        <v>128</v>
      </c>
    </row>
    <row r="1138" spans="1:13" x14ac:dyDescent="0.25">
      <c r="A1138" s="2" t="s">
        <v>2271</v>
      </c>
      <c r="B1138" s="2" t="s">
        <v>2272</v>
      </c>
      <c r="C1138" s="2" t="s">
        <v>204</v>
      </c>
      <c r="D1138" s="2" t="s">
        <v>33</v>
      </c>
      <c r="E1138" s="2" t="s">
        <v>77</v>
      </c>
      <c r="F1138" s="2" t="s">
        <v>239</v>
      </c>
      <c r="G1138" s="2">
        <v>2</v>
      </c>
      <c r="H1138" s="2">
        <v>2480</v>
      </c>
      <c r="I1138" s="2">
        <v>0</v>
      </c>
      <c r="J1138" s="2">
        <v>4960</v>
      </c>
      <c r="K1138" s="2" t="s">
        <v>53</v>
      </c>
      <c r="L1138" s="2" t="s">
        <v>20</v>
      </c>
      <c r="M1138" s="2" t="s">
        <v>21</v>
      </c>
    </row>
    <row r="1139" spans="1:13" x14ac:dyDescent="0.25">
      <c r="A1139" s="2" t="s">
        <v>2273</v>
      </c>
      <c r="B1139" s="2" t="s">
        <v>1003</v>
      </c>
      <c r="C1139" s="2" t="s">
        <v>24</v>
      </c>
      <c r="D1139" s="2" t="s">
        <v>16</v>
      </c>
      <c r="E1139" s="2" t="s">
        <v>59</v>
      </c>
      <c r="F1139" s="2" t="s">
        <v>252</v>
      </c>
      <c r="G1139" s="2">
        <v>2</v>
      </c>
      <c r="H1139" s="2">
        <v>2850</v>
      </c>
      <c r="I1139" s="2">
        <v>0</v>
      </c>
      <c r="J1139" s="2">
        <v>5700</v>
      </c>
      <c r="K1139" s="2" t="s">
        <v>72</v>
      </c>
      <c r="L1139" s="2" t="s">
        <v>406</v>
      </c>
      <c r="M1139" s="2" t="s">
        <v>29</v>
      </c>
    </row>
    <row r="1140" spans="1:13" x14ac:dyDescent="0.25">
      <c r="A1140" s="2" t="s">
        <v>2274</v>
      </c>
      <c r="B1140" s="2" t="s">
        <v>2275</v>
      </c>
      <c r="C1140" s="2" t="s">
        <v>156</v>
      </c>
      <c r="D1140" s="2" t="s">
        <v>51</v>
      </c>
      <c r="E1140" s="2" t="s">
        <v>65</v>
      </c>
      <c r="F1140" s="2" t="s">
        <v>296</v>
      </c>
      <c r="G1140" s="2">
        <v>5</v>
      </c>
      <c r="H1140" s="2">
        <v>59340</v>
      </c>
      <c r="I1140" s="2">
        <v>10</v>
      </c>
      <c r="J1140" s="2" t="s">
        <v>223</v>
      </c>
      <c r="K1140" s="2" t="s">
        <v>72</v>
      </c>
      <c r="L1140" s="2" t="s">
        <v>1929</v>
      </c>
      <c r="M1140" s="2" t="s">
        <v>128</v>
      </c>
    </row>
    <row r="1141" spans="1:13" x14ac:dyDescent="0.25">
      <c r="A1141" s="2" t="s">
        <v>2276</v>
      </c>
      <c r="B1141" s="2" t="s">
        <v>1850</v>
      </c>
      <c r="C1141" s="2" t="s">
        <v>238</v>
      </c>
      <c r="D1141" s="2" t="s">
        <v>51</v>
      </c>
      <c r="E1141" s="2" t="s">
        <v>163</v>
      </c>
      <c r="F1141" s="2" t="s">
        <v>164</v>
      </c>
      <c r="G1141" s="2">
        <v>10</v>
      </c>
      <c r="H1141" s="2">
        <v>13190</v>
      </c>
      <c r="I1141" s="2">
        <v>0</v>
      </c>
      <c r="J1141" s="2">
        <v>131900</v>
      </c>
      <c r="K1141" s="2" t="s">
        <v>205</v>
      </c>
      <c r="L1141" s="2" t="s">
        <v>2277</v>
      </c>
      <c r="M1141" s="2" t="s">
        <v>215</v>
      </c>
    </row>
    <row r="1142" spans="1:13" x14ac:dyDescent="0.25">
      <c r="A1142" s="2" t="s">
        <v>2278</v>
      </c>
      <c r="B1142" s="2" t="s">
        <v>422</v>
      </c>
      <c r="C1142" s="2" t="s">
        <v>685</v>
      </c>
      <c r="D1142" s="2" t="s">
        <v>33</v>
      </c>
      <c r="E1142" s="2" t="s">
        <v>131</v>
      </c>
      <c r="F1142" s="2" t="s">
        <v>219</v>
      </c>
      <c r="G1142" s="2">
        <v>11</v>
      </c>
      <c r="H1142" s="2">
        <v>48810</v>
      </c>
      <c r="I1142" s="2">
        <v>0</v>
      </c>
      <c r="J1142" s="2">
        <v>536910</v>
      </c>
      <c r="K1142" s="2" t="s">
        <v>139</v>
      </c>
      <c r="L1142" s="2" t="s">
        <v>440</v>
      </c>
      <c r="M1142" s="2" t="s">
        <v>21</v>
      </c>
    </row>
    <row r="1143" spans="1:13" x14ac:dyDescent="0.25">
      <c r="A1143" s="2" t="s">
        <v>2279</v>
      </c>
      <c r="B1143" s="2" t="s">
        <v>2280</v>
      </c>
      <c r="C1143" s="2" t="s">
        <v>107</v>
      </c>
      <c r="D1143" s="2" t="s">
        <v>33</v>
      </c>
      <c r="E1143" s="2" t="s">
        <v>131</v>
      </c>
      <c r="F1143" s="2" t="s">
        <v>319</v>
      </c>
      <c r="G1143" s="2">
        <v>7</v>
      </c>
      <c r="H1143" s="2">
        <v>67980</v>
      </c>
      <c r="I1143" s="2" t="s">
        <v>107</v>
      </c>
      <c r="J1143" s="2" t="s">
        <v>152</v>
      </c>
      <c r="K1143" s="2" t="s">
        <v>139</v>
      </c>
      <c r="L1143" s="2" t="s">
        <v>61</v>
      </c>
      <c r="M1143" s="2" t="s">
        <v>215</v>
      </c>
    </row>
    <row r="1144" spans="1:13" x14ac:dyDescent="0.25">
      <c r="A1144" s="2" t="s">
        <v>2281</v>
      </c>
      <c r="B1144" s="2" t="s">
        <v>477</v>
      </c>
      <c r="C1144" s="2" t="s">
        <v>32</v>
      </c>
      <c r="D1144" s="2" t="s">
        <v>33</v>
      </c>
      <c r="E1144" s="2" t="s">
        <v>100</v>
      </c>
      <c r="F1144" s="2" t="s">
        <v>126</v>
      </c>
      <c r="G1144" s="2">
        <v>4</v>
      </c>
      <c r="H1144" s="2">
        <v>9670</v>
      </c>
      <c r="I1144" s="2">
        <v>10</v>
      </c>
      <c r="J1144" s="2">
        <v>34812</v>
      </c>
      <c r="K1144" s="2" t="s">
        <v>102</v>
      </c>
      <c r="L1144" s="2" t="s">
        <v>311</v>
      </c>
      <c r="M1144" s="2" t="s">
        <v>21</v>
      </c>
    </row>
    <row r="1145" spans="1:13" x14ac:dyDescent="0.25">
      <c r="A1145" s="2" t="s">
        <v>2282</v>
      </c>
      <c r="B1145" s="2" t="s">
        <v>1370</v>
      </c>
      <c r="C1145" s="2" t="s">
        <v>598</v>
      </c>
      <c r="D1145" s="2" t="s">
        <v>136</v>
      </c>
      <c r="E1145" s="2" t="s">
        <v>195</v>
      </c>
      <c r="F1145" s="2" t="s">
        <v>18</v>
      </c>
      <c r="G1145" s="2" t="s">
        <v>138</v>
      </c>
      <c r="H1145" s="2">
        <v>11230</v>
      </c>
      <c r="I1145" s="2">
        <v>0</v>
      </c>
      <c r="J1145" s="2">
        <v>134760</v>
      </c>
      <c r="K1145" s="2" t="s">
        <v>36</v>
      </c>
      <c r="L1145" s="2" t="s">
        <v>28</v>
      </c>
      <c r="M1145" s="2" t="s">
        <v>21</v>
      </c>
    </row>
    <row r="1146" spans="1:13" x14ac:dyDescent="0.25">
      <c r="A1146" s="2" t="s">
        <v>2283</v>
      </c>
      <c r="B1146" s="2" t="s">
        <v>1053</v>
      </c>
      <c r="C1146" s="2" t="s">
        <v>24</v>
      </c>
      <c r="D1146" s="2" t="s">
        <v>16</v>
      </c>
      <c r="E1146" s="2" t="s">
        <v>179</v>
      </c>
      <c r="F1146" s="2" t="s">
        <v>184</v>
      </c>
      <c r="G1146" s="2">
        <v>3</v>
      </c>
      <c r="H1146" s="2">
        <v>4830</v>
      </c>
      <c r="I1146" s="2"/>
      <c r="J1146" s="2">
        <v>13041</v>
      </c>
      <c r="K1146" s="2" t="s">
        <v>87</v>
      </c>
      <c r="L1146" s="2" t="s">
        <v>411</v>
      </c>
      <c r="M1146" s="2" t="s">
        <v>140</v>
      </c>
    </row>
    <row r="1147" spans="1:13" x14ac:dyDescent="0.25">
      <c r="A1147" s="2" t="s">
        <v>2284</v>
      </c>
      <c r="B1147" s="2" t="s">
        <v>2285</v>
      </c>
      <c r="C1147" s="2" t="s">
        <v>198</v>
      </c>
      <c r="D1147" s="2" t="s">
        <v>42</v>
      </c>
      <c r="E1147" s="2" t="s">
        <v>322</v>
      </c>
      <c r="F1147" s="2" t="s">
        <v>78</v>
      </c>
      <c r="G1147" s="2">
        <v>12</v>
      </c>
      <c r="H1147" s="2">
        <v>6990</v>
      </c>
      <c r="I1147" s="2">
        <v>0</v>
      </c>
      <c r="J1147" s="2">
        <v>83880</v>
      </c>
      <c r="K1147" s="2" t="s">
        <v>139</v>
      </c>
      <c r="L1147" s="2" t="s">
        <v>20</v>
      </c>
      <c r="M1147" s="2" t="s">
        <v>29</v>
      </c>
    </row>
    <row r="1148" spans="1:13" x14ac:dyDescent="0.25">
      <c r="A1148" s="2" t="s">
        <v>484</v>
      </c>
      <c r="B1148" s="2" t="s">
        <v>485</v>
      </c>
      <c r="C1148" s="2" t="s">
        <v>110</v>
      </c>
      <c r="D1148" s="2" t="s">
        <v>33</v>
      </c>
      <c r="E1148" s="2" t="s">
        <v>59</v>
      </c>
      <c r="F1148" s="2" t="s">
        <v>60</v>
      </c>
      <c r="G1148" s="2">
        <v>6</v>
      </c>
      <c r="H1148" s="2">
        <v>1320</v>
      </c>
      <c r="I1148" s="2">
        <v>5</v>
      </c>
      <c r="J1148" s="2">
        <v>7524</v>
      </c>
      <c r="K1148" s="2" t="s">
        <v>94</v>
      </c>
      <c r="L1148" s="2" t="s">
        <v>473</v>
      </c>
      <c r="M1148" s="2" t="s">
        <v>152</v>
      </c>
    </row>
    <row r="1149" spans="1:13" x14ac:dyDescent="0.25">
      <c r="A1149" s="2" t="s">
        <v>2286</v>
      </c>
      <c r="B1149" s="2" t="s">
        <v>2287</v>
      </c>
      <c r="C1149" s="2" t="s">
        <v>602</v>
      </c>
      <c r="D1149" s="2" t="s">
        <v>16</v>
      </c>
      <c r="E1149" s="2" t="s">
        <v>105</v>
      </c>
      <c r="F1149" s="2" t="s">
        <v>26</v>
      </c>
      <c r="G1149" s="2">
        <v>11</v>
      </c>
      <c r="H1149" s="2">
        <v>10930</v>
      </c>
      <c r="I1149" s="2">
        <v>5</v>
      </c>
      <c r="J1149" s="2">
        <v>114218.5</v>
      </c>
      <c r="K1149" s="2" t="s">
        <v>102</v>
      </c>
      <c r="L1149" s="2" t="s">
        <v>440</v>
      </c>
      <c r="M1149" s="2" t="s">
        <v>128</v>
      </c>
    </row>
    <row r="1150" spans="1:13" x14ac:dyDescent="0.25">
      <c r="A1150" s="2" t="s">
        <v>2288</v>
      </c>
      <c r="B1150" s="2" t="s">
        <v>1358</v>
      </c>
      <c r="C1150" s="2" t="s">
        <v>1462</v>
      </c>
      <c r="D1150" s="2" t="s">
        <v>58</v>
      </c>
      <c r="E1150" s="2" t="s">
        <v>125</v>
      </c>
      <c r="F1150" s="2" t="s">
        <v>101</v>
      </c>
      <c r="G1150" s="2">
        <v>3</v>
      </c>
      <c r="H1150" s="2">
        <v>19710</v>
      </c>
      <c r="I1150" s="2">
        <v>0</v>
      </c>
      <c r="J1150" s="2">
        <v>59130</v>
      </c>
      <c r="K1150" s="2" t="s">
        <v>133</v>
      </c>
      <c r="L1150" s="2" t="s">
        <v>341</v>
      </c>
      <c r="M1150" s="2"/>
    </row>
    <row r="1151" spans="1:13" x14ac:dyDescent="0.25">
      <c r="A1151" s="2" t="s">
        <v>2289</v>
      </c>
      <c r="B1151" s="2" t="s">
        <v>1537</v>
      </c>
      <c r="C1151" s="2" t="s">
        <v>57</v>
      </c>
      <c r="D1151" s="2" t="s">
        <v>58</v>
      </c>
      <c r="E1151" s="2" t="s">
        <v>295</v>
      </c>
      <c r="F1151" s="2" t="s">
        <v>132</v>
      </c>
      <c r="G1151" s="2">
        <v>6</v>
      </c>
      <c r="H1151" s="2">
        <v>5000</v>
      </c>
      <c r="I1151" s="2">
        <v>0</v>
      </c>
      <c r="J1151" s="2">
        <v>30000</v>
      </c>
      <c r="K1151" s="2" t="s">
        <v>172</v>
      </c>
      <c r="L1151" s="2" t="s">
        <v>883</v>
      </c>
      <c r="M1151" s="2" t="s">
        <v>47</v>
      </c>
    </row>
    <row r="1152" spans="1:13" x14ac:dyDescent="0.25">
      <c r="A1152" s="2" t="s">
        <v>2290</v>
      </c>
      <c r="B1152" s="2" t="s">
        <v>368</v>
      </c>
      <c r="C1152" s="2" t="s">
        <v>135</v>
      </c>
      <c r="D1152" s="2"/>
      <c r="E1152" s="2" t="s">
        <v>34</v>
      </c>
      <c r="F1152" s="2" t="s">
        <v>35</v>
      </c>
      <c r="G1152" s="2">
        <v>10</v>
      </c>
      <c r="H1152" s="2">
        <v>3400</v>
      </c>
      <c r="I1152" s="2">
        <v>0</v>
      </c>
      <c r="J1152" s="2">
        <v>34000</v>
      </c>
      <c r="K1152" s="2" t="s">
        <v>102</v>
      </c>
      <c r="L1152" s="2" t="s">
        <v>88</v>
      </c>
      <c r="M1152" s="2" t="s">
        <v>128</v>
      </c>
    </row>
    <row r="1153" spans="1:13" x14ac:dyDescent="0.25">
      <c r="A1153" s="2" t="s">
        <v>2291</v>
      </c>
      <c r="B1153" s="2" t="s">
        <v>1009</v>
      </c>
      <c r="C1153" s="2" t="s">
        <v>156</v>
      </c>
      <c r="D1153" s="2" t="s">
        <v>51</v>
      </c>
      <c r="E1153" s="2" t="s">
        <v>59</v>
      </c>
      <c r="F1153" s="2" t="s">
        <v>209</v>
      </c>
      <c r="G1153" s="2">
        <v>4</v>
      </c>
      <c r="H1153" s="2">
        <v>3800</v>
      </c>
      <c r="I1153" s="2">
        <v>10</v>
      </c>
      <c r="J1153" s="2">
        <v>13680</v>
      </c>
      <c r="K1153" s="2" t="s">
        <v>19</v>
      </c>
      <c r="L1153" s="2" t="s">
        <v>68</v>
      </c>
      <c r="M1153" s="2" t="s">
        <v>128</v>
      </c>
    </row>
    <row r="1154" spans="1:13" x14ac:dyDescent="0.25">
      <c r="A1154" s="2" t="s">
        <v>2292</v>
      </c>
      <c r="B1154" s="2" t="s">
        <v>2293</v>
      </c>
      <c r="C1154" s="2" t="s">
        <v>76</v>
      </c>
      <c r="D1154" s="2" t="s">
        <v>33</v>
      </c>
      <c r="E1154" s="2" t="s">
        <v>125</v>
      </c>
      <c r="F1154" s="2" t="s">
        <v>126</v>
      </c>
      <c r="G1154" s="2">
        <v>7</v>
      </c>
      <c r="H1154" s="2">
        <v>64720</v>
      </c>
      <c r="I1154" s="2">
        <v>0</v>
      </c>
      <c r="J1154" s="2">
        <v>453040</v>
      </c>
      <c r="K1154" s="2" t="s">
        <v>19</v>
      </c>
      <c r="L1154" s="2" t="s">
        <v>344</v>
      </c>
      <c r="M1154" s="2" t="s">
        <v>47</v>
      </c>
    </row>
    <row r="1155" spans="1:13" x14ac:dyDescent="0.25">
      <c r="A1155" s="2" t="s">
        <v>2294</v>
      </c>
      <c r="B1155" s="2" t="s">
        <v>258</v>
      </c>
      <c r="C1155" s="2" t="s">
        <v>24</v>
      </c>
      <c r="D1155" s="2" t="s">
        <v>16</v>
      </c>
      <c r="E1155" s="2" t="s">
        <v>92</v>
      </c>
      <c r="F1155" s="2" t="s">
        <v>255</v>
      </c>
      <c r="G1155" s="2">
        <v>2</v>
      </c>
      <c r="H1155" s="2">
        <v>7510</v>
      </c>
      <c r="I1155" s="2">
        <v>5</v>
      </c>
      <c r="J1155" s="2">
        <v>14269</v>
      </c>
      <c r="K1155" s="2" t="s">
        <v>133</v>
      </c>
      <c r="L1155" s="2" t="s">
        <v>406</v>
      </c>
      <c r="M1155" s="2" t="s">
        <v>38</v>
      </c>
    </row>
    <row r="1156" spans="1:13" x14ac:dyDescent="0.25">
      <c r="A1156" s="2" t="s">
        <v>2295</v>
      </c>
      <c r="B1156" s="2" t="s">
        <v>2296</v>
      </c>
      <c r="C1156" s="2" t="s">
        <v>227</v>
      </c>
      <c r="D1156" s="2" t="s">
        <v>33</v>
      </c>
      <c r="E1156" s="2" t="s">
        <v>65</v>
      </c>
      <c r="F1156" s="2" t="s">
        <v>219</v>
      </c>
      <c r="G1156" s="2">
        <v>2</v>
      </c>
      <c r="H1156" s="2">
        <v>1360</v>
      </c>
      <c r="I1156" s="2">
        <v>0</v>
      </c>
      <c r="J1156" s="2">
        <v>2720</v>
      </c>
      <c r="K1156" s="2" t="s">
        <v>157</v>
      </c>
      <c r="L1156" s="2" t="s">
        <v>344</v>
      </c>
      <c r="M1156" s="2" t="s">
        <v>21</v>
      </c>
    </row>
    <row r="1157" spans="1:13" x14ac:dyDescent="0.25">
      <c r="A1157" s="2" t="s">
        <v>2297</v>
      </c>
      <c r="B1157" s="2" t="s">
        <v>2199</v>
      </c>
      <c r="C1157" s="2" t="s">
        <v>773</v>
      </c>
      <c r="D1157" s="2" t="s">
        <v>16</v>
      </c>
      <c r="E1157" s="2" t="s">
        <v>179</v>
      </c>
      <c r="F1157" s="2" t="s">
        <v>232</v>
      </c>
      <c r="G1157" s="2">
        <v>5</v>
      </c>
      <c r="H1157" s="2" t="s">
        <v>223</v>
      </c>
      <c r="I1157" s="2">
        <v>0</v>
      </c>
      <c r="J1157" s="2">
        <v>115650</v>
      </c>
      <c r="K1157" s="2" t="s">
        <v>27</v>
      </c>
      <c r="L1157" s="2" t="s">
        <v>1929</v>
      </c>
      <c r="M1157" s="2" t="s">
        <v>21</v>
      </c>
    </row>
    <row r="1158" spans="1:13" x14ac:dyDescent="0.25">
      <c r="A1158" s="2" t="s">
        <v>2298</v>
      </c>
      <c r="B1158" s="2" t="s">
        <v>1048</v>
      </c>
      <c r="C1158" s="2" t="s">
        <v>32</v>
      </c>
      <c r="D1158" s="2" t="s">
        <v>33</v>
      </c>
      <c r="E1158" s="2" t="s">
        <v>295</v>
      </c>
      <c r="F1158" s="2" t="s">
        <v>219</v>
      </c>
      <c r="G1158" s="2"/>
      <c r="H1158" s="2">
        <v>11580</v>
      </c>
      <c r="I1158" s="2">
        <v>10</v>
      </c>
      <c r="J1158" s="2">
        <v>41688</v>
      </c>
      <c r="K1158" s="2" t="s">
        <v>27</v>
      </c>
      <c r="L1158" s="2" t="s">
        <v>249</v>
      </c>
      <c r="M1158" s="2" t="s">
        <v>96</v>
      </c>
    </row>
    <row r="1159" spans="1:13" x14ac:dyDescent="0.25">
      <c r="A1159" s="2" t="s">
        <v>2299</v>
      </c>
      <c r="B1159" s="2" t="s">
        <v>477</v>
      </c>
      <c r="C1159" s="2" t="s">
        <v>244</v>
      </c>
      <c r="D1159" s="2" t="s">
        <v>42</v>
      </c>
      <c r="E1159" s="2" t="s">
        <v>100</v>
      </c>
      <c r="F1159" s="2" t="s">
        <v>132</v>
      </c>
      <c r="G1159" s="2">
        <v>6</v>
      </c>
      <c r="H1159" s="2" t="s">
        <v>136</v>
      </c>
      <c r="I1159" s="2">
        <v>5</v>
      </c>
      <c r="J1159" s="2">
        <v>25935</v>
      </c>
      <c r="K1159" s="2" t="s">
        <v>94</v>
      </c>
      <c r="L1159" s="2" t="s">
        <v>308</v>
      </c>
      <c r="M1159" s="2" t="s">
        <v>21</v>
      </c>
    </row>
    <row r="1160" spans="1:13" x14ac:dyDescent="0.25">
      <c r="A1160" s="2" t="s">
        <v>2300</v>
      </c>
      <c r="B1160" s="2" t="s">
        <v>1654</v>
      </c>
      <c r="C1160" s="2" t="s">
        <v>602</v>
      </c>
      <c r="D1160" s="2" t="s">
        <v>16</v>
      </c>
      <c r="E1160" s="2" t="s">
        <v>163</v>
      </c>
      <c r="F1160" s="2" t="s">
        <v>199</v>
      </c>
      <c r="G1160" s="2">
        <v>11</v>
      </c>
      <c r="H1160" s="2">
        <v>16900</v>
      </c>
      <c r="I1160" s="2">
        <v>10</v>
      </c>
      <c r="J1160" s="2">
        <v>167310</v>
      </c>
      <c r="K1160" s="2" t="s">
        <v>120</v>
      </c>
      <c r="L1160" s="2" t="s">
        <v>344</v>
      </c>
      <c r="M1160" s="2" t="s">
        <v>47</v>
      </c>
    </row>
    <row r="1161" spans="1:13" x14ac:dyDescent="0.25">
      <c r="A1161" s="2" t="s">
        <v>2301</v>
      </c>
      <c r="B1161" s="2" t="s">
        <v>2302</v>
      </c>
      <c r="C1161" s="2" t="s">
        <v>32</v>
      </c>
      <c r="D1161" s="2" t="s">
        <v>33</v>
      </c>
      <c r="E1161" s="2" t="s">
        <v>284</v>
      </c>
      <c r="F1161" s="2" t="s">
        <v>209</v>
      </c>
      <c r="G1161" s="2">
        <v>11</v>
      </c>
      <c r="H1161" s="2">
        <v>18230</v>
      </c>
      <c r="I1161" s="2">
        <v>0</v>
      </c>
      <c r="J1161" s="2">
        <v>200530</v>
      </c>
      <c r="K1161" s="2" t="s">
        <v>67</v>
      </c>
      <c r="L1161" s="2" t="s">
        <v>406</v>
      </c>
      <c r="M1161" s="2" t="s">
        <v>140</v>
      </c>
    </row>
    <row r="1162" spans="1:13" x14ac:dyDescent="0.25">
      <c r="A1162" s="2" t="s">
        <v>2303</v>
      </c>
      <c r="B1162" s="2" t="s">
        <v>2304</v>
      </c>
      <c r="C1162" s="2" t="s">
        <v>135</v>
      </c>
      <c r="D1162" s="2" t="s">
        <v>58</v>
      </c>
      <c r="E1162" s="2" t="s">
        <v>148</v>
      </c>
      <c r="F1162" s="2" t="s">
        <v>379</v>
      </c>
      <c r="G1162" s="2">
        <v>9</v>
      </c>
      <c r="H1162" s="2">
        <v>26430</v>
      </c>
      <c r="I1162" s="2">
        <v>0</v>
      </c>
      <c r="J1162" s="2">
        <v>237870</v>
      </c>
      <c r="K1162" s="2" t="s">
        <v>172</v>
      </c>
      <c r="L1162" s="2" t="s">
        <v>344</v>
      </c>
      <c r="M1162" s="2" t="s">
        <v>223</v>
      </c>
    </row>
    <row r="1163" spans="1:13" x14ac:dyDescent="0.25">
      <c r="A1163" s="2" t="s">
        <v>2305</v>
      </c>
      <c r="B1163" s="2" t="s">
        <v>775</v>
      </c>
      <c r="C1163" s="2" t="s">
        <v>24</v>
      </c>
      <c r="D1163" s="2" t="s">
        <v>16</v>
      </c>
      <c r="E1163" s="2" t="s">
        <v>25</v>
      </c>
      <c r="F1163" s="2" t="s">
        <v>255</v>
      </c>
      <c r="G1163" s="2">
        <v>4</v>
      </c>
      <c r="H1163" s="2">
        <v>2650</v>
      </c>
      <c r="I1163" s="2">
        <v>10</v>
      </c>
      <c r="J1163" s="2">
        <v>9540</v>
      </c>
      <c r="K1163" s="2" t="s">
        <v>45</v>
      </c>
      <c r="L1163" s="2" t="s">
        <v>344</v>
      </c>
      <c r="M1163" s="2" t="s">
        <v>47</v>
      </c>
    </row>
    <row r="1164" spans="1:13" x14ac:dyDescent="0.25">
      <c r="A1164" s="2" t="s">
        <v>2306</v>
      </c>
      <c r="B1164" s="2" t="s">
        <v>635</v>
      </c>
      <c r="C1164" s="2" t="s">
        <v>57</v>
      </c>
      <c r="D1164" s="2" t="s">
        <v>58</v>
      </c>
      <c r="E1164" s="2" t="s">
        <v>163</v>
      </c>
      <c r="F1164" s="2" t="s">
        <v>171</v>
      </c>
      <c r="G1164" s="2">
        <v>11</v>
      </c>
      <c r="H1164" s="2">
        <v>49790</v>
      </c>
      <c r="I1164" s="2">
        <v>0</v>
      </c>
      <c r="J1164" s="2">
        <v>547690</v>
      </c>
      <c r="K1164" s="2" t="s">
        <v>36</v>
      </c>
      <c r="L1164" s="2" t="s">
        <v>28</v>
      </c>
      <c r="M1164" s="2" t="s">
        <v>47</v>
      </c>
    </row>
    <row r="1165" spans="1:13" x14ac:dyDescent="0.25">
      <c r="A1165" s="2" t="s">
        <v>2307</v>
      </c>
      <c r="B1165" s="2" t="s">
        <v>1846</v>
      </c>
      <c r="C1165" s="2" t="s">
        <v>238</v>
      </c>
      <c r="D1165" s="2" t="s">
        <v>51</v>
      </c>
      <c r="E1165" s="2" t="s">
        <v>179</v>
      </c>
      <c r="F1165" s="2" t="s">
        <v>232</v>
      </c>
      <c r="G1165" s="2">
        <v>4</v>
      </c>
      <c r="H1165" s="2">
        <v>16310</v>
      </c>
      <c r="I1165" s="2">
        <v>0</v>
      </c>
      <c r="J1165" s="2">
        <v>65240</v>
      </c>
      <c r="K1165" s="2" t="s">
        <v>139</v>
      </c>
      <c r="L1165" s="2" t="s">
        <v>266</v>
      </c>
      <c r="M1165" s="2" t="s">
        <v>140</v>
      </c>
    </row>
    <row r="1166" spans="1:13" x14ac:dyDescent="0.25">
      <c r="A1166" s="2" t="s">
        <v>2308</v>
      </c>
      <c r="B1166" s="2" t="s">
        <v>597</v>
      </c>
      <c r="C1166" s="2" t="s">
        <v>24</v>
      </c>
      <c r="D1166" s="2" t="s">
        <v>16</v>
      </c>
      <c r="E1166" s="2" t="s">
        <v>284</v>
      </c>
      <c r="F1166" s="2" t="s">
        <v>60</v>
      </c>
      <c r="G1166" s="2">
        <v>3</v>
      </c>
      <c r="H1166" s="2">
        <v>16680</v>
      </c>
      <c r="I1166" s="2">
        <v>5</v>
      </c>
      <c r="J1166" s="2">
        <v>47538</v>
      </c>
      <c r="K1166" s="2" t="s">
        <v>157</v>
      </c>
      <c r="L1166" s="2" t="s">
        <v>95</v>
      </c>
      <c r="M1166" s="2" t="s">
        <v>29</v>
      </c>
    </row>
    <row r="1167" spans="1:13" x14ac:dyDescent="0.25">
      <c r="A1167" s="2" t="s">
        <v>2309</v>
      </c>
      <c r="B1167" s="2" t="s">
        <v>1469</v>
      </c>
      <c r="C1167" s="2" t="s">
        <v>244</v>
      </c>
      <c r="D1167" s="2" t="s">
        <v>42</v>
      </c>
      <c r="E1167" s="2" t="s">
        <v>295</v>
      </c>
      <c r="F1167" s="2" t="s">
        <v>319</v>
      </c>
      <c r="G1167" s="2">
        <v>7</v>
      </c>
      <c r="H1167" s="2">
        <v>5000</v>
      </c>
      <c r="I1167" s="2">
        <v>0</v>
      </c>
      <c r="J1167" s="2">
        <v>35000</v>
      </c>
      <c r="K1167" s="2" t="s">
        <v>102</v>
      </c>
      <c r="L1167" s="2" t="s">
        <v>28</v>
      </c>
      <c r="M1167" s="2" t="s">
        <v>21</v>
      </c>
    </row>
    <row r="1168" spans="1:13" x14ac:dyDescent="0.25">
      <c r="A1168" s="2" t="s">
        <v>2310</v>
      </c>
      <c r="B1168" s="2" t="s">
        <v>2311</v>
      </c>
      <c r="C1168" s="2" t="s">
        <v>76</v>
      </c>
      <c r="D1168" s="2" t="s">
        <v>33</v>
      </c>
      <c r="E1168" s="2" t="s">
        <v>111</v>
      </c>
      <c r="F1168" s="2" t="s">
        <v>78</v>
      </c>
      <c r="G1168" s="2">
        <v>10</v>
      </c>
      <c r="H1168" s="2">
        <v>7300</v>
      </c>
      <c r="I1168" s="2">
        <v>0</v>
      </c>
      <c r="J1168" s="2">
        <v>73000</v>
      </c>
      <c r="K1168" s="2" t="s">
        <v>127</v>
      </c>
      <c r="L1168" s="2" t="s">
        <v>79</v>
      </c>
      <c r="M1168" s="2" t="s">
        <v>210</v>
      </c>
    </row>
    <row r="1169" spans="1:13" x14ac:dyDescent="0.25">
      <c r="A1169" s="2" t="s">
        <v>2312</v>
      </c>
      <c r="B1169" s="2" t="s">
        <v>1808</v>
      </c>
      <c r="C1169" s="2" t="s">
        <v>91</v>
      </c>
      <c r="D1169" s="2" t="s">
        <v>51</v>
      </c>
      <c r="E1169" s="2" t="s">
        <v>119</v>
      </c>
      <c r="F1169" s="2" t="s">
        <v>26</v>
      </c>
      <c r="G1169" s="2">
        <v>7</v>
      </c>
      <c r="H1169" s="2">
        <v>5170</v>
      </c>
      <c r="I1169" s="2">
        <v>0</v>
      </c>
      <c r="J1169" s="2">
        <v>36190</v>
      </c>
      <c r="K1169" s="2" t="s">
        <v>94</v>
      </c>
      <c r="L1169" s="2" t="s">
        <v>112</v>
      </c>
      <c r="M1169" s="2" t="s">
        <v>21</v>
      </c>
    </row>
    <row r="1170" spans="1:13" x14ac:dyDescent="0.25">
      <c r="A1170" s="2" t="s">
        <v>2313</v>
      </c>
      <c r="B1170" s="2" t="s">
        <v>2314</v>
      </c>
      <c r="C1170" s="2" t="s">
        <v>118</v>
      </c>
      <c r="D1170" s="2" t="s">
        <v>51</v>
      </c>
      <c r="E1170" s="2" t="s">
        <v>34</v>
      </c>
      <c r="F1170" s="2" t="s">
        <v>71</v>
      </c>
      <c r="G1170" s="2">
        <v>2</v>
      </c>
      <c r="H1170" s="2">
        <v>25110</v>
      </c>
      <c r="I1170" s="2">
        <v>15</v>
      </c>
      <c r="J1170" s="2">
        <v>42687</v>
      </c>
      <c r="K1170" s="2" t="s">
        <v>27</v>
      </c>
      <c r="L1170" s="2" t="s">
        <v>79</v>
      </c>
      <c r="M1170" s="2" t="s">
        <v>136</v>
      </c>
    </row>
    <row r="1171" spans="1:13" x14ac:dyDescent="0.25">
      <c r="A1171" s="2" t="s">
        <v>2315</v>
      </c>
      <c r="B1171" s="2" t="s">
        <v>595</v>
      </c>
      <c r="C1171" s="2" t="s">
        <v>64</v>
      </c>
      <c r="D1171" s="2" t="s">
        <v>51</v>
      </c>
      <c r="E1171" s="2" t="s">
        <v>195</v>
      </c>
      <c r="F1171" s="2" t="s">
        <v>18</v>
      </c>
      <c r="G1171" s="2">
        <v>1</v>
      </c>
      <c r="H1171" s="2">
        <v>3970</v>
      </c>
      <c r="I1171" s="2">
        <v>0</v>
      </c>
      <c r="J1171" s="2"/>
      <c r="K1171" s="2" t="s">
        <v>102</v>
      </c>
      <c r="L1171" s="2" t="s">
        <v>228</v>
      </c>
      <c r="M1171" s="2" t="s">
        <v>128</v>
      </c>
    </row>
    <row r="1172" spans="1:13" x14ac:dyDescent="0.25">
      <c r="A1172" s="2" t="s">
        <v>2316</v>
      </c>
      <c r="B1172" s="2" t="s">
        <v>1874</v>
      </c>
      <c r="C1172" s="2" t="s">
        <v>91</v>
      </c>
      <c r="D1172" s="2" t="s">
        <v>51</v>
      </c>
      <c r="E1172" s="2" t="s">
        <v>105</v>
      </c>
      <c r="F1172" s="2" t="s">
        <v>44</v>
      </c>
      <c r="G1172" s="2">
        <v>3</v>
      </c>
      <c r="H1172" s="2">
        <v>1180</v>
      </c>
      <c r="I1172" s="2">
        <v>0</v>
      </c>
      <c r="J1172" s="2">
        <v>3540</v>
      </c>
      <c r="K1172" s="2" t="s">
        <v>87</v>
      </c>
      <c r="L1172" s="2" t="s">
        <v>341</v>
      </c>
      <c r="M1172" s="2" t="s">
        <v>38</v>
      </c>
    </row>
    <row r="1173" spans="1:13" x14ac:dyDescent="0.25">
      <c r="A1173" s="2" t="s">
        <v>2317</v>
      </c>
      <c r="B1173" s="2" t="s">
        <v>2318</v>
      </c>
      <c r="C1173" s="2" t="s">
        <v>238</v>
      </c>
      <c r="D1173" s="2" t="s">
        <v>51</v>
      </c>
      <c r="E1173" s="2" t="s">
        <v>100</v>
      </c>
      <c r="F1173" s="2" t="s">
        <v>101</v>
      </c>
      <c r="G1173" s="2">
        <v>7</v>
      </c>
      <c r="H1173" s="2">
        <v>44890</v>
      </c>
      <c r="I1173" s="2">
        <v>0</v>
      </c>
      <c r="J1173" s="2">
        <v>314230</v>
      </c>
      <c r="K1173" s="2" t="s">
        <v>53</v>
      </c>
      <c r="L1173" s="2" t="s">
        <v>440</v>
      </c>
      <c r="M1173" s="2" t="s">
        <v>140</v>
      </c>
    </row>
    <row r="1174" spans="1:13" x14ac:dyDescent="0.25">
      <c r="A1174" s="2" t="s">
        <v>2319</v>
      </c>
      <c r="B1174" s="2" t="s">
        <v>2320</v>
      </c>
      <c r="C1174" s="2" t="s">
        <v>162</v>
      </c>
      <c r="D1174" s="2" t="s">
        <v>33</v>
      </c>
      <c r="E1174" s="2" t="s">
        <v>125</v>
      </c>
      <c r="F1174" s="2" t="s">
        <v>296</v>
      </c>
      <c r="G1174" s="2">
        <v>5</v>
      </c>
      <c r="H1174" s="2">
        <v>5230</v>
      </c>
      <c r="I1174" s="2">
        <v>10</v>
      </c>
      <c r="J1174" s="2">
        <v>23535</v>
      </c>
      <c r="K1174" s="2" t="s">
        <v>205</v>
      </c>
      <c r="L1174" s="2" t="s">
        <v>68</v>
      </c>
      <c r="M1174" s="2" t="s">
        <v>21</v>
      </c>
    </row>
    <row r="1175" spans="1:13" x14ac:dyDescent="0.25">
      <c r="A1175" s="2" t="s">
        <v>2321</v>
      </c>
      <c r="B1175" s="2" t="s">
        <v>1911</v>
      </c>
      <c r="C1175" s="2" t="s">
        <v>156</v>
      </c>
      <c r="D1175" s="2" t="s">
        <v>51</v>
      </c>
      <c r="E1175" s="2" t="s">
        <v>77</v>
      </c>
      <c r="F1175" s="2" t="s">
        <v>224</v>
      </c>
      <c r="G1175" s="2">
        <v>11</v>
      </c>
      <c r="H1175" s="2">
        <v>500</v>
      </c>
      <c r="I1175" s="2">
        <v>5</v>
      </c>
      <c r="J1175" s="2">
        <v>5225</v>
      </c>
      <c r="K1175" s="2" t="s">
        <v>157</v>
      </c>
      <c r="L1175" s="2" t="s">
        <v>883</v>
      </c>
      <c r="M1175" s="2" t="s">
        <v>21</v>
      </c>
    </row>
    <row r="1176" spans="1:13" x14ac:dyDescent="0.25">
      <c r="A1176" s="2" t="s">
        <v>2322</v>
      </c>
      <c r="B1176" s="2" t="s">
        <v>2323</v>
      </c>
      <c r="C1176" s="2" t="s">
        <v>135</v>
      </c>
      <c r="D1176" s="2" t="s">
        <v>58</v>
      </c>
      <c r="E1176" s="2" t="s">
        <v>136</v>
      </c>
      <c r="F1176" s="2" t="s">
        <v>332</v>
      </c>
      <c r="G1176" s="2">
        <v>11</v>
      </c>
      <c r="H1176" s="2">
        <v>51530</v>
      </c>
      <c r="I1176" s="2">
        <v>10</v>
      </c>
      <c r="J1176" s="2">
        <v>510147</v>
      </c>
      <c r="K1176" s="2" t="s">
        <v>120</v>
      </c>
      <c r="L1176" s="2" t="s">
        <v>387</v>
      </c>
      <c r="M1176" s="2" t="s">
        <v>21</v>
      </c>
    </row>
    <row r="1177" spans="1:13" x14ac:dyDescent="0.25">
      <c r="A1177" s="2" t="s">
        <v>2324</v>
      </c>
      <c r="B1177" s="2" t="s">
        <v>1946</v>
      </c>
      <c r="C1177" s="2" t="s">
        <v>135</v>
      </c>
      <c r="D1177" s="2" t="s">
        <v>58</v>
      </c>
      <c r="E1177" s="2" t="s">
        <v>295</v>
      </c>
      <c r="F1177" s="2" t="s">
        <v>314</v>
      </c>
      <c r="G1177" s="2">
        <v>1</v>
      </c>
      <c r="H1177" s="2">
        <v>4700</v>
      </c>
      <c r="I1177" s="2">
        <v>0</v>
      </c>
      <c r="J1177" s="2">
        <v>4700</v>
      </c>
      <c r="K1177" s="2" t="s">
        <v>157</v>
      </c>
      <c r="L1177" s="2" t="s">
        <v>271</v>
      </c>
      <c r="M1177" s="2" t="s">
        <v>189</v>
      </c>
    </row>
    <row r="1178" spans="1:13" x14ac:dyDescent="0.25">
      <c r="A1178" s="2" t="s">
        <v>2325</v>
      </c>
      <c r="B1178" s="2" t="s">
        <v>2326</v>
      </c>
      <c r="C1178" s="2" t="s">
        <v>156</v>
      </c>
      <c r="D1178" s="2" t="s">
        <v>51</v>
      </c>
      <c r="E1178" s="2" t="s">
        <v>77</v>
      </c>
      <c r="F1178" s="2" t="s">
        <v>543</v>
      </c>
      <c r="G1178" s="2">
        <v>2</v>
      </c>
      <c r="H1178" s="2">
        <v>5240</v>
      </c>
      <c r="I1178" s="2">
        <v>0</v>
      </c>
      <c r="J1178" s="2">
        <v>10480</v>
      </c>
      <c r="K1178" s="2" t="s">
        <v>27</v>
      </c>
      <c r="L1178" s="2" t="s">
        <v>411</v>
      </c>
      <c r="M1178" s="2" t="s">
        <v>21</v>
      </c>
    </row>
    <row r="1179" spans="1:13" x14ac:dyDescent="0.25">
      <c r="A1179" s="2" t="s">
        <v>849</v>
      </c>
      <c r="B1179" s="2" t="s">
        <v>850</v>
      </c>
      <c r="C1179" s="2" t="s">
        <v>24</v>
      </c>
      <c r="D1179" s="2" t="s">
        <v>16</v>
      </c>
      <c r="E1179" s="2" t="s">
        <v>504</v>
      </c>
      <c r="F1179" s="2" t="s">
        <v>149</v>
      </c>
      <c r="G1179" s="2">
        <v>6</v>
      </c>
      <c r="H1179" s="2">
        <v>9470</v>
      </c>
      <c r="I1179" s="2">
        <v>15</v>
      </c>
      <c r="J1179" s="2">
        <v>48297</v>
      </c>
      <c r="K1179" s="2" t="s">
        <v>36</v>
      </c>
      <c r="L1179" s="2" t="s">
        <v>311</v>
      </c>
      <c r="M1179" s="2" t="s">
        <v>47</v>
      </c>
    </row>
    <row r="1180" spans="1:13" x14ac:dyDescent="0.25">
      <c r="A1180" s="2" t="s">
        <v>2327</v>
      </c>
      <c r="B1180" s="2" t="s">
        <v>2328</v>
      </c>
      <c r="C1180" s="2" t="s">
        <v>76</v>
      </c>
      <c r="D1180" s="2" t="s">
        <v>33</v>
      </c>
      <c r="E1180" s="2" t="s">
        <v>152</v>
      </c>
      <c r="F1180" s="2" t="s">
        <v>171</v>
      </c>
      <c r="G1180" s="2">
        <v>2</v>
      </c>
      <c r="H1180" s="2">
        <v>3650</v>
      </c>
      <c r="I1180" s="2">
        <v>0</v>
      </c>
      <c r="J1180" s="2">
        <v>7300</v>
      </c>
      <c r="K1180" s="2" t="s">
        <v>133</v>
      </c>
      <c r="L1180" s="2" t="s">
        <v>266</v>
      </c>
      <c r="M1180" s="2" t="s">
        <v>201</v>
      </c>
    </row>
    <row r="1181" spans="1:13" x14ac:dyDescent="0.25">
      <c r="A1181" s="2" t="s">
        <v>2329</v>
      </c>
      <c r="B1181" s="2" t="s">
        <v>2330</v>
      </c>
      <c r="C1181" s="2" t="s">
        <v>99</v>
      </c>
      <c r="D1181" s="2" t="s">
        <v>16</v>
      </c>
      <c r="E1181" s="2" t="s">
        <v>17</v>
      </c>
      <c r="F1181" s="2" t="s">
        <v>18</v>
      </c>
      <c r="G1181" s="2">
        <v>3</v>
      </c>
      <c r="H1181" s="2">
        <v>3260</v>
      </c>
      <c r="I1181" s="2">
        <v>0</v>
      </c>
      <c r="J1181" s="2">
        <v>9780</v>
      </c>
      <c r="K1181" s="2" t="s">
        <v>139</v>
      </c>
      <c r="L1181" s="2" t="s">
        <v>121</v>
      </c>
      <c r="M1181" s="2" t="s">
        <v>128</v>
      </c>
    </row>
    <row r="1182" spans="1:13" x14ac:dyDescent="0.25">
      <c r="A1182" s="2" t="s">
        <v>2331</v>
      </c>
      <c r="B1182" s="2" t="s">
        <v>992</v>
      </c>
      <c r="C1182" s="2" t="s">
        <v>472</v>
      </c>
      <c r="D1182" s="2" t="s">
        <v>16</v>
      </c>
      <c r="E1182" s="2" t="s">
        <v>77</v>
      </c>
      <c r="F1182" s="2" t="s">
        <v>239</v>
      </c>
      <c r="G1182" s="2">
        <v>9</v>
      </c>
      <c r="H1182" s="2">
        <v>9620</v>
      </c>
      <c r="I1182" s="2">
        <v>5</v>
      </c>
      <c r="J1182" s="2" t="s">
        <v>152</v>
      </c>
      <c r="K1182" s="2" t="s">
        <v>133</v>
      </c>
      <c r="L1182" s="2" t="s">
        <v>28</v>
      </c>
      <c r="M1182" s="2" t="s">
        <v>128</v>
      </c>
    </row>
    <row r="1183" spans="1:13" x14ac:dyDescent="0.25">
      <c r="A1183" s="2" t="s">
        <v>2332</v>
      </c>
      <c r="B1183" s="2" t="s">
        <v>117</v>
      </c>
      <c r="C1183" s="2" t="s">
        <v>32</v>
      </c>
      <c r="D1183" s="2" t="s">
        <v>33</v>
      </c>
      <c r="E1183" s="2" t="s">
        <v>52</v>
      </c>
      <c r="F1183" s="2" t="s">
        <v>93</v>
      </c>
      <c r="G1183" s="2">
        <v>3</v>
      </c>
      <c r="H1183" s="2">
        <v>18060</v>
      </c>
      <c r="I1183" s="2">
        <v>5</v>
      </c>
      <c r="J1183" s="2">
        <v>51471</v>
      </c>
      <c r="K1183" s="2" t="s">
        <v>67</v>
      </c>
      <c r="L1183" s="2" t="s">
        <v>406</v>
      </c>
      <c r="M1183" s="2" t="s">
        <v>29</v>
      </c>
    </row>
    <row r="1184" spans="1:13" x14ac:dyDescent="0.25">
      <c r="A1184" s="2" t="s">
        <v>2333</v>
      </c>
      <c r="B1184" s="2" t="s">
        <v>2334</v>
      </c>
      <c r="C1184" s="2" t="s">
        <v>557</v>
      </c>
      <c r="D1184" s="2" t="s">
        <v>16</v>
      </c>
      <c r="E1184" s="2" t="s">
        <v>119</v>
      </c>
      <c r="F1184" s="2" t="s">
        <v>248</v>
      </c>
      <c r="G1184" s="2">
        <v>8</v>
      </c>
      <c r="H1184" s="2">
        <v>12060</v>
      </c>
      <c r="I1184" s="2">
        <v>10</v>
      </c>
      <c r="J1184" s="2">
        <v>86832</v>
      </c>
      <c r="K1184" s="2" t="s">
        <v>45</v>
      </c>
      <c r="L1184" s="2" t="s">
        <v>228</v>
      </c>
      <c r="M1184" s="2" t="s">
        <v>38</v>
      </c>
    </row>
    <row r="1185" spans="1:13" x14ac:dyDescent="0.25">
      <c r="A1185" s="2" t="s">
        <v>2335</v>
      </c>
      <c r="B1185" s="2" t="s">
        <v>98</v>
      </c>
      <c r="C1185" s="2" t="s">
        <v>472</v>
      </c>
      <c r="D1185" s="2" t="s">
        <v>16</v>
      </c>
      <c r="E1185" s="2" t="s">
        <v>34</v>
      </c>
      <c r="F1185" s="2" t="s">
        <v>18</v>
      </c>
      <c r="G1185" s="2">
        <v>3</v>
      </c>
      <c r="H1185" s="2">
        <v>1250</v>
      </c>
      <c r="I1185" s="2">
        <v>5</v>
      </c>
      <c r="J1185" s="2">
        <v>3562.5</v>
      </c>
      <c r="K1185" s="2" t="s">
        <v>205</v>
      </c>
      <c r="L1185" s="2" t="s">
        <v>249</v>
      </c>
      <c r="M1185" s="2" t="s">
        <v>38</v>
      </c>
    </row>
    <row r="1186" spans="1:13" x14ac:dyDescent="0.25">
      <c r="A1186" s="2" t="s">
        <v>2336</v>
      </c>
      <c r="B1186" s="2" t="s">
        <v>2337</v>
      </c>
      <c r="C1186" s="2" t="s">
        <v>57</v>
      </c>
      <c r="D1186" s="2" t="s">
        <v>223</v>
      </c>
      <c r="E1186" s="2" t="s">
        <v>231</v>
      </c>
      <c r="F1186" s="2" t="s">
        <v>239</v>
      </c>
      <c r="G1186" s="2">
        <v>10</v>
      </c>
      <c r="H1186" s="2">
        <v>1080</v>
      </c>
      <c r="I1186" s="2" t="s">
        <v>107</v>
      </c>
      <c r="J1186" s="2">
        <v>10800</v>
      </c>
      <c r="K1186" s="2" t="s">
        <v>127</v>
      </c>
      <c r="L1186" s="2" t="s">
        <v>228</v>
      </c>
      <c r="M1186" s="2" t="s">
        <v>47</v>
      </c>
    </row>
    <row r="1187" spans="1:13" x14ac:dyDescent="0.25">
      <c r="A1187" s="2" t="s">
        <v>2338</v>
      </c>
      <c r="B1187" s="2" t="s">
        <v>2339</v>
      </c>
      <c r="C1187" s="2" t="s">
        <v>41</v>
      </c>
      <c r="D1187" s="2" t="s">
        <v>42</v>
      </c>
      <c r="E1187" s="2" t="s">
        <v>163</v>
      </c>
      <c r="F1187" s="2" t="s">
        <v>18</v>
      </c>
      <c r="G1187" s="2">
        <v>10</v>
      </c>
      <c r="H1187" s="2">
        <v>3460</v>
      </c>
      <c r="I1187" s="2">
        <v>0</v>
      </c>
      <c r="J1187" s="2">
        <v>34600</v>
      </c>
      <c r="K1187" s="2" t="s">
        <v>172</v>
      </c>
      <c r="L1187" s="2" t="s">
        <v>406</v>
      </c>
      <c r="M1187" s="2" t="s">
        <v>201</v>
      </c>
    </row>
    <row r="1188" spans="1:13" x14ac:dyDescent="0.25">
      <c r="A1188" s="2" t="s">
        <v>2340</v>
      </c>
      <c r="B1188" s="2" t="s">
        <v>528</v>
      </c>
      <c r="C1188" s="2" t="s">
        <v>238</v>
      </c>
      <c r="D1188" s="2" t="s">
        <v>51</v>
      </c>
      <c r="E1188" s="2" t="s">
        <v>77</v>
      </c>
      <c r="F1188" s="2" t="s">
        <v>232</v>
      </c>
      <c r="G1188" s="2">
        <v>8</v>
      </c>
      <c r="H1188" s="2">
        <v>26560</v>
      </c>
      <c r="I1188" s="2">
        <v>15</v>
      </c>
      <c r="J1188" s="2">
        <v>180608</v>
      </c>
      <c r="K1188" s="2" t="s">
        <v>136</v>
      </c>
      <c r="L1188" s="2" t="s">
        <v>1998</v>
      </c>
      <c r="M1188" s="2" t="s">
        <v>21</v>
      </c>
    </row>
    <row r="1189" spans="1:13" x14ac:dyDescent="0.25">
      <c r="A1189" s="2" t="s">
        <v>2341</v>
      </c>
      <c r="B1189" s="2" t="s">
        <v>1799</v>
      </c>
      <c r="C1189" s="2" t="s">
        <v>32</v>
      </c>
      <c r="D1189" s="2" t="s">
        <v>33</v>
      </c>
      <c r="E1189" s="2" t="s">
        <v>284</v>
      </c>
      <c r="F1189" s="2" t="s">
        <v>252</v>
      </c>
      <c r="G1189" s="2">
        <v>7</v>
      </c>
      <c r="H1189" s="2">
        <v>58840</v>
      </c>
      <c r="I1189" s="2">
        <v>0</v>
      </c>
      <c r="J1189" s="2"/>
      <c r="K1189" s="2" t="s">
        <v>102</v>
      </c>
      <c r="L1189" s="2" t="s">
        <v>406</v>
      </c>
      <c r="M1189" s="2" t="s">
        <v>29</v>
      </c>
    </row>
    <row r="1190" spans="1:13" x14ac:dyDescent="0.25">
      <c r="A1190" s="2" t="s">
        <v>2342</v>
      </c>
      <c r="B1190" s="2" t="s">
        <v>2343</v>
      </c>
      <c r="C1190" s="2" t="s">
        <v>24</v>
      </c>
      <c r="D1190" s="2" t="s">
        <v>16</v>
      </c>
      <c r="E1190" s="2" t="s">
        <v>111</v>
      </c>
      <c r="F1190" s="2" t="s">
        <v>143</v>
      </c>
      <c r="G1190" s="2">
        <v>0</v>
      </c>
      <c r="H1190" s="2">
        <v>72670</v>
      </c>
      <c r="I1190" s="2">
        <v>5</v>
      </c>
      <c r="J1190" s="2">
        <v>207109.5</v>
      </c>
      <c r="K1190" s="2" t="s">
        <v>127</v>
      </c>
      <c r="L1190" s="2" t="s">
        <v>274</v>
      </c>
      <c r="M1190" s="2" t="s">
        <v>96</v>
      </c>
    </row>
    <row r="1191" spans="1:13" x14ac:dyDescent="0.25">
      <c r="A1191" s="2" t="s">
        <v>2344</v>
      </c>
      <c r="B1191" s="2" t="s">
        <v>1590</v>
      </c>
      <c r="C1191" s="2" t="s">
        <v>57</v>
      </c>
      <c r="D1191" s="2" t="s">
        <v>58</v>
      </c>
      <c r="E1191" s="2" t="s">
        <v>92</v>
      </c>
      <c r="F1191" s="2" t="s">
        <v>332</v>
      </c>
      <c r="G1191" s="2">
        <v>9</v>
      </c>
      <c r="H1191" s="2">
        <v>8430</v>
      </c>
      <c r="I1191" s="2"/>
      <c r="J1191" s="2">
        <v>75870</v>
      </c>
      <c r="K1191" s="2"/>
      <c r="L1191" s="2" t="s">
        <v>79</v>
      </c>
      <c r="M1191" s="2" t="s">
        <v>21</v>
      </c>
    </row>
    <row r="1192" spans="1:13" x14ac:dyDescent="0.25">
      <c r="A1192" s="2" t="s">
        <v>2345</v>
      </c>
      <c r="B1192" s="2" t="s">
        <v>589</v>
      </c>
      <c r="C1192" s="2" t="s">
        <v>198</v>
      </c>
      <c r="D1192" s="2" t="s">
        <v>42</v>
      </c>
      <c r="E1192" s="2" t="s">
        <v>163</v>
      </c>
      <c r="F1192" s="2" t="s">
        <v>290</v>
      </c>
      <c r="G1192" s="2">
        <v>1</v>
      </c>
      <c r="H1192" s="2">
        <v>9300</v>
      </c>
      <c r="I1192" s="2">
        <v>0</v>
      </c>
      <c r="J1192" s="2">
        <v>9300</v>
      </c>
      <c r="K1192" s="2" t="s">
        <v>19</v>
      </c>
      <c r="L1192" s="2" t="s">
        <v>168</v>
      </c>
      <c r="M1192" s="2" t="s">
        <v>140</v>
      </c>
    </row>
    <row r="1193" spans="1:13" x14ac:dyDescent="0.25">
      <c r="A1193" s="2" t="s">
        <v>2346</v>
      </c>
      <c r="B1193" s="2" t="s">
        <v>212</v>
      </c>
      <c r="C1193" s="2" t="s">
        <v>15</v>
      </c>
      <c r="D1193" s="2" t="s">
        <v>16</v>
      </c>
      <c r="E1193" s="2" t="s">
        <v>125</v>
      </c>
      <c r="F1193" s="2" t="s">
        <v>219</v>
      </c>
      <c r="G1193" s="2">
        <v>1</v>
      </c>
      <c r="H1193" s="2">
        <v>7600</v>
      </c>
      <c r="I1193" s="2">
        <v>0</v>
      </c>
      <c r="J1193" s="2">
        <v>7600</v>
      </c>
      <c r="K1193" s="2" t="s">
        <v>120</v>
      </c>
      <c r="L1193" s="2" t="s">
        <v>2347</v>
      </c>
      <c r="M1193" s="2" t="s">
        <v>128</v>
      </c>
    </row>
    <row r="1194" spans="1:13" x14ac:dyDescent="0.25">
      <c r="A1194" s="2" t="s">
        <v>2348</v>
      </c>
      <c r="B1194" s="2" t="s">
        <v>2349</v>
      </c>
      <c r="C1194" s="2" t="s">
        <v>91</v>
      </c>
      <c r="D1194" s="2" t="s">
        <v>51</v>
      </c>
      <c r="E1194" s="2" t="s">
        <v>284</v>
      </c>
      <c r="F1194" s="2" t="s">
        <v>252</v>
      </c>
      <c r="G1194" s="2">
        <v>6</v>
      </c>
      <c r="H1194" s="2">
        <v>16980</v>
      </c>
      <c r="I1194" s="2">
        <v>0</v>
      </c>
      <c r="J1194" s="2">
        <v>101880</v>
      </c>
      <c r="K1194" s="2" t="s">
        <v>53</v>
      </c>
      <c r="L1194" s="2" t="s">
        <v>88</v>
      </c>
      <c r="M1194" s="2" t="s">
        <v>21</v>
      </c>
    </row>
    <row r="1195" spans="1:13" x14ac:dyDescent="0.25">
      <c r="A1195" s="2" t="s">
        <v>2350</v>
      </c>
      <c r="B1195" s="2" t="s">
        <v>1874</v>
      </c>
      <c r="C1195" s="2" t="s">
        <v>91</v>
      </c>
      <c r="D1195" s="2" t="s">
        <v>51</v>
      </c>
      <c r="E1195" s="2" t="s">
        <v>295</v>
      </c>
      <c r="F1195" s="2" t="s">
        <v>126</v>
      </c>
      <c r="G1195" s="2">
        <v>3</v>
      </c>
      <c r="H1195" s="2">
        <v>13690</v>
      </c>
      <c r="I1195" s="2">
        <v>15</v>
      </c>
      <c r="J1195" s="2">
        <v>34909.5</v>
      </c>
      <c r="K1195" s="2" t="s">
        <v>157</v>
      </c>
      <c r="L1195" s="2" t="s">
        <v>344</v>
      </c>
      <c r="M1195" s="2" t="s">
        <v>29</v>
      </c>
    </row>
    <row r="1196" spans="1:13" x14ac:dyDescent="0.25">
      <c r="A1196" s="2" t="s">
        <v>2351</v>
      </c>
      <c r="B1196" s="2" t="s">
        <v>656</v>
      </c>
      <c r="C1196" s="2" t="s">
        <v>41</v>
      </c>
      <c r="D1196" s="2" t="s">
        <v>42</v>
      </c>
      <c r="E1196" s="2" t="s">
        <v>163</v>
      </c>
      <c r="F1196" s="2" t="s">
        <v>374</v>
      </c>
      <c r="G1196" s="2">
        <v>6</v>
      </c>
      <c r="H1196" s="2"/>
      <c r="I1196" s="2">
        <v>0</v>
      </c>
      <c r="J1196" s="2">
        <v>139740</v>
      </c>
      <c r="K1196" s="2" t="s">
        <v>72</v>
      </c>
      <c r="L1196" s="2" t="s">
        <v>344</v>
      </c>
      <c r="M1196" s="2" t="s">
        <v>47</v>
      </c>
    </row>
    <row r="1197" spans="1:13" x14ac:dyDescent="0.25">
      <c r="A1197" s="2" t="s">
        <v>2352</v>
      </c>
      <c r="B1197" s="2" t="s">
        <v>2353</v>
      </c>
      <c r="C1197" s="2" t="s">
        <v>162</v>
      </c>
      <c r="D1197" s="2" t="s">
        <v>33</v>
      </c>
      <c r="E1197" s="2" t="s">
        <v>284</v>
      </c>
      <c r="F1197" s="2" t="s">
        <v>379</v>
      </c>
      <c r="G1197" s="2">
        <v>9</v>
      </c>
      <c r="H1197" s="2">
        <v>13110</v>
      </c>
      <c r="I1197" s="2" t="s">
        <v>138</v>
      </c>
      <c r="J1197" s="2">
        <v>112090.5</v>
      </c>
      <c r="K1197" s="2" t="s">
        <v>205</v>
      </c>
      <c r="L1197" s="2" t="s">
        <v>28</v>
      </c>
      <c r="M1197" s="2" t="s">
        <v>21</v>
      </c>
    </row>
    <row r="1198" spans="1:13" x14ac:dyDescent="0.25">
      <c r="A1198" s="2" t="s">
        <v>2354</v>
      </c>
      <c r="B1198" s="2" t="s">
        <v>2355</v>
      </c>
      <c r="C1198" s="2" t="s">
        <v>449</v>
      </c>
      <c r="D1198" s="2" t="s">
        <v>42</v>
      </c>
      <c r="E1198" s="2" t="s">
        <v>25</v>
      </c>
      <c r="F1198" s="2" t="s">
        <v>248</v>
      </c>
      <c r="G1198" s="2">
        <v>12</v>
      </c>
      <c r="H1198" s="2">
        <v>2400</v>
      </c>
      <c r="I1198" s="2">
        <v>10</v>
      </c>
      <c r="J1198" s="2">
        <v>25920</v>
      </c>
      <c r="K1198" s="2" t="s">
        <v>157</v>
      </c>
      <c r="L1198" s="2" t="s">
        <v>339</v>
      </c>
      <c r="M1198" s="2" t="s">
        <v>128</v>
      </c>
    </row>
    <row r="1199" spans="1:13" x14ac:dyDescent="0.25">
      <c r="A1199" s="2" t="s">
        <v>2356</v>
      </c>
      <c r="B1199" s="2" t="s">
        <v>1168</v>
      </c>
      <c r="C1199" s="2" t="s">
        <v>76</v>
      </c>
      <c r="D1199" s="2" t="s">
        <v>33</v>
      </c>
      <c r="E1199" s="2" t="s">
        <v>105</v>
      </c>
      <c r="F1199" s="2" t="s">
        <v>332</v>
      </c>
      <c r="G1199" s="2">
        <v>1</v>
      </c>
      <c r="H1199" s="2">
        <v>2400</v>
      </c>
      <c r="I1199" s="2">
        <v>0</v>
      </c>
      <c r="J1199" s="2">
        <v>2400</v>
      </c>
      <c r="K1199" s="2" t="s">
        <v>172</v>
      </c>
      <c r="L1199" s="2" t="s">
        <v>112</v>
      </c>
      <c r="M1199" s="2" t="s">
        <v>201</v>
      </c>
    </row>
    <row r="1200" spans="1:13" x14ac:dyDescent="0.25">
      <c r="A1200" s="2" t="s">
        <v>2357</v>
      </c>
      <c r="B1200" s="2" t="s">
        <v>2358</v>
      </c>
      <c r="C1200" s="2" t="s">
        <v>32</v>
      </c>
      <c r="D1200" s="2" t="s">
        <v>33</v>
      </c>
      <c r="E1200" s="2" t="s">
        <v>125</v>
      </c>
      <c r="F1200" s="2" t="s">
        <v>66</v>
      </c>
      <c r="G1200" s="2">
        <v>10</v>
      </c>
      <c r="H1200" s="2">
        <v>2400</v>
      </c>
      <c r="I1200" s="2">
        <v>10</v>
      </c>
      <c r="J1200" s="2">
        <v>21600</v>
      </c>
      <c r="K1200" s="2" t="s">
        <v>27</v>
      </c>
      <c r="L1200" s="2" t="s">
        <v>176</v>
      </c>
      <c r="M1200" s="2" t="s">
        <v>21</v>
      </c>
    </row>
    <row r="1201" spans="1:13" x14ac:dyDescent="0.25">
      <c r="A1201" s="2" t="s">
        <v>2359</v>
      </c>
      <c r="B1201" s="2" t="s">
        <v>581</v>
      </c>
      <c r="C1201" s="2" t="s">
        <v>135</v>
      </c>
      <c r="D1201" s="2" t="s">
        <v>58</v>
      </c>
      <c r="E1201" s="2" t="s">
        <v>82</v>
      </c>
      <c r="F1201" s="2" t="s">
        <v>60</v>
      </c>
      <c r="G1201" s="2">
        <v>9</v>
      </c>
      <c r="H1201" s="2">
        <v>24400</v>
      </c>
      <c r="I1201" s="2">
        <v>0</v>
      </c>
      <c r="J1201" s="2">
        <v>219600</v>
      </c>
      <c r="K1201" s="2" t="s">
        <v>94</v>
      </c>
      <c r="L1201" s="2" t="s">
        <v>37</v>
      </c>
      <c r="M1201" s="2" t="s">
        <v>38</v>
      </c>
    </row>
    <row r="1202" spans="1:13" x14ac:dyDescent="0.25">
      <c r="A1202" s="2" t="s">
        <v>2360</v>
      </c>
      <c r="B1202" s="2" t="s">
        <v>2361</v>
      </c>
      <c r="C1202" s="2" t="s">
        <v>472</v>
      </c>
      <c r="D1202" s="2" t="s">
        <v>16</v>
      </c>
      <c r="E1202" s="2" t="s">
        <v>100</v>
      </c>
      <c r="F1202" s="2" t="s">
        <v>219</v>
      </c>
      <c r="G1202" s="2">
        <v>8</v>
      </c>
      <c r="H1202" s="2">
        <v>1160</v>
      </c>
      <c r="I1202" s="2">
        <v>0</v>
      </c>
      <c r="J1202" s="2">
        <v>9280</v>
      </c>
      <c r="K1202" s="2" t="s">
        <v>19</v>
      </c>
      <c r="L1202" s="2" t="s">
        <v>2362</v>
      </c>
      <c r="M1202" s="2" t="s">
        <v>128</v>
      </c>
    </row>
    <row r="1203" spans="1:13" x14ac:dyDescent="0.25">
      <c r="A1203" s="2" t="s">
        <v>2363</v>
      </c>
      <c r="B1203" s="2" t="s">
        <v>2364</v>
      </c>
      <c r="C1203" s="2" t="s">
        <v>469</v>
      </c>
      <c r="D1203" s="2" t="s">
        <v>51</v>
      </c>
      <c r="E1203" s="2" t="s">
        <v>223</v>
      </c>
      <c r="F1203" s="2" t="s">
        <v>374</v>
      </c>
      <c r="G1203" s="2">
        <v>8</v>
      </c>
      <c r="H1203" s="2">
        <v>1140</v>
      </c>
      <c r="I1203" s="2">
        <v>5</v>
      </c>
      <c r="J1203" s="2">
        <v>8664</v>
      </c>
      <c r="K1203" s="2" t="s">
        <v>36</v>
      </c>
      <c r="L1203" s="2" t="s">
        <v>274</v>
      </c>
      <c r="M1203" s="2" t="s">
        <v>47</v>
      </c>
    </row>
    <row r="1204" spans="1:13" x14ac:dyDescent="0.25">
      <c r="A1204" s="2" t="s">
        <v>2365</v>
      </c>
      <c r="B1204" s="2" t="s">
        <v>677</v>
      </c>
      <c r="C1204" s="2" t="s">
        <v>32</v>
      </c>
      <c r="D1204" s="2" t="s">
        <v>33</v>
      </c>
      <c r="E1204" s="2" t="s">
        <v>43</v>
      </c>
      <c r="F1204" s="2" t="s">
        <v>115</v>
      </c>
      <c r="G1204" s="2">
        <v>4</v>
      </c>
      <c r="H1204" s="2">
        <v>5580</v>
      </c>
      <c r="I1204" s="2">
        <v>10</v>
      </c>
      <c r="J1204" s="2">
        <v>20088</v>
      </c>
      <c r="K1204" s="2" t="s">
        <v>72</v>
      </c>
      <c r="L1204" s="2" t="s">
        <v>46</v>
      </c>
      <c r="M1204" s="2" t="s">
        <v>21</v>
      </c>
    </row>
    <row r="1205" spans="1:13" x14ac:dyDescent="0.25">
      <c r="A1205" s="2" t="s">
        <v>2366</v>
      </c>
      <c r="B1205" s="2" t="s">
        <v>623</v>
      </c>
      <c r="C1205" s="2" t="s">
        <v>24</v>
      </c>
      <c r="D1205" s="2" t="s">
        <v>16</v>
      </c>
      <c r="E1205" s="2" t="s">
        <v>77</v>
      </c>
      <c r="F1205" s="2" t="s">
        <v>543</v>
      </c>
      <c r="G1205" s="2">
        <v>5</v>
      </c>
      <c r="H1205" s="2">
        <v>10940</v>
      </c>
      <c r="I1205" s="2">
        <v>0</v>
      </c>
      <c r="J1205" s="2">
        <v>54700</v>
      </c>
      <c r="K1205" s="2" t="s">
        <v>144</v>
      </c>
      <c r="L1205" s="2" t="s">
        <v>37</v>
      </c>
      <c r="M1205" s="2" t="s">
        <v>47</v>
      </c>
    </row>
    <row r="1206" spans="1:13" x14ac:dyDescent="0.25">
      <c r="A1206" s="2" t="s">
        <v>2367</v>
      </c>
      <c r="B1206" s="2" t="s">
        <v>2368</v>
      </c>
      <c r="C1206" s="2" t="s">
        <v>449</v>
      </c>
      <c r="D1206" s="2" t="s">
        <v>42</v>
      </c>
      <c r="E1206" s="2" t="s">
        <v>131</v>
      </c>
      <c r="F1206" s="2" t="s">
        <v>296</v>
      </c>
      <c r="G1206" s="2">
        <v>4</v>
      </c>
      <c r="H1206" s="2">
        <v>7090</v>
      </c>
      <c r="I1206" s="2">
        <v>15</v>
      </c>
      <c r="J1206" s="2">
        <v>24106</v>
      </c>
      <c r="K1206" s="2" t="s">
        <v>36</v>
      </c>
      <c r="L1206" s="2" t="s">
        <v>903</v>
      </c>
      <c r="M1206" s="2" t="s">
        <v>47</v>
      </c>
    </row>
    <row r="1207" spans="1:13" x14ac:dyDescent="0.25">
      <c r="A1207" s="2" t="s">
        <v>2369</v>
      </c>
      <c r="B1207" s="2" t="s">
        <v>2370</v>
      </c>
      <c r="C1207" s="2" t="s">
        <v>238</v>
      </c>
      <c r="D1207" s="2" t="s">
        <v>51</v>
      </c>
      <c r="E1207" s="2" t="s">
        <v>111</v>
      </c>
      <c r="F1207" s="2" t="s">
        <v>239</v>
      </c>
      <c r="G1207" s="2">
        <v>8</v>
      </c>
      <c r="H1207" s="2">
        <v>18320</v>
      </c>
      <c r="I1207" s="2">
        <v>0</v>
      </c>
      <c r="J1207" s="2">
        <v>146560</v>
      </c>
      <c r="K1207" s="2" t="s">
        <v>36</v>
      </c>
      <c r="L1207" s="2" t="s">
        <v>776</v>
      </c>
      <c r="M1207" s="2" t="s">
        <v>47</v>
      </c>
    </row>
    <row r="1208" spans="1:13" x14ac:dyDescent="0.25">
      <c r="A1208" s="2" t="s">
        <v>2371</v>
      </c>
      <c r="B1208" s="2" t="s">
        <v>2372</v>
      </c>
      <c r="C1208" s="2" t="s">
        <v>135</v>
      </c>
      <c r="D1208" s="2" t="s">
        <v>58</v>
      </c>
      <c r="E1208" s="2" t="s">
        <v>111</v>
      </c>
      <c r="F1208" s="2" t="s">
        <v>224</v>
      </c>
      <c r="G1208" s="2">
        <v>5</v>
      </c>
      <c r="H1208" s="2">
        <v>7200</v>
      </c>
      <c r="I1208" s="2">
        <v>0</v>
      </c>
      <c r="J1208" s="2">
        <v>36000</v>
      </c>
      <c r="K1208" s="2" t="s">
        <v>67</v>
      </c>
      <c r="L1208" s="2" t="s">
        <v>473</v>
      </c>
      <c r="M1208" s="2" t="s">
        <v>128</v>
      </c>
    </row>
    <row r="1209" spans="1:13" x14ac:dyDescent="0.25">
      <c r="A1209" s="2" t="s">
        <v>2373</v>
      </c>
      <c r="B1209" s="2" t="s">
        <v>2252</v>
      </c>
      <c r="C1209" s="2" t="s">
        <v>238</v>
      </c>
      <c r="D1209" s="2" t="s">
        <v>51</v>
      </c>
      <c r="E1209" s="2" t="s">
        <v>52</v>
      </c>
      <c r="F1209" s="2" t="s">
        <v>106</v>
      </c>
      <c r="G1209" s="2">
        <v>12</v>
      </c>
      <c r="H1209" s="2">
        <v>8730</v>
      </c>
      <c r="I1209" s="2"/>
      <c r="J1209" s="2">
        <v>89046</v>
      </c>
      <c r="K1209" s="2" t="s">
        <v>139</v>
      </c>
      <c r="L1209" s="2" t="s">
        <v>491</v>
      </c>
      <c r="M1209" s="2" t="s">
        <v>352</v>
      </c>
    </row>
    <row r="1210" spans="1:13" x14ac:dyDescent="0.25">
      <c r="A1210" s="2" t="s">
        <v>2374</v>
      </c>
      <c r="B1210" s="2" t="s">
        <v>2010</v>
      </c>
      <c r="C1210" s="2" t="s">
        <v>135</v>
      </c>
      <c r="D1210" s="2" t="s">
        <v>58</v>
      </c>
      <c r="E1210" s="2" t="s">
        <v>231</v>
      </c>
      <c r="F1210" s="2" t="s">
        <v>180</v>
      </c>
      <c r="G1210" s="2">
        <v>3</v>
      </c>
      <c r="H1210" s="2">
        <v>12550</v>
      </c>
      <c r="I1210" s="2">
        <v>0</v>
      </c>
      <c r="J1210" s="2">
        <v>37650</v>
      </c>
      <c r="K1210" s="2" t="s">
        <v>172</v>
      </c>
      <c r="L1210" s="2" t="s">
        <v>2375</v>
      </c>
      <c r="M1210" s="2" t="s">
        <v>38</v>
      </c>
    </row>
    <row r="1211" spans="1:13" x14ac:dyDescent="0.25">
      <c r="A1211" s="2" t="s">
        <v>2376</v>
      </c>
      <c r="B1211" s="2" t="s">
        <v>2377</v>
      </c>
      <c r="C1211" s="2" t="s">
        <v>76</v>
      </c>
      <c r="D1211" s="2" t="s">
        <v>33</v>
      </c>
      <c r="E1211" s="2" t="s">
        <v>284</v>
      </c>
      <c r="F1211" s="2" t="s">
        <v>83</v>
      </c>
      <c r="G1211" s="2">
        <v>10</v>
      </c>
      <c r="H1211" s="2">
        <v>73800</v>
      </c>
      <c r="I1211" s="2">
        <v>15</v>
      </c>
      <c r="J1211" s="2" t="s">
        <v>138</v>
      </c>
      <c r="K1211" s="2" t="s">
        <v>72</v>
      </c>
      <c r="L1211" s="2" t="s">
        <v>796</v>
      </c>
      <c r="M1211" s="2" t="s">
        <v>29</v>
      </c>
    </row>
    <row r="1212" spans="1:13" x14ac:dyDescent="0.25">
      <c r="A1212" s="2" t="s">
        <v>2378</v>
      </c>
      <c r="B1212" s="2" t="s">
        <v>1298</v>
      </c>
      <c r="C1212" s="2" t="s">
        <v>76</v>
      </c>
      <c r="D1212" s="2" t="s">
        <v>33</v>
      </c>
      <c r="E1212" s="2" t="s">
        <v>43</v>
      </c>
      <c r="F1212" s="2" t="s">
        <v>44</v>
      </c>
      <c r="G1212" s="2">
        <v>6</v>
      </c>
      <c r="H1212" s="2">
        <v>13060</v>
      </c>
      <c r="I1212" s="2">
        <v>10</v>
      </c>
      <c r="J1212" s="2">
        <v>70524</v>
      </c>
      <c r="K1212" s="2" t="s">
        <v>72</v>
      </c>
      <c r="L1212" s="2" t="s">
        <v>411</v>
      </c>
      <c r="M1212" s="2" t="s">
        <v>29</v>
      </c>
    </row>
    <row r="1213" spans="1:13" x14ac:dyDescent="0.25">
      <c r="A1213" s="2" t="s">
        <v>2379</v>
      </c>
      <c r="B1213" s="2" t="s">
        <v>1106</v>
      </c>
      <c r="C1213" s="2" t="s">
        <v>449</v>
      </c>
      <c r="D1213" s="2" t="s">
        <v>42</v>
      </c>
      <c r="E1213" s="2" t="s">
        <v>105</v>
      </c>
      <c r="F1213" s="2" t="s">
        <v>106</v>
      </c>
      <c r="G1213" s="2">
        <v>3</v>
      </c>
      <c r="H1213" s="2">
        <v>2490</v>
      </c>
      <c r="I1213" s="2">
        <v>15</v>
      </c>
      <c r="J1213" s="2">
        <v>6349.5</v>
      </c>
      <c r="K1213" s="2" t="s">
        <v>133</v>
      </c>
      <c r="L1213" s="2" t="s">
        <v>54</v>
      </c>
      <c r="M1213" s="2" t="s">
        <v>140</v>
      </c>
    </row>
    <row r="1214" spans="1:13" x14ac:dyDescent="0.25">
      <c r="A1214" s="2" t="s">
        <v>2380</v>
      </c>
      <c r="B1214" s="2" t="s">
        <v>1644</v>
      </c>
      <c r="C1214" s="2" t="s">
        <v>50</v>
      </c>
      <c r="D1214" s="2" t="s">
        <v>51</v>
      </c>
      <c r="E1214" s="2" t="s">
        <v>52</v>
      </c>
      <c r="F1214" s="2" t="s">
        <v>255</v>
      </c>
      <c r="G1214" s="2">
        <v>2</v>
      </c>
      <c r="H1214" s="2">
        <v>43560</v>
      </c>
      <c r="I1214" s="2">
        <v>0</v>
      </c>
      <c r="J1214" s="2">
        <v>87120</v>
      </c>
      <c r="K1214" s="2" t="s">
        <v>72</v>
      </c>
      <c r="L1214" s="2" t="s">
        <v>88</v>
      </c>
      <c r="M1214" s="2" t="s">
        <v>821</v>
      </c>
    </row>
    <row r="1215" spans="1:13" x14ac:dyDescent="0.25">
      <c r="A1215" s="2" t="s">
        <v>2381</v>
      </c>
      <c r="B1215" s="2" t="s">
        <v>1300</v>
      </c>
      <c r="C1215" s="2" t="s">
        <v>1814</v>
      </c>
      <c r="D1215" s="2" t="s">
        <v>51</v>
      </c>
      <c r="E1215" s="2" t="s">
        <v>92</v>
      </c>
      <c r="F1215" s="2" t="s">
        <v>93</v>
      </c>
      <c r="G1215" s="2">
        <v>5</v>
      </c>
      <c r="H1215" s="2">
        <v>470</v>
      </c>
      <c r="I1215" s="2">
        <v>10</v>
      </c>
      <c r="J1215" s="2">
        <v>2115</v>
      </c>
      <c r="K1215" s="2" t="s">
        <v>102</v>
      </c>
      <c r="L1215" s="2" t="s">
        <v>68</v>
      </c>
      <c r="M1215" s="2" t="s">
        <v>140</v>
      </c>
    </row>
    <row r="1216" spans="1:13" x14ac:dyDescent="0.25">
      <c r="A1216" s="2" t="s">
        <v>2382</v>
      </c>
      <c r="B1216" s="2" t="s">
        <v>2383</v>
      </c>
      <c r="C1216" s="2" t="s">
        <v>110</v>
      </c>
      <c r="D1216" s="2" t="s">
        <v>33</v>
      </c>
      <c r="E1216" s="2" t="s">
        <v>77</v>
      </c>
      <c r="F1216" s="2" t="s">
        <v>239</v>
      </c>
      <c r="G1216" s="2">
        <v>8</v>
      </c>
      <c r="H1216" s="2">
        <v>1240</v>
      </c>
      <c r="I1216" s="2" t="s">
        <v>136</v>
      </c>
      <c r="J1216" s="2">
        <v>9920</v>
      </c>
      <c r="K1216" s="2" t="s">
        <v>172</v>
      </c>
      <c r="L1216" s="2" t="s">
        <v>776</v>
      </c>
      <c r="M1216" s="2" t="s">
        <v>140</v>
      </c>
    </row>
    <row r="1217" spans="1:13" x14ac:dyDescent="0.25">
      <c r="A1217" s="2" t="s">
        <v>2384</v>
      </c>
      <c r="B1217" s="2" t="s">
        <v>2008</v>
      </c>
      <c r="C1217" s="2" t="s">
        <v>24</v>
      </c>
      <c r="D1217" s="2" t="s">
        <v>16</v>
      </c>
      <c r="E1217" s="2" t="s">
        <v>92</v>
      </c>
      <c r="F1217" s="2" t="s">
        <v>248</v>
      </c>
      <c r="G1217" s="2">
        <v>7</v>
      </c>
      <c r="H1217" s="2">
        <v>74730</v>
      </c>
      <c r="I1217" s="2">
        <v>0</v>
      </c>
      <c r="J1217" s="2">
        <v>523110</v>
      </c>
      <c r="K1217" s="2" t="s">
        <v>144</v>
      </c>
      <c r="L1217" s="2" t="s">
        <v>54</v>
      </c>
      <c r="M1217" s="2" t="s">
        <v>128</v>
      </c>
    </row>
    <row r="1218" spans="1:13" x14ac:dyDescent="0.25">
      <c r="A1218" s="2" t="s">
        <v>2385</v>
      </c>
      <c r="B1218" s="2" t="s">
        <v>2386</v>
      </c>
      <c r="C1218" s="2" t="s">
        <v>204</v>
      </c>
      <c r="D1218" s="2" t="s">
        <v>33</v>
      </c>
      <c r="E1218" s="2" t="s">
        <v>17</v>
      </c>
      <c r="F1218" s="2" t="s">
        <v>35</v>
      </c>
      <c r="G1218" s="2">
        <v>10</v>
      </c>
      <c r="H1218" s="2">
        <v>4580</v>
      </c>
      <c r="I1218" s="2">
        <v>0</v>
      </c>
      <c r="J1218" s="2">
        <v>45800</v>
      </c>
      <c r="K1218" s="2" t="s">
        <v>19</v>
      </c>
      <c r="L1218" s="2" t="s">
        <v>411</v>
      </c>
      <c r="M1218" s="2" t="s">
        <v>38</v>
      </c>
    </row>
    <row r="1219" spans="1:13" x14ac:dyDescent="0.25">
      <c r="A1219" s="2" t="s">
        <v>2387</v>
      </c>
      <c r="B1219" s="2" t="s">
        <v>2388</v>
      </c>
      <c r="C1219" s="2" t="s">
        <v>76</v>
      </c>
      <c r="D1219" s="2" t="s">
        <v>33</v>
      </c>
      <c r="E1219" s="2" t="s">
        <v>92</v>
      </c>
      <c r="F1219" s="2" t="s">
        <v>106</v>
      </c>
      <c r="G1219" s="2">
        <v>10</v>
      </c>
      <c r="H1219" s="2">
        <v>3520</v>
      </c>
      <c r="I1219" s="2">
        <v>0</v>
      </c>
      <c r="J1219" s="2">
        <v>35200</v>
      </c>
      <c r="K1219" s="2" t="s">
        <v>36</v>
      </c>
      <c r="L1219" s="2"/>
      <c r="M1219" s="2" t="s">
        <v>210</v>
      </c>
    </row>
    <row r="1220" spans="1:13" x14ac:dyDescent="0.25">
      <c r="A1220" s="2" t="s">
        <v>2389</v>
      </c>
      <c r="B1220" s="2" t="s">
        <v>1075</v>
      </c>
      <c r="C1220" s="2" t="s">
        <v>194</v>
      </c>
      <c r="D1220" s="2" t="s">
        <v>51</v>
      </c>
      <c r="E1220" s="2" t="s">
        <v>34</v>
      </c>
      <c r="F1220" s="2" t="s">
        <v>164</v>
      </c>
      <c r="G1220" s="2">
        <v>6</v>
      </c>
      <c r="H1220" s="2">
        <v>3430</v>
      </c>
      <c r="I1220" s="2">
        <v>5</v>
      </c>
      <c r="J1220" s="2">
        <v>19551</v>
      </c>
      <c r="K1220" s="2" t="s">
        <v>157</v>
      </c>
      <c r="L1220" s="2" t="s">
        <v>344</v>
      </c>
      <c r="M1220" s="2"/>
    </row>
    <row r="1221" spans="1:13" x14ac:dyDescent="0.25">
      <c r="A1221" s="2" t="s">
        <v>2390</v>
      </c>
      <c r="B1221" s="2" t="s">
        <v>1956</v>
      </c>
      <c r="C1221" s="2" t="s">
        <v>204</v>
      </c>
      <c r="D1221" s="2" t="s">
        <v>33</v>
      </c>
      <c r="E1221" s="2" t="s">
        <v>137</v>
      </c>
      <c r="F1221" s="2" t="s">
        <v>164</v>
      </c>
      <c r="G1221" s="2">
        <v>10</v>
      </c>
      <c r="H1221" s="2">
        <v>28530</v>
      </c>
      <c r="I1221" s="2">
        <v>0</v>
      </c>
      <c r="J1221" s="2" t="s">
        <v>138</v>
      </c>
      <c r="K1221" s="2" t="s">
        <v>94</v>
      </c>
      <c r="L1221" s="2" t="s">
        <v>1929</v>
      </c>
      <c r="M1221" s="2" t="s">
        <v>38</v>
      </c>
    </row>
    <row r="1222" spans="1:13" x14ac:dyDescent="0.25">
      <c r="A1222" s="2" t="s">
        <v>2391</v>
      </c>
      <c r="B1222" s="2" t="s">
        <v>650</v>
      </c>
      <c r="C1222" s="2" t="s">
        <v>657</v>
      </c>
      <c r="D1222" s="2" t="s">
        <v>58</v>
      </c>
      <c r="E1222" s="2" t="s">
        <v>163</v>
      </c>
      <c r="F1222" s="2" t="s">
        <v>290</v>
      </c>
      <c r="G1222" s="2">
        <v>11</v>
      </c>
      <c r="H1222" s="2">
        <v>7540</v>
      </c>
      <c r="I1222" s="2">
        <v>0</v>
      </c>
      <c r="J1222" s="2">
        <v>82940</v>
      </c>
      <c r="K1222" s="2" t="s">
        <v>127</v>
      </c>
      <c r="L1222" s="2" t="s">
        <v>1007</v>
      </c>
      <c r="M1222" s="2" t="s">
        <v>21</v>
      </c>
    </row>
    <row r="1223" spans="1:13" x14ac:dyDescent="0.25">
      <c r="A1223" s="2" t="s">
        <v>2392</v>
      </c>
      <c r="B1223" s="2" t="s">
        <v>798</v>
      </c>
      <c r="C1223" s="2" t="s">
        <v>41</v>
      </c>
      <c r="D1223" s="2" t="s">
        <v>136</v>
      </c>
      <c r="E1223" s="2" t="s">
        <v>163</v>
      </c>
      <c r="F1223" s="2" t="s">
        <v>171</v>
      </c>
      <c r="G1223" s="2">
        <v>11</v>
      </c>
      <c r="H1223" s="2">
        <v>480</v>
      </c>
      <c r="I1223" s="2">
        <v>10</v>
      </c>
      <c r="J1223" s="2">
        <v>4752</v>
      </c>
      <c r="K1223" s="2" t="s">
        <v>45</v>
      </c>
      <c r="L1223" s="2" t="s">
        <v>46</v>
      </c>
      <c r="M1223" s="2" t="s">
        <v>21</v>
      </c>
    </row>
    <row r="1224" spans="1:13" x14ac:dyDescent="0.25">
      <c r="A1224" s="2" t="s">
        <v>2393</v>
      </c>
      <c r="B1224" s="2" t="s">
        <v>1939</v>
      </c>
      <c r="C1224" s="2" t="s">
        <v>156</v>
      </c>
      <c r="D1224" s="2" t="s">
        <v>51</v>
      </c>
      <c r="E1224" s="2" t="s">
        <v>119</v>
      </c>
      <c r="F1224" s="2" t="s">
        <v>93</v>
      </c>
      <c r="G1224" s="2">
        <v>11</v>
      </c>
      <c r="H1224" s="2">
        <v>1260</v>
      </c>
      <c r="I1224" s="2" t="s">
        <v>107</v>
      </c>
      <c r="J1224" s="2">
        <v>13860</v>
      </c>
      <c r="K1224" s="2" t="s">
        <v>94</v>
      </c>
      <c r="L1224" s="2" t="s">
        <v>79</v>
      </c>
      <c r="M1224" s="2" t="s">
        <v>47</v>
      </c>
    </row>
    <row r="1225" spans="1:13" x14ac:dyDescent="0.25">
      <c r="A1225" s="2" t="s">
        <v>2394</v>
      </c>
      <c r="B1225" s="2" t="s">
        <v>2395</v>
      </c>
      <c r="C1225" s="2" t="s">
        <v>162</v>
      </c>
      <c r="D1225" s="2" t="s">
        <v>33</v>
      </c>
      <c r="E1225" s="2" t="s">
        <v>284</v>
      </c>
      <c r="F1225" s="2" t="s">
        <v>379</v>
      </c>
      <c r="G1225" s="2">
        <v>11</v>
      </c>
      <c r="H1225" s="2">
        <v>520</v>
      </c>
      <c r="I1225" s="2">
        <v>0</v>
      </c>
      <c r="J1225" s="2">
        <v>5720</v>
      </c>
      <c r="K1225" s="2" t="s">
        <v>87</v>
      </c>
      <c r="L1225" s="2" t="s">
        <v>411</v>
      </c>
      <c r="M1225" s="2" t="s">
        <v>128</v>
      </c>
    </row>
    <row r="1226" spans="1:13" x14ac:dyDescent="0.25">
      <c r="A1226" s="2" t="s">
        <v>2396</v>
      </c>
      <c r="B1226" s="2" t="s">
        <v>2038</v>
      </c>
      <c r="C1226" s="2" t="s">
        <v>135</v>
      </c>
      <c r="D1226" s="2" t="s">
        <v>58</v>
      </c>
      <c r="E1226" s="2" t="s">
        <v>195</v>
      </c>
      <c r="F1226" s="2" t="s">
        <v>374</v>
      </c>
      <c r="G1226" s="2">
        <v>12</v>
      </c>
      <c r="H1226" s="2">
        <v>8650</v>
      </c>
      <c r="I1226" s="2">
        <v>0</v>
      </c>
      <c r="J1226" s="2">
        <v>103800</v>
      </c>
      <c r="K1226" s="2" t="s">
        <v>72</v>
      </c>
      <c r="L1226" s="2" t="s">
        <v>646</v>
      </c>
      <c r="M1226" s="2" t="s">
        <v>47</v>
      </c>
    </row>
    <row r="1227" spans="1:13" x14ac:dyDescent="0.25">
      <c r="A1227" s="2" t="s">
        <v>2397</v>
      </c>
      <c r="B1227" s="2" t="s">
        <v>911</v>
      </c>
      <c r="C1227" s="2" t="s">
        <v>198</v>
      </c>
      <c r="D1227" s="2" t="s">
        <v>42</v>
      </c>
      <c r="E1227" s="2" t="s">
        <v>504</v>
      </c>
      <c r="F1227" s="2" t="s">
        <v>167</v>
      </c>
      <c r="G1227" s="2" t="s">
        <v>107</v>
      </c>
      <c r="H1227" s="2">
        <v>26460</v>
      </c>
      <c r="I1227" s="2">
        <v>0</v>
      </c>
      <c r="J1227" s="2">
        <v>211680</v>
      </c>
      <c r="K1227" s="2" t="s">
        <v>139</v>
      </c>
      <c r="L1227" s="2" t="s">
        <v>883</v>
      </c>
      <c r="M1227" s="2" t="s">
        <v>29</v>
      </c>
    </row>
    <row r="1228" spans="1:13" x14ac:dyDescent="0.25">
      <c r="A1228" s="2" t="s">
        <v>2398</v>
      </c>
      <c r="B1228" s="2" t="s">
        <v>2399</v>
      </c>
      <c r="C1228" s="2" t="s">
        <v>238</v>
      </c>
      <c r="D1228" s="2" t="s">
        <v>51</v>
      </c>
      <c r="E1228" s="2" t="s">
        <v>231</v>
      </c>
      <c r="F1228" s="2" t="s">
        <v>239</v>
      </c>
      <c r="G1228" s="2">
        <v>8</v>
      </c>
      <c r="H1228" s="2">
        <v>8340</v>
      </c>
      <c r="I1228" s="2">
        <v>10</v>
      </c>
      <c r="J1228" s="2">
        <v>60048</v>
      </c>
      <c r="K1228" s="2" t="s">
        <v>36</v>
      </c>
      <c r="L1228" s="2" t="s">
        <v>200</v>
      </c>
      <c r="M1228" s="2" t="s">
        <v>47</v>
      </c>
    </row>
    <row r="1229" spans="1:13" x14ac:dyDescent="0.25">
      <c r="A1229" s="2" t="s">
        <v>2400</v>
      </c>
      <c r="B1229" s="2" t="s">
        <v>2401</v>
      </c>
      <c r="C1229" s="2" t="s">
        <v>135</v>
      </c>
      <c r="D1229" s="2" t="s">
        <v>58</v>
      </c>
      <c r="E1229" s="2" t="s">
        <v>52</v>
      </c>
      <c r="F1229" s="2" t="s">
        <v>248</v>
      </c>
      <c r="G1229" s="2">
        <v>2</v>
      </c>
      <c r="H1229" s="2">
        <v>1080</v>
      </c>
      <c r="I1229" s="2">
        <v>5</v>
      </c>
      <c r="J1229" s="2">
        <v>2052</v>
      </c>
      <c r="K1229" s="2" t="s">
        <v>72</v>
      </c>
      <c r="L1229" s="2" t="s">
        <v>411</v>
      </c>
      <c r="M1229" s="2" t="s">
        <v>47</v>
      </c>
    </row>
    <row r="1230" spans="1:13" x14ac:dyDescent="0.25">
      <c r="A1230" s="2" t="s">
        <v>2402</v>
      </c>
      <c r="B1230" s="2" t="s">
        <v>2403</v>
      </c>
      <c r="C1230" s="2" t="s">
        <v>204</v>
      </c>
      <c r="D1230" s="2" t="s">
        <v>33</v>
      </c>
      <c r="E1230" s="2" t="s">
        <v>25</v>
      </c>
      <c r="F1230" s="2" t="s">
        <v>255</v>
      </c>
      <c r="G1230" s="2">
        <v>3</v>
      </c>
      <c r="H1230" s="2">
        <v>13540</v>
      </c>
      <c r="I1230" s="2">
        <v>5</v>
      </c>
      <c r="J1230" s="2">
        <v>38589</v>
      </c>
      <c r="K1230" s="2" t="s">
        <v>19</v>
      </c>
      <c r="L1230" s="2" t="s">
        <v>107</v>
      </c>
      <c r="M1230" s="2" t="s">
        <v>140</v>
      </c>
    </row>
    <row r="1231" spans="1:13" x14ac:dyDescent="0.25">
      <c r="A1231" s="2" t="s">
        <v>2404</v>
      </c>
      <c r="B1231" s="2" t="s">
        <v>955</v>
      </c>
      <c r="C1231" s="2" t="s">
        <v>198</v>
      </c>
      <c r="D1231" s="2" t="s">
        <v>42</v>
      </c>
      <c r="E1231" s="2" t="s">
        <v>111</v>
      </c>
      <c r="F1231" s="2" t="s">
        <v>224</v>
      </c>
      <c r="G1231" s="2">
        <v>5</v>
      </c>
      <c r="H1231" s="2">
        <v>5010</v>
      </c>
      <c r="I1231" s="2">
        <v>0</v>
      </c>
      <c r="J1231" s="2">
        <v>25050</v>
      </c>
      <c r="K1231" s="2" t="s">
        <v>102</v>
      </c>
      <c r="L1231" s="2" t="s">
        <v>266</v>
      </c>
      <c r="M1231" s="2" t="s">
        <v>21</v>
      </c>
    </row>
    <row r="1232" spans="1:13" x14ac:dyDescent="0.25">
      <c r="A1232" s="2" t="s">
        <v>2405</v>
      </c>
      <c r="B1232" s="2" t="s">
        <v>2406</v>
      </c>
      <c r="C1232" s="2" t="s">
        <v>124</v>
      </c>
      <c r="D1232" s="2" t="s">
        <v>51</v>
      </c>
      <c r="E1232" s="2" t="s">
        <v>148</v>
      </c>
      <c r="F1232" s="2" t="s">
        <v>149</v>
      </c>
      <c r="G1232" s="2">
        <v>4</v>
      </c>
      <c r="H1232" s="2">
        <v>9320</v>
      </c>
      <c r="I1232" s="2">
        <v>10</v>
      </c>
      <c r="J1232" s="2">
        <v>33552</v>
      </c>
      <c r="K1232" s="2" t="s">
        <v>157</v>
      </c>
      <c r="L1232" s="2" t="s">
        <v>1007</v>
      </c>
      <c r="M1232" s="2" t="s">
        <v>47</v>
      </c>
    </row>
    <row r="1233" spans="1:13" x14ac:dyDescent="0.25">
      <c r="A1233" s="2" t="s">
        <v>2407</v>
      </c>
      <c r="B1233" s="2" t="s">
        <v>2408</v>
      </c>
      <c r="C1233" s="2" t="s">
        <v>156</v>
      </c>
      <c r="D1233" s="2" t="s">
        <v>51</v>
      </c>
      <c r="E1233" s="2"/>
      <c r="F1233" s="2" t="s">
        <v>255</v>
      </c>
      <c r="G1233" s="2">
        <v>6</v>
      </c>
      <c r="H1233" s="2">
        <v>3340</v>
      </c>
      <c r="I1233" s="2">
        <v>0</v>
      </c>
      <c r="J1233" s="2">
        <v>20040</v>
      </c>
      <c r="K1233" s="2" t="s">
        <v>19</v>
      </c>
      <c r="L1233" s="2" t="s">
        <v>54</v>
      </c>
      <c r="M1233" s="2" t="s">
        <v>38</v>
      </c>
    </row>
    <row r="1234" spans="1:13" x14ac:dyDescent="0.25">
      <c r="A1234" s="2" t="s">
        <v>2409</v>
      </c>
      <c r="B1234" s="2" t="s">
        <v>2410</v>
      </c>
      <c r="C1234" s="2" t="s">
        <v>449</v>
      </c>
      <c r="D1234" s="2" t="s">
        <v>42</v>
      </c>
      <c r="E1234" s="2" t="s">
        <v>111</v>
      </c>
      <c r="F1234" s="2" t="s">
        <v>78</v>
      </c>
      <c r="G1234" s="2">
        <v>6</v>
      </c>
      <c r="H1234" s="2">
        <v>45920</v>
      </c>
      <c r="I1234" s="2">
        <v>0</v>
      </c>
      <c r="J1234" s="2">
        <v>275520</v>
      </c>
      <c r="K1234" s="2" t="s">
        <v>127</v>
      </c>
      <c r="L1234" s="2" t="s">
        <v>121</v>
      </c>
      <c r="M1234" s="2" t="s">
        <v>128</v>
      </c>
    </row>
    <row r="1235" spans="1:13" x14ac:dyDescent="0.25">
      <c r="A1235" s="2" t="s">
        <v>2411</v>
      </c>
      <c r="B1235" s="2" t="s">
        <v>2412</v>
      </c>
      <c r="C1235" s="2" t="s">
        <v>57</v>
      </c>
      <c r="D1235" s="2" t="s">
        <v>58</v>
      </c>
      <c r="E1235" s="2"/>
      <c r="F1235" s="2" t="s">
        <v>248</v>
      </c>
      <c r="G1235" s="2">
        <v>3</v>
      </c>
      <c r="H1235" s="2">
        <v>3260</v>
      </c>
      <c r="I1235" s="2">
        <v>5</v>
      </c>
      <c r="J1235" s="2">
        <v>9291</v>
      </c>
      <c r="K1235" s="2"/>
      <c r="L1235" s="2" t="s">
        <v>200</v>
      </c>
      <c r="M1235" s="2" t="s">
        <v>29</v>
      </c>
    </row>
    <row r="1236" spans="1:13" x14ac:dyDescent="0.25">
      <c r="A1236" s="2" t="s">
        <v>2413</v>
      </c>
      <c r="B1236" s="2" t="s">
        <v>2414</v>
      </c>
      <c r="C1236" s="2" t="s">
        <v>91</v>
      </c>
      <c r="D1236" s="2" t="s">
        <v>51</v>
      </c>
      <c r="E1236" s="2" t="s">
        <v>148</v>
      </c>
      <c r="F1236" s="2" t="s">
        <v>435</v>
      </c>
      <c r="G1236" s="2">
        <v>5</v>
      </c>
      <c r="H1236" s="2">
        <v>2570</v>
      </c>
      <c r="I1236" s="2">
        <v>5</v>
      </c>
      <c r="J1236" s="2">
        <v>12207.5</v>
      </c>
      <c r="K1236" s="2" t="s">
        <v>172</v>
      </c>
      <c r="L1236" s="2" t="s">
        <v>584</v>
      </c>
      <c r="M1236" s="2" t="s">
        <v>140</v>
      </c>
    </row>
    <row r="1237" spans="1:13" x14ac:dyDescent="0.25">
      <c r="A1237" s="2" t="s">
        <v>2415</v>
      </c>
      <c r="B1237" s="2" t="s">
        <v>2416</v>
      </c>
      <c r="C1237" s="2" t="s">
        <v>15</v>
      </c>
      <c r="D1237" s="2" t="s">
        <v>16</v>
      </c>
      <c r="E1237" s="2" t="s">
        <v>138</v>
      </c>
      <c r="F1237" s="2" t="s">
        <v>248</v>
      </c>
      <c r="G1237" s="2">
        <v>10</v>
      </c>
      <c r="H1237" s="2">
        <v>17670</v>
      </c>
      <c r="I1237" s="2">
        <v>0</v>
      </c>
      <c r="J1237" s="2">
        <v>176700</v>
      </c>
      <c r="K1237" s="2" t="s">
        <v>127</v>
      </c>
      <c r="L1237" s="2" t="s">
        <v>274</v>
      </c>
      <c r="M1237" s="2" t="s">
        <v>21</v>
      </c>
    </row>
    <row r="1238" spans="1:13" x14ac:dyDescent="0.25">
      <c r="A1238" s="2" t="s">
        <v>2417</v>
      </c>
      <c r="B1238" s="2" t="s">
        <v>1793</v>
      </c>
      <c r="C1238" s="2" t="s">
        <v>24</v>
      </c>
      <c r="D1238" s="2" t="s">
        <v>16</v>
      </c>
      <c r="E1238" s="2" t="s">
        <v>43</v>
      </c>
      <c r="F1238" s="2" t="s">
        <v>255</v>
      </c>
      <c r="G1238" s="2">
        <v>6</v>
      </c>
      <c r="H1238" s="2">
        <v>48390</v>
      </c>
      <c r="I1238" s="2">
        <v>0</v>
      </c>
      <c r="J1238" s="2">
        <v>290340</v>
      </c>
      <c r="K1238" s="2" t="s">
        <v>139</v>
      </c>
      <c r="L1238" s="2" t="s">
        <v>95</v>
      </c>
      <c r="M1238" s="2" t="s">
        <v>201</v>
      </c>
    </row>
    <row r="1239" spans="1:13" x14ac:dyDescent="0.25">
      <c r="A1239" s="2" t="s">
        <v>2418</v>
      </c>
      <c r="B1239" s="2" t="s">
        <v>2419</v>
      </c>
      <c r="C1239" s="2" t="s">
        <v>32</v>
      </c>
      <c r="D1239" s="2" t="s">
        <v>33</v>
      </c>
      <c r="E1239" s="2" t="s">
        <v>100</v>
      </c>
      <c r="F1239" s="2" t="s">
        <v>296</v>
      </c>
      <c r="G1239" s="2">
        <v>4</v>
      </c>
      <c r="H1239" s="2">
        <v>44970</v>
      </c>
      <c r="I1239" s="2" t="s">
        <v>152</v>
      </c>
      <c r="J1239" s="2">
        <v>179880</v>
      </c>
      <c r="K1239" s="2" t="s">
        <v>19</v>
      </c>
      <c r="L1239" s="2" t="s">
        <v>406</v>
      </c>
      <c r="M1239" s="2" t="s">
        <v>47</v>
      </c>
    </row>
    <row r="1240" spans="1:13" x14ac:dyDescent="0.25">
      <c r="A1240" s="2" t="s">
        <v>2420</v>
      </c>
      <c r="B1240" s="2" t="s">
        <v>938</v>
      </c>
      <c r="C1240" s="2" t="s">
        <v>50</v>
      </c>
      <c r="D1240" s="2" t="s">
        <v>51</v>
      </c>
      <c r="E1240" s="2" t="s">
        <v>111</v>
      </c>
      <c r="F1240" s="2" t="s">
        <v>239</v>
      </c>
      <c r="G1240" s="2">
        <v>3</v>
      </c>
      <c r="H1240" s="2" t="s">
        <v>107</v>
      </c>
      <c r="I1240" s="2">
        <v>0</v>
      </c>
      <c r="J1240" s="2">
        <v>11640</v>
      </c>
      <c r="K1240" s="2" t="s">
        <v>87</v>
      </c>
      <c r="L1240" s="2" t="s">
        <v>2421</v>
      </c>
      <c r="M1240" s="2" t="s">
        <v>140</v>
      </c>
    </row>
    <row r="1241" spans="1:13" x14ac:dyDescent="0.25">
      <c r="A1241" s="2" t="s">
        <v>2422</v>
      </c>
      <c r="B1241" s="2" t="s">
        <v>2423</v>
      </c>
      <c r="C1241" s="2" t="s">
        <v>837</v>
      </c>
      <c r="D1241" s="2" t="s">
        <v>33</v>
      </c>
      <c r="E1241" s="2" t="s">
        <v>231</v>
      </c>
      <c r="F1241" s="2" t="s">
        <v>239</v>
      </c>
      <c r="G1241" s="2">
        <v>4</v>
      </c>
      <c r="H1241" s="2">
        <v>3910</v>
      </c>
      <c r="I1241" s="2">
        <v>0</v>
      </c>
      <c r="J1241" s="2">
        <v>15640</v>
      </c>
      <c r="K1241" s="2" t="s">
        <v>139</v>
      </c>
      <c r="L1241" s="2" t="s">
        <v>176</v>
      </c>
      <c r="M1241" s="2" t="s">
        <v>136</v>
      </c>
    </row>
    <row r="1242" spans="1:13" x14ac:dyDescent="0.25">
      <c r="A1242" s="2" t="s">
        <v>2424</v>
      </c>
      <c r="B1242" s="2" t="s">
        <v>2425</v>
      </c>
      <c r="C1242" s="2" t="s">
        <v>50</v>
      </c>
      <c r="D1242" s="2" t="s">
        <v>51</v>
      </c>
      <c r="E1242" s="2" t="s">
        <v>119</v>
      </c>
      <c r="F1242" s="2" t="s">
        <v>106</v>
      </c>
      <c r="G1242" s="2">
        <v>1</v>
      </c>
      <c r="H1242" s="2">
        <v>1140</v>
      </c>
      <c r="I1242" s="2">
        <v>0</v>
      </c>
      <c r="J1242" s="2">
        <v>1140</v>
      </c>
      <c r="K1242" s="2" t="s">
        <v>36</v>
      </c>
      <c r="L1242" s="2" t="s">
        <v>2426</v>
      </c>
      <c r="M1242" s="2" t="s">
        <v>825</v>
      </c>
    </row>
    <row r="1243" spans="1:13" x14ac:dyDescent="0.25">
      <c r="A1243" s="2" t="s">
        <v>2427</v>
      </c>
      <c r="B1243" s="2" t="s">
        <v>2428</v>
      </c>
      <c r="C1243" s="2" t="s">
        <v>469</v>
      </c>
      <c r="D1243" s="2" t="s">
        <v>51</v>
      </c>
      <c r="E1243" s="2" t="s">
        <v>125</v>
      </c>
      <c r="F1243" s="2" t="s">
        <v>314</v>
      </c>
      <c r="G1243" s="2">
        <v>11</v>
      </c>
      <c r="H1243" s="2">
        <v>3550</v>
      </c>
      <c r="I1243" s="2">
        <v>10</v>
      </c>
      <c r="J1243" s="2" t="s">
        <v>107</v>
      </c>
      <c r="K1243" s="2" t="s">
        <v>45</v>
      </c>
      <c r="L1243" s="2" t="s">
        <v>188</v>
      </c>
      <c r="M1243" s="2" t="s">
        <v>210</v>
      </c>
    </row>
    <row r="1244" spans="1:13" x14ac:dyDescent="0.25">
      <c r="A1244" s="2" t="s">
        <v>2429</v>
      </c>
      <c r="B1244" s="2" t="s">
        <v>2430</v>
      </c>
      <c r="C1244" s="2" t="s">
        <v>91</v>
      </c>
      <c r="D1244" s="2" t="s">
        <v>51</v>
      </c>
      <c r="E1244" s="2" t="s">
        <v>52</v>
      </c>
      <c r="F1244" s="2" t="s">
        <v>93</v>
      </c>
      <c r="G1244" s="2">
        <v>7</v>
      </c>
      <c r="H1244" s="2">
        <v>1230</v>
      </c>
      <c r="I1244" s="2">
        <v>0</v>
      </c>
      <c r="J1244" s="2">
        <v>8610</v>
      </c>
      <c r="K1244" s="2" t="s">
        <v>223</v>
      </c>
      <c r="L1244" s="2" t="s">
        <v>440</v>
      </c>
      <c r="M1244" s="2" t="s">
        <v>38</v>
      </c>
    </row>
    <row r="1245" spans="1:13" x14ac:dyDescent="0.25">
      <c r="A1245" s="2" t="s">
        <v>2431</v>
      </c>
      <c r="B1245" s="2" t="s">
        <v>1889</v>
      </c>
      <c r="C1245" s="2" t="s">
        <v>57</v>
      </c>
      <c r="D1245" s="2" t="s">
        <v>58</v>
      </c>
      <c r="E1245" s="2" t="s">
        <v>284</v>
      </c>
      <c r="F1245" s="2" t="s">
        <v>167</v>
      </c>
      <c r="G1245" s="2">
        <v>8</v>
      </c>
      <c r="H1245" s="2">
        <v>71500</v>
      </c>
      <c r="I1245" s="2">
        <v>0</v>
      </c>
      <c r="J1245" s="2">
        <v>572000</v>
      </c>
      <c r="K1245" s="2" t="s">
        <v>94</v>
      </c>
      <c r="L1245" s="2" t="s">
        <v>1710</v>
      </c>
      <c r="M1245" s="2" t="s">
        <v>47</v>
      </c>
    </row>
    <row r="1246" spans="1:13" x14ac:dyDescent="0.25">
      <c r="A1246" s="2" t="s">
        <v>2432</v>
      </c>
      <c r="B1246" s="2" t="s">
        <v>481</v>
      </c>
      <c r="C1246" s="2" t="s">
        <v>490</v>
      </c>
      <c r="D1246" s="2" t="s">
        <v>33</v>
      </c>
      <c r="E1246" s="2" t="s">
        <v>295</v>
      </c>
      <c r="F1246" s="2" t="s">
        <v>66</v>
      </c>
      <c r="G1246" s="2">
        <v>12</v>
      </c>
      <c r="H1246" s="2">
        <v>8080</v>
      </c>
      <c r="I1246" s="2" t="s">
        <v>152</v>
      </c>
      <c r="J1246" s="2">
        <v>96960</v>
      </c>
      <c r="K1246" s="2" t="s">
        <v>19</v>
      </c>
      <c r="L1246" s="2" t="s">
        <v>54</v>
      </c>
      <c r="M1246" s="2" t="s">
        <v>47</v>
      </c>
    </row>
    <row r="1247" spans="1:13" x14ac:dyDescent="0.25">
      <c r="A1247" s="2" t="s">
        <v>2433</v>
      </c>
      <c r="B1247" s="2" t="s">
        <v>2434</v>
      </c>
      <c r="C1247" s="2" t="s">
        <v>32</v>
      </c>
      <c r="D1247" s="2" t="s">
        <v>33</v>
      </c>
      <c r="E1247" s="2" t="s">
        <v>17</v>
      </c>
      <c r="F1247" s="2" t="s">
        <v>290</v>
      </c>
      <c r="G1247" s="2">
        <v>12</v>
      </c>
      <c r="H1247" s="2">
        <v>3970</v>
      </c>
      <c r="I1247" s="2">
        <v>0</v>
      </c>
      <c r="J1247" s="2">
        <v>47640</v>
      </c>
      <c r="K1247" s="2" t="s">
        <v>144</v>
      </c>
      <c r="L1247" s="2" t="s">
        <v>395</v>
      </c>
      <c r="M1247" s="2" t="s">
        <v>47</v>
      </c>
    </row>
    <row r="1248" spans="1:13" x14ac:dyDescent="0.25">
      <c r="A1248" s="2" t="s">
        <v>2435</v>
      </c>
      <c r="B1248" s="2" t="s">
        <v>270</v>
      </c>
      <c r="C1248" s="2" t="s">
        <v>135</v>
      </c>
      <c r="D1248" s="2" t="s">
        <v>58</v>
      </c>
      <c r="E1248" s="2" t="s">
        <v>82</v>
      </c>
      <c r="F1248" s="2" t="s">
        <v>83</v>
      </c>
      <c r="G1248" s="2">
        <v>12</v>
      </c>
      <c r="H1248" s="2">
        <v>17860</v>
      </c>
      <c r="I1248" s="2">
        <v>0</v>
      </c>
      <c r="J1248" s="2">
        <v>214320</v>
      </c>
      <c r="K1248" s="2" t="s">
        <v>67</v>
      </c>
      <c r="L1248" s="2" t="s">
        <v>440</v>
      </c>
      <c r="M1248" s="2"/>
    </row>
    <row r="1249" spans="1:13" x14ac:dyDescent="0.25">
      <c r="A1249" s="2" t="s">
        <v>2436</v>
      </c>
      <c r="B1249" s="2" t="s">
        <v>2437</v>
      </c>
      <c r="C1249" s="2" t="s">
        <v>76</v>
      </c>
      <c r="D1249" s="2" t="s">
        <v>33</v>
      </c>
      <c r="E1249" s="2" t="s">
        <v>125</v>
      </c>
      <c r="F1249" s="2" t="s">
        <v>219</v>
      </c>
      <c r="G1249" s="2">
        <v>10</v>
      </c>
      <c r="H1249" s="2">
        <v>7820</v>
      </c>
      <c r="I1249" s="2">
        <v>0</v>
      </c>
      <c r="J1249" s="2">
        <v>78200</v>
      </c>
      <c r="K1249" s="2" t="s">
        <v>127</v>
      </c>
      <c r="L1249" s="2" t="s">
        <v>344</v>
      </c>
      <c r="M1249" s="2" t="s">
        <v>21</v>
      </c>
    </row>
    <row r="1250" spans="1:13" x14ac:dyDescent="0.25">
      <c r="A1250" s="2" t="s">
        <v>2438</v>
      </c>
      <c r="B1250" s="2" t="s">
        <v>2439</v>
      </c>
      <c r="C1250" s="2" t="s">
        <v>57</v>
      </c>
      <c r="D1250" s="2" t="s">
        <v>58</v>
      </c>
      <c r="E1250" s="2" t="s">
        <v>34</v>
      </c>
      <c r="F1250" s="2" t="s">
        <v>374</v>
      </c>
      <c r="G1250" s="2">
        <v>1</v>
      </c>
      <c r="H1250" s="2">
        <v>5130</v>
      </c>
      <c r="I1250" s="2">
        <v>15</v>
      </c>
      <c r="J1250" s="2">
        <v>4360.5</v>
      </c>
      <c r="K1250" s="2" t="s">
        <v>36</v>
      </c>
      <c r="L1250" s="2" t="s">
        <v>121</v>
      </c>
      <c r="M1250" s="2" t="s">
        <v>21</v>
      </c>
    </row>
    <row r="1251" spans="1:13" x14ac:dyDescent="0.25">
      <c r="A1251" s="2" t="s">
        <v>2440</v>
      </c>
      <c r="B1251" s="2" t="s">
        <v>1083</v>
      </c>
      <c r="C1251" s="2" t="s">
        <v>50</v>
      </c>
      <c r="D1251" s="2" t="s">
        <v>51</v>
      </c>
      <c r="E1251" s="2"/>
      <c r="F1251" s="2" t="s">
        <v>44</v>
      </c>
      <c r="G1251" s="2">
        <v>11</v>
      </c>
      <c r="H1251" s="2">
        <v>5720</v>
      </c>
      <c r="I1251" s="2">
        <v>15</v>
      </c>
      <c r="J1251" s="2">
        <v>53482</v>
      </c>
      <c r="K1251" s="2" t="s">
        <v>19</v>
      </c>
      <c r="L1251" s="2" t="s">
        <v>369</v>
      </c>
      <c r="M1251" s="2" t="s">
        <v>38</v>
      </c>
    </row>
    <row r="1252" spans="1:13" x14ac:dyDescent="0.25">
      <c r="A1252" s="2" t="s">
        <v>2441</v>
      </c>
      <c r="B1252" s="2" t="s">
        <v>2078</v>
      </c>
      <c r="C1252" s="2" t="s">
        <v>531</v>
      </c>
      <c r="D1252" s="2" t="s">
        <v>33</v>
      </c>
      <c r="E1252" s="2" t="s">
        <v>59</v>
      </c>
      <c r="F1252" s="2" t="s">
        <v>379</v>
      </c>
      <c r="G1252" s="2">
        <v>11</v>
      </c>
      <c r="H1252" s="2">
        <v>-11770</v>
      </c>
      <c r="I1252" s="2">
        <v>0</v>
      </c>
      <c r="J1252" s="2">
        <v>129470</v>
      </c>
      <c r="K1252" s="2" t="s">
        <v>133</v>
      </c>
      <c r="L1252" s="2" t="s">
        <v>811</v>
      </c>
      <c r="M1252" s="2" t="s">
        <v>21</v>
      </c>
    </row>
    <row r="1253" spans="1:13" x14ac:dyDescent="0.25">
      <c r="A1253" s="2" t="s">
        <v>2442</v>
      </c>
      <c r="B1253" s="2" t="s">
        <v>2406</v>
      </c>
      <c r="C1253" s="2" t="s">
        <v>156</v>
      </c>
      <c r="D1253" s="2" t="s">
        <v>51</v>
      </c>
      <c r="E1253" s="2" t="s">
        <v>111</v>
      </c>
      <c r="F1253" s="2" t="s">
        <v>224</v>
      </c>
      <c r="G1253" s="2">
        <v>3</v>
      </c>
      <c r="H1253" s="2">
        <v>3910</v>
      </c>
      <c r="I1253" s="2">
        <v>0</v>
      </c>
      <c r="J1253" s="2">
        <v>11730</v>
      </c>
      <c r="K1253" s="2" t="s">
        <v>36</v>
      </c>
      <c r="L1253" s="2" t="s">
        <v>68</v>
      </c>
      <c r="M1253" s="2" t="s">
        <v>21</v>
      </c>
    </row>
    <row r="1254" spans="1:13" x14ac:dyDescent="0.25">
      <c r="A1254" s="2" t="s">
        <v>2443</v>
      </c>
      <c r="B1254" s="2" t="s">
        <v>2444</v>
      </c>
      <c r="C1254" s="2" t="s">
        <v>162</v>
      </c>
      <c r="D1254" s="2" t="s">
        <v>33</v>
      </c>
      <c r="E1254" s="2" t="s">
        <v>504</v>
      </c>
      <c r="F1254" s="2" t="s">
        <v>252</v>
      </c>
      <c r="G1254" s="2">
        <v>1</v>
      </c>
      <c r="H1254" s="2">
        <v>2400</v>
      </c>
      <c r="I1254" s="2">
        <v>15</v>
      </c>
      <c r="J1254" s="2">
        <v>2040</v>
      </c>
      <c r="K1254" s="2" t="s">
        <v>172</v>
      </c>
      <c r="L1254" s="2" t="s">
        <v>2445</v>
      </c>
      <c r="M1254" s="2" t="s">
        <v>140</v>
      </c>
    </row>
    <row r="1255" spans="1:13" x14ac:dyDescent="0.25">
      <c r="A1255" s="2" t="s">
        <v>2446</v>
      </c>
      <c r="B1255" s="2" t="s">
        <v>575</v>
      </c>
      <c r="C1255" s="2" t="s">
        <v>32</v>
      </c>
      <c r="D1255" s="2" t="s">
        <v>33</v>
      </c>
      <c r="E1255" s="2" t="s">
        <v>504</v>
      </c>
      <c r="F1255" s="2" t="s">
        <v>252</v>
      </c>
      <c r="G1255" s="2">
        <v>9</v>
      </c>
      <c r="H1255" s="2">
        <v>4960</v>
      </c>
      <c r="I1255" s="2">
        <v>0</v>
      </c>
      <c r="J1255" s="2">
        <v>44640</v>
      </c>
      <c r="K1255" s="2" t="s">
        <v>205</v>
      </c>
      <c r="L1255" s="2" t="s">
        <v>271</v>
      </c>
      <c r="M1255" s="2" t="s">
        <v>21</v>
      </c>
    </row>
    <row r="1256" spans="1:13" x14ac:dyDescent="0.25">
      <c r="A1256" s="2" t="s">
        <v>2190</v>
      </c>
      <c r="B1256" s="2" t="s">
        <v>1801</v>
      </c>
      <c r="C1256" s="2" t="s">
        <v>57</v>
      </c>
      <c r="D1256" s="2" t="s">
        <v>58</v>
      </c>
      <c r="E1256" s="2" t="s">
        <v>125</v>
      </c>
      <c r="F1256" s="2" t="s">
        <v>314</v>
      </c>
      <c r="G1256" s="2">
        <v>4</v>
      </c>
      <c r="H1256" s="2">
        <v>20050</v>
      </c>
      <c r="I1256" s="2">
        <v>10</v>
      </c>
      <c r="J1256" s="2">
        <v>72180</v>
      </c>
      <c r="K1256" s="2" t="s">
        <v>139</v>
      </c>
      <c r="L1256" s="2" t="s">
        <v>37</v>
      </c>
      <c r="M1256" s="2" t="s">
        <v>38</v>
      </c>
    </row>
    <row r="1257" spans="1:13" x14ac:dyDescent="0.25">
      <c r="A1257" s="2" t="s">
        <v>2447</v>
      </c>
      <c r="B1257" s="2" t="s">
        <v>2448</v>
      </c>
      <c r="C1257" s="2" t="s">
        <v>198</v>
      </c>
      <c r="D1257" s="2" t="s">
        <v>42</v>
      </c>
      <c r="E1257" s="2" t="s">
        <v>125</v>
      </c>
      <c r="F1257" s="2" t="s">
        <v>101</v>
      </c>
      <c r="G1257" s="2">
        <v>7</v>
      </c>
      <c r="H1257" s="2">
        <v>3640</v>
      </c>
      <c r="I1257" s="2">
        <v>10</v>
      </c>
      <c r="J1257" s="2">
        <v>22932</v>
      </c>
      <c r="K1257" s="2" t="s">
        <v>27</v>
      </c>
      <c r="L1257" s="2" t="s">
        <v>176</v>
      </c>
      <c r="M1257" s="2" t="s">
        <v>21</v>
      </c>
    </row>
    <row r="1258" spans="1:13" x14ac:dyDescent="0.25">
      <c r="A1258" s="2" t="s">
        <v>2449</v>
      </c>
      <c r="B1258" s="2" t="s">
        <v>1965</v>
      </c>
      <c r="C1258" s="2" t="s">
        <v>91</v>
      </c>
      <c r="D1258" s="2" t="s">
        <v>51</v>
      </c>
      <c r="E1258" s="2" t="s">
        <v>107</v>
      </c>
      <c r="F1258" s="2" t="s">
        <v>93</v>
      </c>
      <c r="G1258" s="2">
        <v>2</v>
      </c>
      <c r="H1258" s="2">
        <v>28330</v>
      </c>
      <c r="I1258" s="2">
        <v>0</v>
      </c>
      <c r="J1258" s="2">
        <v>56660</v>
      </c>
      <c r="K1258" s="2" t="s">
        <v>172</v>
      </c>
      <c r="L1258" s="2" t="s">
        <v>344</v>
      </c>
      <c r="M1258" s="2" t="s">
        <v>138</v>
      </c>
    </row>
    <row r="1259" spans="1:13" x14ac:dyDescent="0.25">
      <c r="A1259" s="2" t="s">
        <v>2450</v>
      </c>
      <c r="B1259" s="2" t="s">
        <v>2451</v>
      </c>
      <c r="C1259" s="2" t="s">
        <v>227</v>
      </c>
      <c r="D1259" s="2" t="s">
        <v>33</v>
      </c>
      <c r="E1259" s="2" t="s">
        <v>25</v>
      </c>
      <c r="F1259" s="2" t="s">
        <v>248</v>
      </c>
      <c r="G1259" s="2">
        <v>6</v>
      </c>
      <c r="H1259" s="2">
        <v>11890</v>
      </c>
      <c r="I1259" s="2">
        <v>0</v>
      </c>
      <c r="J1259" s="2">
        <v>71340</v>
      </c>
      <c r="K1259" s="2" t="s">
        <v>120</v>
      </c>
      <c r="L1259" s="2" t="s">
        <v>188</v>
      </c>
      <c r="M1259" s="2" t="s">
        <v>21</v>
      </c>
    </row>
    <row r="1260" spans="1:13" x14ac:dyDescent="0.25">
      <c r="A1260" s="2" t="s">
        <v>2452</v>
      </c>
      <c r="B1260" s="2" t="s">
        <v>2453</v>
      </c>
      <c r="C1260" s="2" t="s">
        <v>32</v>
      </c>
      <c r="D1260" s="2" t="s">
        <v>33</v>
      </c>
      <c r="E1260" s="2" t="s">
        <v>17</v>
      </c>
      <c r="F1260" s="2" t="s">
        <v>290</v>
      </c>
      <c r="G1260" s="2">
        <v>8</v>
      </c>
      <c r="H1260" s="2">
        <v>22850</v>
      </c>
      <c r="I1260" s="2">
        <v>0</v>
      </c>
      <c r="J1260" s="2" t="s">
        <v>138</v>
      </c>
      <c r="K1260" s="2" t="s">
        <v>139</v>
      </c>
      <c r="L1260" s="2" t="s">
        <v>68</v>
      </c>
      <c r="M1260" s="2" t="s">
        <v>128</v>
      </c>
    </row>
    <row r="1261" spans="1:13" x14ac:dyDescent="0.25">
      <c r="A1261" s="2" t="s">
        <v>2454</v>
      </c>
      <c r="B1261" s="2" t="s">
        <v>1508</v>
      </c>
      <c r="C1261" s="2" t="s">
        <v>76</v>
      </c>
      <c r="D1261" s="2" t="s">
        <v>33</v>
      </c>
      <c r="E1261" s="2" t="s">
        <v>92</v>
      </c>
      <c r="F1261" s="2" t="s">
        <v>248</v>
      </c>
      <c r="G1261" s="2">
        <v>12</v>
      </c>
      <c r="H1261" s="2">
        <v>2500</v>
      </c>
      <c r="I1261" s="2">
        <v>15</v>
      </c>
      <c r="J1261" s="2">
        <v>25500</v>
      </c>
      <c r="K1261" s="2" t="s">
        <v>53</v>
      </c>
      <c r="L1261" s="2" t="s">
        <v>61</v>
      </c>
      <c r="M1261" s="2" t="s">
        <v>21</v>
      </c>
    </row>
    <row r="1262" spans="1:13" x14ac:dyDescent="0.25">
      <c r="A1262" s="2" t="s">
        <v>2455</v>
      </c>
      <c r="B1262" s="2" t="s">
        <v>2456</v>
      </c>
      <c r="C1262" s="2" t="s">
        <v>213</v>
      </c>
      <c r="D1262" s="2" t="s">
        <v>58</v>
      </c>
      <c r="E1262" s="2" t="s">
        <v>119</v>
      </c>
      <c r="F1262" s="2" t="s">
        <v>26</v>
      </c>
      <c r="G1262" s="2">
        <v>7</v>
      </c>
      <c r="H1262" s="2">
        <v>8130</v>
      </c>
      <c r="I1262" s="2">
        <v>0</v>
      </c>
      <c r="J1262" s="2">
        <v>56910</v>
      </c>
      <c r="K1262" s="2" t="s">
        <v>172</v>
      </c>
      <c r="L1262" s="2" t="s">
        <v>249</v>
      </c>
      <c r="M1262" s="2" t="s">
        <v>47</v>
      </c>
    </row>
    <row r="1263" spans="1:13" x14ac:dyDescent="0.25">
      <c r="A1263" s="2" t="s">
        <v>2457</v>
      </c>
      <c r="B1263" s="2" t="s">
        <v>2458</v>
      </c>
      <c r="C1263" s="2" t="s">
        <v>24</v>
      </c>
      <c r="D1263" s="2" t="s">
        <v>136</v>
      </c>
      <c r="E1263" s="2" t="s">
        <v>111</v>
      </c>
      <c r="F1263" s="2" t="s">
        <v>78</v>
      </c>
      <c r="G1263" s="2">
        <v>7</v>
      </c>
      <c r="H1263" s="2">
        <v>4830</v>
      </c>
      <c r="I1263" s="2">
        <v>5</v>
      </c>
      <c r="J1263" s="2">
        <v>32119.5</v>
      </c>
      <c r="K1263" s="2" t="s">
        <v>205</v>
      </c>
      <c r="L1263" s="2" t="s">
        <v>54</v>
      </c>
      <c r="M1263" s="2" t="s">
        <v>47</v>
      </c>
    </row>
    <row r="1264" spans="1:13" x14ac:dyDescent="0.25">
      <c r="A1264" s="2" t="s">
        <v>2459</v>
      </c>
      <c r="B1264" s="2" t="s">
        <v>2460</v>
      </c>
      <c r="C1264" s="2" t="s">
        <v>50</v>
      </c>
      <c r="D1264" s="2" t="s">
        <v>51</v>
      </c>
      <c r="E1264" s="2" t="s">
        <v>131</v>
      </c>
      <c r="F1264" s="2" t="s">
        <v>66</v>
      </c>
      <c r="G1264" s="2">
        <v>8</v>
      </c>
      <c r="H1264" s="2">
        <v>8350</v>
      </c>
      <c r="I1264" s="2">
        <v>0</v>
      </c>
      <c r="J1264" s="2">
        <v>66800</v>
      </c>
      <c r="K1264" s="2" t="s">
        <v>157</v>
      </c>
      <c r="L1264" s="2" t="s">
        <v>491</v>
      </c>
      <c r="M1264" s="2" t="s">
        <v>38</v>
      </c>
    </row>
    <row r="1265" spans="1:13" x14ac:dyDescent="0.25">
      <c r="A1265" s="2" t="s">
        <v>2461</v>
      </c>
      <c r="B1265" s="2" t="s">
        <v>955</v>
      </c>
      <c r="C1265" s="2" t="s">
        <v>213</v>
      </c>
      <c r="D1265" s="2" t="s">
        <v>58</v>
      </c>
      <c r="E1265" s="2" t="s">
        <v>59</v>
      </c>
      <c r="F1265" s="2" t="s">
        <v>379</v>
      </c>
      <c r="G1265" s="2">
        <v>7</v>
      </c>
      <c r="H1265" s="2">
        <v>72580</v>
      </c>
      <c r="I1265" s="2">
        <v>0</v>
      </c>
      <c r="J1265" s="2">
        <v>508060</v>
      </c>
      <c r="K1265" s="2" t="s">
        <v>102</v>
      </c>
      <c r="L1265" s="2" t="s">
        <v>79</v>
      </c>
      <c r="M1265" s="2" t="s">
        <v>21</v>
      </c>
    </row>
    <row r="1266" spans="1:13" x14ac:dyDescent="0.25">
      <c r="A1266" s="2" t="s">
        <v>2462</v>
      </c>
      <c r="B1266" s="2" t="s">
        <v>1950</v>
      </c>
      <c r="C1266" s="2" t="s">
        <v>32</v>
      </c>
      <c r="D1266" s="2" t="s">
        <v>33</v>
      </c>
      <c r="E1266" s="2" t="s">
        <v>52</v>
      </c>
      <c r="F1266" s="2" t="s">
        <v>93</v>
      </c>
      <c r="G1266" s="2">
        <v>4</v>
      </c>
      <c r="H1266" s="2">
        <v>41940</v>
      </c>
      <c r="I1266" s="2">
        <v>0</v>
      </c>
      <c r="J1266" s="2">
        <v>167760</v>
      </c>
      <c r="K1266" s="2" t="s">
        <v>94</v>
      </c>
      <c r="L1266" s="2" t="s">
        <v>176</v>
      </c>
      <c r="M1266" s="2" t="s">
        <v>21</v>
      </c>
    </row>
    <row r="1267" spans="1:13" x14ac:dyDescent="0.25">
      <c r="A1267" s="2" t="s">
        <v>2463</v>
      </c>
      <c r="B1267" s="2" t="s">
        <v>63</v>
      </c>
      <c r="C1267" s="2" t="s">
        <v>685</v>
      </c>
      <c r="D1267" s="2" t="s">
        <v>33</v>
      </c>
      <c r="E1267" s="2" t="s">
        <v>504</v>
      </c>
      <c r="F1267" s="2" t="s">
        <v>209</v>
      </c>
      <c r="G1267" s="2">
        <v>1</v>
      </c>
      <c r="H1267" s="2">
        <v>63370</v>
      </c>
      <c r="I1267" s="2">
        <v>0</v>
      </c>
      <c r="J1267" s="2">
        <v>63370</v>
      </c>
      <c r="K1267" s="2" t="s">
        <v>172</v>
      </c>
      <c r="L1267" s="2" t="s">
        <v>84</v>
      </c>
      <c r="M1267" s="2" t="s">
        <v>138</v>
      </c>
    </row>
    <row r="1268" spans="1:13" x14ac:dyDescent="0.25">
      <c r="A1268" s="2" t="s">
        <v>2464</v>
      </c>
      <c r="B1268" s="2" t="s">
        <v>1471</v>
      </c>
      <c r="C1268" s="2" t="s">
        <v>204</v>
      </c>
      <c r="D1268" s="2"/>
      <c r="E1268" s="2" t="s">
        <v>77</v>
      </c>
      <c r="F1268" s="2" t="s">
        <v>184</v>
      </c>
      <c r="G1268" s="2">
        <v>12</v>
      </c>
      <c r="H1268" s="2">
        <v>25610</v>
      </c>
      <c r="I1268" s="2">
        <v>5</v>
      </c>
      <c r="J1268" s="2">
        <v>291954</v>
      </c>
      <c r="K1268" s="2" t="s">
        <v>53</v>
      </c>
      <c r="L1268" s="2" t="s">
        <v>406</v>
      </c>
      <c r="M1268" s="2" t="s">
        <v>821</v>
      </c>
    </row>
    <row r="1269" spans="1:13" x14ac:dyDescent="0.25">
      <c r="A1269" s="2" t="s">
        <v>2465</v>
      </c>
      <c r="B1269" s="2" t="s">
        <v>2466</v>
      </c>
      <c r="C1269" s="2" t="s">
        <v>657</v>
      </c>
      <c r="D1269" s="2" t="s">
        <v>58</v>
      </c>
      <c r="E1269" s="2" t="s">
        <v>17</v>
      </c>
      <c r="F1269" s="2" t="s">
        <v>374</v>
      </c>
      <c r="G1269" s="2">
        <v>1</v>
      </c>
      <c r="H1269" s="2">
        <v>22570</v>
      </c>
      <c r="I1269" s="2">
        <v>0</v>
      </c>
      <c r="J1269" s="2">
        <v>22570</v>
      </c>
      <c r="K1269" s="2" t="s">
        <v>157</v>
      </c>
      <c r="L1269" s="2" t="s">
        <v>188</v>
      </c>
      <c r="M1269" s="2" t="s">
        <v>128</v>
      </c>
    </row>
    <row r="1270" spans="1:13" x14ac:dyDescent="0.25">
      <c r="A1270" s="2" t="s">
        <v>2467</v>
      </c>
      <c r="B1270" s="2" t="s">
        <v>2468</v>
      </c>
      <c r="C1270" s="2" t="s">
        <v>64</v>
      </c>
      <c r="D1270" s="2" t="s">
        <v>51</v>
      </c>
      <c r="E1270" s="2" t="s">
        <v>131</v>
      </c>
      <c r="F1270" s="2" t="s">
        <v>314</v>
      </c>
      <c r="G1270" s="2">
        <v>5</v>
      </c>
      <c r="H1270" s="2">
        <v>8980</v>
      </c>
      <c r="I1270" s="2">
        <v>5</v>
      </c>
      <c r="J1270" s="2">
        <v>42655</v>
      </c>
      <c r="K1270" s="2" t="s">
        <v>45</v>
      </c>
      <c r="L1270" s="2" t="s">
        <v>112</v>
      </c>
      <c r="M1270" s="2" t="s">
        <v>38</v>
      </c>
    </row>
    <row r="1271" spans="1:13" x14ac:dyDescent="0.25">
      <c r="A1271" s="2" t="s">
        <v>2469</v>
      </c>
      <c r="B1271" s="2" t="s">
        <v>2470</v>
      </c>
      <c r="C1271" s="2" t="s">
        <v>57</v>
      </c>
      <c r="D1271" s="2" t="s">
        <v>58</v>
      </c>
      <c r="E1271" s="2" t="s">
        <v>92</v>
      </c>
      <c r="F1271" s="2" t="s">
        <v>332</v>
      </c>
      <c r="G1271" s="2">
        <v>6</v>
      </c>
      <c r="H1271" s="2">
        <v>19130</v>
      </c>
      <c r="I1271" s="2"/>
      <c r="J1271" s="2">
        <v>114780</v>
      </c>
      <c r="K1271" s="2" t="s">
        <v>205</v>
      </c>
      <c r="L1271" s="2" t="s">
        <v>28</v>
      </c>
      <c r="M1271" s="2" t="s">
        <v>128</v>
      </c>
    </row>
    <row r="1272" spans="1:13" x14ac:dyDescent="0.25">
      <c r="A1272" s="2" t="s">
        <v>2471</v>
      </c>
      <c r="B1272" s="2" t="s">
        <v>2472</v>
      </c>
      <c r="C1272" s="2" t="s">
        <v>32</v>
      </c>
      <c r="D1272" s="2" t="s">
        <v>33</v>
      </c>
      <c r="E1272" s="2" t="s">
        <v>322</v>
      </c>
      <c r="F1272" s="2" t="s">
        <v>180</v>
      </c>
      <c r="G1272" s="2">
        <v>2</v>
      </c>
      <c r="H1272" s="2">
        <v>460</v>
      </c>
      <c r="I1272" s="2">
        <v>15</v>
      </c>
      <c r="J1272" s="2">
        <v>782</v>
      </c>
      <c r="K1272" s="2" t="s">
        <v>53</v>
      </c>
      <c r="L1272" s="2" t="s">
        <v>249</v>
      </c>
      <c r="M1272" s="2" t="s">
        <v>47</v>
      </c>
    </row>
    <row r="1273" spans="1:13" x14ac:dyDescent="0.25">
      <c r="A1273" s="2" t="s">
        <v>2473</v>
      </c>
      <c r="B1273" s="2" t="s">
        <v>2474</v>
      </c>
      <c r="C1273" s="2" t="s">
        <v>24</v>
      </c>
      <c r="D1273" s="2" t="s">
        <v>16</v>
      </c>
      <c r="E1273" s="2" t="s">
        <v>100</v>
      </c>
      <c r="F1273" s="2" t="s">
        <v>132</v>
      </c>
      <c r="G1273" s="2">
        <v>10</v>
      </c>
      <c r="H1273" s="2">
        <v>64750</v>
      </c>
      <c r="I1273" s="2">
        <v>5</v>
      </c>
      <c r="J1273" s="2">
        <v>615125</v>
      </c>
      <c r="K1273" s="2" t="s">
        <v>127</v>
      </c>
      <c r="L1273" s="2" t="s">
        <v>2475</v>
      </c>
      <c r="M1273" s="2" t="s">
        <v>21</v>
      </c>
    </row>
    <row r="1274" spans="1:13" x14ac:dyDescent="0.25">
      <c r="A1274" s="2" t="s">
        <v>2476</v>
      </c>
      <c r="B1274" s="2" t="s">
        <v>2096</v>
      </c>
      <c r="C1274" s="2" t="s">
        <v>135</v>
      </c>
      <c r="D1274" s="2" t="s">
        <v>58</v>
      </c>
      <c r="E1274" s="2" t="s">
        <v>131</v>
      </c>
      <c r="F1274" s="2" t="s">
        <v>66</v>
      </c>
      <c r="G1274" s="2">
        <v>4</v>
      </c>
      <c r="H1274" s="2">
        <v>1220</v>
      </c>
      <c r="I1274" s="2">
        <v>0</v>
      </c>
      <c r="J1274" s="2" t="s">
        <v>138</v>
      </c>
      <c r="K1274" s="2" t="s">
        <v>157</v>
      </c>
      <c r="L1274" s="2" t="s">
        <v>2477</v>
      </c>
      <c r="M1274" s="2" t="s">
        <v>21</v>
      </c>
    </row>
    <row r="1275" spans="1:13" x14ac:dyDescent="0.25">
      <c r="A1275" s="2" t="s">
        <v>2478</v>
      </c>
      <c r="B1275" s="2" t="s">
        <v>1648</v>
      </c>
      <c r="C1275" s="2" t="s">
        <v>76</v>
      </c>
      <c r="D1275" s="2" t="s">
        <v>33</v>
      </c>
      <c r="E1275" s="2" t="s">
        <v>195</v>
      </c>
      <c r="F1275" s="2" t="s">
        <v>18</v>
      </c>
      <c r="G1275" s="2">
        <v>3</v>
      </c>
      <c r="H1275" s="2"/>
      <c r="I1275" s="2">
        <v>0</v>
      </c>
      <c r="J1275" s="2">
        <v>74700</v>
      </c>
      <c r="K1275" s="2" t="s">
        <v>157</v>
      </c>
      <c r="L1275" s="2" t="s">
        <v>491</v>
      </c>
      <c r="M1275" s="2" t="s">
        <v>21</v>
      </c>
    </row>
    <row r="1276" spans="1:13" x14ac:dyDescent="0.25">
      <c r="A1276" s="2" t="s">
        <v>2479</v>
      </c>
      <c r="B1276" s="2" t="s">
        <v>2480</v>
      </c>
      <c r="C1276" s="2" t="s">
        <v>227</v>
      </c>
      <c r="D1276" s="2" t="s">
        <v>33</v>
      </c>
      <c r="E1276" s="2" t="s">
        <v>52</v>
      </c>
      <c r="F1276" s="2" t="s">
        <v>248</v>
      </c>
      <c r="G1276" s="2">
        <v>11</v>
      </c>
      <c r="H1276" s="2">
        <v>8360</v>
      </c>
      <c r="I1276" s="2">
        <v>10</v>
      </c>
      <c r="J1276" s="2">
        <v>82764</v>
      </c>
      <c r="K1276" s="2" t="s">
        <v>72</v>
      </c>
      <c r="L1276" s="2" t="s">
        <v>1929</v>
      </c>
      <c r="M1276" s="2" t="s">
        <v>821</v>
      </c>
    </row>
    <row r="1277" spans="1:13" x14ac:dyDescent="0.25">
      <c r="A1277" s="2" t="s">
        <v>2481</v>
      </c>
      <c r="B1277" s="2" t="s">
        <v>2482</v>
      </c>
      <c r="C1277" s="2" t="s">
        <v>24</v>
      </c>
      <c r="D1277" s="2" t="s">
        <v>16</v>
      </c>
      <c r="E1277" s="2" t="s">
        <v>504</v>
      </c>
      <c r="F1277" s="2" t="s">
        <v>435</v>
      </c>
      <c r="G1277" s="2">
        <v>12</v>
      </c>
      <c r="H1277" s="2">
        <v>65190</v>
      </c>
      <c r="I1277" s="2">
        <v>0</v>
      </c>
      <c r="J1277" s="2">
        <v>782280</v>
      </c>
      <c r="K1277" s="2" t="s">
        <v>27</v>
      </c>
      <c r="L1277" s="2" t="s">
        <v>406</v>
      </c>
      <c r="M1277" s="2" t="s">
        <v>38</v>
      </c>
    </row>
    <row r="1278" spans="1:13" x14ac:dyDescent="0.25">
      <c r="A1278" s="2" t="s">
        <v>2483</v>
      </c>
      <c r="B1278" s="2" t="s">
        <v>2484</v>
      </c>
      <c r="C1278" s="2" t="s">
        <v>110</v>
      </c>
      <c r="D1278" s="2" t="s">
        <v>33</v>
      </c>
      <c r="E1278" s="2" t="s">
        <v>152</v>
      </c>
      <c r="F1278" s="2" t="s">
        <v>296</v>
      </c>
      <c r="G1278" s="2">
        <v>3</v>
      </c>
      <c r="H1278" s="2">
        <v>1150</v>
      </c>
      <c r="I1278" s="2">
        <v>0</v>
      </c>
      <c r="J1278" s="2">
        <v>3450</v>
      </c>
      <c r="K1278" s="2" t="s">
        <v>144</v>
      </c>
      <c r="L1278" s="2" t="s">
        <v>84</v>
      </c>
      <c r="M1278" s="2" t="s">
        <v>140</v>
      </c>
    </row>
    <row r="1279" spans="1:13" x14ac:dyDescent="0.25">
      <c r="A1279" s="2" t="s">
        <v>353</v>
      </c>
      <c r="B1279" s="2" t="s">
        <v>354</v>
      </c>
      <c r="C1279" s="2" t="s">
        <v>156</v>
      </c>
      <c r="D1279" s="2" t="s">
        <v>51</v>
      </c>
      <c r="E1279" s="2" t="s">
        <v>100</v>
      </c>
      <c r="F1279" s="2" t="s">
        <v>126</v>
      </c>
      <c r="G1279" s="2">
        <v>8</v>
      </c>
      <c r="H1279" s="2">
        <v>28010</v>
      </c>
      <c r="I1279" s="2">
        <v>10</v>
      </c>
      <c r="J1279" s="2">
        <v>201672</v>
      </c>
      <c r="K1279" s="2" t="s">
        <v>72</v>
      </c>
      <c r="L1279" s="2" t="s">
        <v>54</v>
      </c>
      <c r="M1279" s="2" t="s">
        <v>47</v>
      </c>
    </row>
    <row r="1280" spans="1:13" x14ac:dyDescent="0.25">
      <c r="A1280" s="2" t="s">
        <v>2485</v>
      </c>
      <c r="B1280" s="2" t="s">
        <v>2486</v>
      </c>
      <c r="C1280" s="2" t="s">
        <v>557</v>
      </c>
      <c r="D1280" s="2"/>
      <c r="E1280" s="2" t="s">
        <v>163</v>
      </c>
      <c r="F1280" s="2" t="s">
        <v>374</v>
      </c>
      <c r="G1280" s="2">
        <v>11</v>
      </c>
      <c r="H1280" s="2">
        <v>7750</v>
      </c>
      <c r="I1280" s="2">
        <v>15</v>
      </c>
      <c r="J1280" s="2">
        <v>72462.5</v>
      </c>
      <c r="K1280" s="2" t="s">
        <v>94</v>
      </c>
      <c r="L1280" s="2" t="s">
        <v>473</v>
      </c>
      <c r="M1280" s="2" t="s">
        <v>21</v>
      </c>
    </row>
    <row r="1281" spans="1:13" x14ac:dyDescent="0.25">
      <c r="A1281" s="2" t="s">
        <v>2487</v>
      </c>
      <c r="B1281" s="2" t="s">
        <v>2488</v>
      </c>
      <c r="C1281" s="2" t="s">
        <v>598</v>
      </c>
      <c r="D1281" s="2" t="s">
        <v>42</v>
      </c>
      <c r="E1281" s="2" t="s">
        <v>131</v>
      </c>
      <c r="F1281" s="2" t="s">
        <v>126</v>
      </c>
      <c r="G1281" s="2">
        <v>5</v>
      </c>
      <c r="H1281" s="2">
        <v>17070</v>
      </c>
      <c r="I1281" s="2">
        <v>0</v>
      </c>
      <c r="J1281" s="2">
        <v>85350</v>
      </c>
      <c r="K1281" s="2" t="s">
        <v>152</v>
      </c>
      <c r="L1281" s="2" t="s">
        <v>266</v>
      </c>
      <c r="M1281" s="2" t="s">
        <v>21</v>
      </c>
    </row>
    <row r="1282" spans="1:13" x14ac:dyDescent="0.25">
      <c r="A1282" s="2" t="s">
        <v>2489</v>
      </c>
      <c r="B1282" s="2" t="s">
        <v>2137</v>
      </c>
      <c r="C1282" s="2" t="s">
        <v>41</v>
      </c>
      <c r="D1282" s="2" t="s">
        <v>42</v>
      </c>
      <c r="E1282" s="2" t="s">
        <v>105</v>
      </c>
      <c r="F1282" s="2" t="s">
        <v>332</v>
      </c>
      <c r="G1282" s="2">
        <v>6</v>
      </c>
      <c r="H1282" s="2">
        <v>64070</v>
      </c>
      <c r="I1282" s="2">
        <v>10</v>
      </c>
      <c r="J1282" s="2" t="s">
        <v>223</v>
      </c>
      <c r="K1282" s="2" t="s">
        <v>144</v>
      </c>
      <c r="L1282" s="2" t="s">
        <v>20</v>
      </c>
      <c r="M1282" s="2" t="s">
        <v>21</v>
      </c>
    </row>
    <row r="1283" spans="1:13" x14ac:dyDescent="0.25">
      <c r="A1283" s="2" t="s">
        <v>2490</v>
      </c>
      <c r="B1283" s="2" t="s">
        <v>2491</v>
      </c>
      <c r="C1283" s="2" t="s">
        <v>24</v>
      </c>
      <c r="D1283" s="2" t="s">
        <v>16</v>
      </c>
      <c r="E1283" s="2" t="s">
        <v>105</v>
      </c>
      <c r="F1283" s="2" t="s">
        <v>106</v>
      </c>
      <c r="G1283" s="2">
        <v>6</v>
      </c>
      <c r="H1283" s="2">
        <v>5480</v>
      </c>
      <c r="I1283" s="2">
        <v>10</v>
      </c>
      <c r="J1283" s="2">
        <v>29592</v>
      </c>
      <c r="K1283" s="2" t="s">
        <v>27</v>
      </c>
      <c r="L1283" s="2" t="s">
        <v>168</v>
      </c>
      <c r="M1283" s="2" t="s">
        <v>38</v>
      </c>
    </row>
    <row r="1284" spans="1:13" x14ac:dyDescent="0.25">
      <c r="A1284" s="2" t="s">
        <v>2492</v>
      </c>
      <c r="B1284" s="2" t="s">
        <v>2493</v>
      </c>
      <c r="C1284" s="2" t="s">
        <v>449</v>
      </c>
      <c r="D1284" s="2" t="s">
        <v>42</v>
      </c>
      <c r="E1284" s="2" t="s">
        <v>195</v>
      </c>
      <c r="F1284" s="2" t="s">
        <v>164</v>
      </c>
      <c r="G1284" s="2">
        <v>11</v>
      </c>
      <c r="H1284" s="2">
        <v>7340</v>
      </c>
      <c r="I1284" s="2">
        <v>0</v>
      </c>
      <c r="J1284" s="2">
        <v>80740</v>
      </c>
      <c r="K1284" s="2" t="s">
        <v>36</v>
      </c>
      <c r="L1284" s="2" t="s">
        <v>883</v>
      </c>
      <c r="M1284" s="2" t="s">
        <v>21</v>
      </c>
    </row>
    <row r="1285" spans="1:13" x14ac:dyDescent="0.25">
      <c r="A1285" s="2" t="s">
        <v>2494</v>
      </c>
      <c r="B1285" s="2" t="s">
        <v>2495</v>
      </c>
      <c r="C1285" s="2" t="s">
        <v>41</v>
      </c>
      <c r="D1285" s="2" t="s">
        <v>42</v>
      </c>
      <c r="E1285" s="2" t="s">
        <v>119</v>
      </c>
      <c r="F1285" s="2" t="s">
        <v>332</v>
      </c>
      <c r="G1285" s="2">
        <v>3</v>
      </c>
      <c r="H1285" s="2">
        <v>16990</v>
      </c>
      <c r="I1285" s="2">
        <v>15</v>
      </c>
      <c r="J1285" s="2">
        <v>43324.5</v>
      </c>
      <c r="K1285" s="2" t="s">
        <v>133</v>
      </c>
      <c r="L1285" s="2" t="s">
        <v>341</v>
      </c>
      <c r="M1285" s="2" t="s">
        <v>29</v>
      </c>
    </row>
    <row r="1286" spans="1:13" x14ac:dyDescent="0.25">
      <c r="A1286" s="2" t="s">
        <v>2496</v>
      </c>
      <c r="B1286" s="2" t="s">
        <v>1644</v>
      </c>
      <c r="C1286" s="2" t="s">
        <v>2497</v>
      </c>
      <c r="D1286" s="2" t="s">
        <v>51</v>
      </c>
      <c r="E1286" s="2" t="s">
        <v>148</v>
      </c>
      <c r="F1286" s="2" t="s">
        <v>149</v>
      </c>
      <c r="G1286" s="2">
        <v>-1</v>
      </c>
      <c r="H1286" s="2">
        <v>3680</v>
      </c>
      <c r="I1286" s="2">
        <v>5</v>
      </c>
      <c r="J1286" s="2">
        <v>41952</v>
      </c>
      <c r="K1286" s="2" t="s">
        <v>102</v>
      </c>
      <c r="L1286" s="2" t="s">
        <v>73</v>
      </c>
      <c r="M1286" s="2" t="s">
        <v>128</v>
      </c>
    </row>
    <row r="1287" spans="1:13" x14ac:dyDescent="0.25">
      <c r="A1287" s="2" t="s">
        <v>2498</v>
      </c>
      <c r="B1287" s="2" t="s">
        <v>2499</v>
      </c>
      <c r="C1287" s="2" t="s">
        <v>118</v>
      </c>
      <c r="D1287" s="2" t="s">
        <v>51</v>
      </c>
      <c r="E1287" s="2" t="s">
        <v>504</v>
      </c>
      <c r="F1287" s="2" t="s">
        <v>149</v>
      </c>
      <c r="G1287" s="2">
        <v>3</v>
      </c>
      <c r="H1287" s="2">
        <v>8770</v>
      </c>
      <c r="I1287" s="2">
        <v>0</v>
      </c>
      <c r="J1287" s="2">
        <v>26310</v>
      </c>
      <c r="K1287" s="2" t="s">
        <v>127</v>
      </c>
      <c r="L1287" s="2" t="s">
        <v>266</v>
      </c>
      <c r="M1287" s="2" t="s">
        <v>47</v>
      </c>
    </row>
    <row r="1288" spans="1:13" x14ac:dyDescent="0.25">
      <c r="A1288" s="2" t="s">
        <v>2500</v>
      </c>
      <c r="B1288" s="2" t="s">
        <v>2501</v>
      </c>
      <c r="C1288" s="2" t="s">
        <v>204</v>
      </c>
      <c r="D1288" s="2" t="s">
        <v>33</v>
      </c>
      <c r="E1288" s="2" t="s">
        <v>34</v>
      </c>
      <c r="F1288" s="2" t="s">
        <v>18</v>
      </c>
      <c r="G1288" s="2">
        <v>1</v>
      </c>
      <c r="H1288" s="2">
        <v>3820</v>
      </c>
      <c r="I1288" s="2">
        <v>0</v>
      </c>
      <c r="J1288" s="2">
        <v>3820</v>
      </c>
      <c r="K1288" s="2" t="s">
        <v>144</v>
      </c>
      <c r="L1288" s="2" t="s">
        <v>20</v>
      </c>
      <c r="M1288" s="2" t="s">
        <v>107</v>
      </c>
    </row>
    <row r="1289" spans="1:13" x14ac:dyDescent="0.25">
      <c r="A1289" s="2" t="s">
        <v>2502</v>
      </c>
      <c r="B1289" s="2" t="s">
        <v>641</v>
      </c>
      <c r="C1289" s="2" t="s">
        <v>64</v>
      </c>
      <c r="D1289" s="2" t="s">
        <v>51</v>
      </c>
      <c r="E1289" s="2" t="s">
        <v>119</v>
      </c>
      <c r="F1289" s="2" t="s">
        <v>255</v>
      </c>
      <c r="G1289" s="2">
        <v>3</v>
      </c>
      <c r="H1289" s="2">
        <v>1250</v>
      </c>
      <c r="I1289" s="2">
        <v>0</v>
      </c>
      <c r="J1289" s="2">
        <v>3750</v>
      </c>
      <c r="K1289" s="2" t="s">
        <v>120</v>
      </c>
      <c r="L1289" s="2" t="s">
        <v>46</v>
      </c>
      <c r="M1289" s="2" t="s">
        <v>21</v>
      </c>
    </row>
    <row r="1290" spans="1:13" x14ac:dyDescent="0.25">
      <c r="A1290" s="2" t="s">
        <v>2503</v>
      </c>
      <c r="B1290" s="2" t="s">
        <v>2504</v>
      </c>
      <c r="C1290" s="2" t="s">
        <v>135</v>
      </c>
      <c r="D1290" s="2" t="s">
        <v>58</v>
      </c>
      <c r="E1290" s="2" t="s">
        <v>82</v>
      </c>
      <c r="F1290" s="2" t="s">
        <v>83</v>
      </c>
      <c r="G1290" s="2">
        <v>9</v>
      </c>
      <c r="H1290" s="2">
        <v>510</v>
      </c>
      <c r="I1290" s="2">
        <v>0</v>
      </c>
      <c r="J1290" s="2">
        <v>4590</v>
      </c>
      <c r="K1290" s="2" t="s">
        <v>120</v>
      </c>
      <c r="L1290" s="2" t="s">
        <v>54</v>
      </c>
      <c r="M1290" s="2" t="s">
        <v>29</v>
      </c>
    </row>
    <row r="1291" spans="1:13" x14ac:dyDescent="0.25">
      <c r="A1291" s="2" t="s">
        <v>2505</v>
      </c>
      <c r="B1291" s="2" t="s">
        <v>766</v>
      </c>
      <c r="C1291" s="2" t="s">
        <v>449</v>
      </c>
      <c r="D1291" s="2" t="s">
        <v>42</v>
      </c>
      <c r="E1291" s="2" t="s">
        <v>137</v>
      </c>
      <c r="F1291" s="2" t="s">
        <v>199</v>
      </c>
      <c r="G1291" s="2">
        <v>9</v>
      </c>
      <c r="H1291" s="2">
        <v>11890</v>
      </c>
      <c r="I1291" s="2">
        <v>0</v>
      </c>
      <c r="J1291" s="2">
        <v>107010</v>
      </c>
      <c r="K1291" s="2" t="s">
        <v>53</v>
      </c>
      <c r="L1291" s="2" t="s">
        <v>79</v>
      </c>
      <c r="M1291" s="2" t="s">
        <v>128</v>
      </c>
    </row>
    <row r="1292" spans="1:13" x14ac:dyDescent="0.25">
      <c r="A1292" s="2" t="s">
        <v>2506</v>
      </c>
      <c r="B1292" s="2" t="s">
        <v>2507</v>
      </c>
      <c r="C1292" s="2" t="s">
        <v>213</v>
      </c>
      <c r="D1292" s="2" t="s">
        <v>58</v>
      </c>
      <c r="E1292" s="2" t="s">
        <v>17</v>
      </c>
      <c r="F1292" s="2" t="s">
        <v>18</v>
      </c>
      <c r="G1292" s="2">
        <v>9</v>
      </c>
      <c r="H1292" s="2">
        <v>43830</v>
      </c>
      <c r="I1292" s="2">
        <v>0</v>
      </c>
      <c r="J1292" s="2">
        <v>394470</v>
      </c>
      <c r="K1292" s="2" t="s">
        <v>144</v>
      </c>
      <c r="L1292" s="2" t="s">
        <v>274</v>
      </c>
      <c r="M1292" s="2" t="s">
        <v>38</v>
      </c>
    </row>
    <row r="1293" spans="1:13" x14ac:dyDescent="0.25">
      <c r="A1293" s="2" t="s">
        <v>2508</v>
      </c>
      <c r="B1293" s="2" t="s">
        <v>2509</v>
      </c>
      <c r="C1293" s="2" t="s">
        <v>1462</v>
      </c>
      <c r="D1293" s="2" t="s">
        <v>58</v>
      </c>
      <c r="E1293" s="2" t="s">
        <v>17</v>
      </c>
      <c r="F1293" s="2" t="s">
        <v>199</v>
      </c>
      <c r="G1293" s="2">
        <v>3</v>
      </c>
      <c r="H1293" s="2">
        <v>25300</v>
      </c>
      <c r="I1293" s="2">
        <v>5</v>
      </c>
      <c r="J1293" s="2">
        <v>72105</v>
      </c>
      <c r="K1293" s="2" t="s">
        <v>67</v>
      </c>
      <c r="L1293" s="2" t="s">
        <v>46</v>
      </c>
      <c r="M1293" s="2" t="s">
        <v>21</v>
      </c>
    </row>
    <row r="1294" spans="1:13" x14ac:dyDescent="0.25">
      <c r="A1294" s="2" t="s">
        <v>2510</v>
      </c>
      <c r="B1294" s="2" t="s">
        <v>298</v>
      </c>
      <c r="C1294" s="2" t="s">
        <v>135</v>
      </c>
      <c r="D1294" s="2" t="s">
        <v>58</v>
      </c>
      <c r="E1294" s="2" t="s">
        <v>65</v>
      </c>
      <c r="F1294" s="2" t="s">
        <v>66</v>
      </c>
      <c r="G1294" s="2">
        <v>2</v>
      </c>
      <c r="H1294" s="2">
        <v>13450</v>
      </c>
      <c r="I1294" s="2">
        <v>0</v>
      </c>
      <c r="J1294" s="2">
        <v>26900</v>
      </c>
      <c r="K1294" s="2" t="s">
        <v>157</v>
      </c>
      <c r="L1294" s="2" t="s">
        <v>79</v>
      </c>
      <c r="M1294" s="2" t="s">
        <v>21</v>
      </c>
    </row>
    <row r="1295" spans="1:13" x14ac:dyDescent="0.25">
      <c r="A1295" s="2" t="s">
        <v>2511</v>
      </c>
      <c r="B1295" s="2" t="s">
        <v>2512</v>
      </c>
      <c r="C1295" s="2" t="s">
        <v>118</v>
      </c>
      <c r="D1295" s="2" t="s">
        <v>51</v>
      </c>
      <c r="E1295" s="2" t="s">
        <v>82</v>
      </c>
      <c r="F1295" s="2" t="s">
        <v>149</v>
      </c>
      <c r="G1295" s="2">
        <v>4</v>
      </c>
      <c r="H1295" s="2">
        <v>1330</v>
      </c>
      <c r="I1295" s="2">
        <v>0</v>
      </c>
      <c r="J1295" s="2">
        <v>5320</v>
      </c>
      <c r="K1295" s="2" t="s">
        <v>27</v>
      </c>
      <c r="L1295" s="2" t="s">
        <v>20</v>
      </c>
      <c r="M1295" s="2" t="s">
        <v>140</v>
      </c>
    </row>
    <row r="1296" spans="1:13" x14ac:dyDescent="0.25">
      <c r="A1296" s="2" t="s">
        <v>2513</v>
      </c>
      <c r="B1296" s="2" t="s">
        <v>2514</v>
      </c>
      <c r="C1296" s="2" t="s">
        <v>135</v>
      </c>
      <c r="D1296" s="2" t="s">
        <v>58</v>
      </c>
      <c r="E1296" s="2" t="s">
        <v>231</v>
      </c>
      <c r="F1296" s="2" t="s">
        <v>143</v>
      </c>
      <c r="G1296" s="2">
        <v>10</v>
      </c>
      <c r="H1296" s="2">
        <v>8590</v>
      </c>
      <c r="I1296" s="2">
        <v>15</v>
      </c>
      <c r="J1296" s="2">
        <v>73015</v>
      </c>
      <c r="K1296" s="2" t="s">
        <v>133</v>
      </c>
      <c r="L1296" s="2" t="s">
        <v>176</v>
      </c>
      <c r="M1296" s="2" t="s">
        <v>21</v>
      </c>
    </row>
    <row r="1297" spans="1:13" x14ac:dyDescent="0.25">
      <c r="A1297" s="2" t="s">
        <v>2515</v>
      </c>
      <c r="B1297" s="2" t="s">
        <v>617</v>
      </c>
      <c r="C1297" s="2" t="s">
        <v>227</v>
      </c>
      <c r="D1297" s="2" t="s">
        <v>33</v>
      </c>
      <c r="E1297" s="2" t="s">
        <v>131</v>
      </c>
      <c r="F1297" s="2" t="s">
        <v>296</v>
      </c>
      <c r="G1297" s="2">
        <v>12</v>
      </c>
      <c r="H1297" s="2">
        <v>24180</v>
      </c>
      <c r="I1297" s="2" t="s">
        <v>152</v>
      </c>
      <c r="J1297" s="2">
        <v>275652</v>
      </c>
      <c r="K1297" s="2" t="s">
        <v>133</v>
      </c>
      <c r="L1297" s="2" t="s">
        <v>311</v>
      </c>
      <c r="M1297" s="2" t="s">
        <v>21</v>
      </c>
    </row>
    <row r="1298" spans="1:13" x14ac:dyDescent="0.25">
      <c r="A1298" s="2" t="s">
        <v>2516</v>
      </c>
      <c r="B1298" s="2" t="s">
        <v>2064</v>
      </c>
      <c r="C1298" s="2" t="s">
        <v>32</v>
      </c>
      <c r="D1298" s="2" t="s">
        <v>33</v>
      </c>
      <c r="E1298" s="2" t="s">
        <v>179</v>
      </c>
      <c r="F1298" s="2" t="s">
        <v>78</v>
      </c>
      <c r="G1298" s="2">
        <v>1</v>
      </c>
      <c r="H1298" s="2">
        <v>1090</v>
      </c>
      <c r="I1298" s="2">
        <v>0</v>
      </c>
      <c r="J1298" s="2">
        <v>1090</v>
      </c>
      <c r="K1298" s="2" t="s">
        <v>94</v>
      </c>
      <c r="L1298" s="2" t="s">
        <v>1727</v>
      </c>
      <c r="M1298" s="2" t="s">
        <v>21</v>
      </c>
    </row>
    <row r="1299" spans="1:13" x14ac:dyDescent="0.25">
      <c r="A1299" s="2" t="s">
        <v>2517</v>
      </c>
      <c r="B1299" s="2" t="s">
        <v>1658</v>
      </c>
      <c r="C1299" s="2" t="s">
        <v>50</v>
      </c>
      <c r="D1299" s="2" t="s">
        <v>51</v>
      </c>
      <c r="E1299" s="2" t="s">
        <v>119</v>
      </c>
      <c r="F1299" s="2" t="s">
        <v>115</v>
      </c>
      <c r="G1299" s="2">
        <v>6</v>
      </c>
      <c r="H1299" s="2">
        <v>58990</v>
      </c>
      <c r="I1299" s="2">
        <v>0</v>
      </c>
      <c r="J1299" s="2">
        <v>353940</v>
      </c>
      <c r="K1299" s="2" t="s">
        <v>67</v>
      </c>
      <c r="L1299" s="2" t="s">
        <v>176</v>
      </c>
      <c r="M1299" s="2" t="s">
        <v>140</v>
      </c>
    </row>
    <row r="1300" spans="1:13" x14ac:dyDescent="0.25">
      <c r="A1300" s="2" t="s">
        <v>2518</v>
      </c>
      <c r="B1300" s="2" t="s">
        <v>2519</v>
      </c>
      <c r="C1300" s="2" t="s">
        <v>135</v>
      </c>
      <c r="D1300" s="2" t="s">
        <v>58</v>
      </c>
      <c r="E1300" s="2" t="s">
        <v>322</v>
      </c>
      <c r="F1300" s="2" t="s">
        <v>232</v>
      </c>
      <c r="G1300" s="2">
        <v>12</v>
      </c>
      <c r="H1300" s="2">
        <v>460</v>
      </c>
      <c r="I1300" s="2">
        <v>10</v>
      </c>
      <c r="J1300" s="2">
        <v>4968</v>
      </c>
      <c r="K1300" s="2" t="s">
        <v>120</v>
      </c>
      <c r="L1300" s="2"/>
      <c r="M1300" s="2" t="s">
        <v>128</v>
      </c>
    </row>
    <row r="1301" spans="1:13" x14ac:dyDescent="0.25">
      <c r="A1301" s="2" t="s">
        <v>2520</v>
      </c>
      <c r="B1301" s="2" t="s">
        <v>2521</v>
      </c>
      <c r="C1301" s="2" t="s">
        <v>91</v>
      </c>
      <c r="D1301" s="2" t="s">
        <v>152</v>
      </c>
      <c r="E1301" s="2" t="s">
        <v>148</v>
      </c>
      <c r="F1301" s="2" t="s">
        <v>209</v>
      </c>
      <c r="G1301" s="2">
        <v>3</v>
      </c>
      <c r="H1301" s="2">
        <v>5310</v>
      </c>
      <c r="I1301" s="2">
        <v>0</v>
      </c>
      <c r="J1301" s="2">
        <v>15930</v>
      </c>
      <c r="K1301" s="2" t="s">
        <v>87</v>
      </c>
      <c r="L1301" s="2" t="s">
        <v>428</v>
      </c>
      <c r="M1301" s="2" t="s">
        <v>96</v>
      </c>
    </row>
    <row r="1302" spans="1:13" x14ac:dyDescent="0.25">
      <c r="A1302" s="2" t="s">
        <v>2522</v>
      </c>
      <c r="B1302" s="2" t="s">
        <v>2523</v>
      </c>
      <c r="C1302" s="2" t="s">
        <v>238</v>
      </c>
      <c r="D1302" s="2" t="s">
        <v>51</v>
      </c>
      <c r="E1302" s="2" t="s">
        <v>34</v>
      </c>
      <c r="F1302" s="2" t="s">
        <v>290</v>
      </c>
      <c r="G1302" s="2">
        <v>7</v>
      </c>
      <c r="H1302" s="2">
        <v>570</v>
      </c>
      <c r="I1302" s="2">
        <v>0</v>
      </c>
      <c r="J1302" s="2">
        <v>3990</v>
      </c>
      <c r="K1302" s="2" t="s">
        <v>172</v>
      </c>
      <c r="L1302" s="2" t="s">
        <v>1114</v>
      </c>
      <c r="M1302" s="2" t="s">
        <v>140</v>
      </c>
    </row>
    <row r="1303" spans="1:13" x14ac:dyDescent="0.25">
      <c r="A1303" s="2" t="s">
        <v>2524</v>
      </c>
      <c r="B1303" s="2" t="s">
        <v>2525</v>
      </c>
      <c r="C1303" s="2" t="s">
        <v>238</v>
      </c>
      <c r="D1303" s="2" t="s">
        <v>51</v>
      </c>
      <c r="E1303" s="2" t="s">
        <v>105</v>
      </c>
      <c r="F1303" s="2" t="s">
        <v>44</v>
      </c>
      <c r="G1303" s="2">
        <v>5</v>
      </c>
      <c r="H1303" s="2">
        <v>19470</v>
      </c>
      <c r="I1303" s="2">
        <v>0</v>
      </c>
      <c r="J1303" s="2">
        <v>97350</v>
      </c>
      <c r="K1303" s="2" t="s">
        <v>94</v>
      </c>
      <c r="L1303" s="2" t="s">
        <v>271</v>
      </c>
      <c r="M1303" s="2" t="s">
        <v>29</v>
      </c>
    </row>
    <row r="1304" spans="1:13" x14ac:dyDescent="0.25">
      <c r="A1304" s="2" t="s">
        <v>2526</v>
      </c>
      <c r="B1304" s="2" t="s">
        <v>2527</v>
      </c>
      <c r="C1304" s="2" t="s">
        <v>223</v>
      </c>
      <c r="D1304" s="2" t="s">
        <v>58</v>
      </c>
      <c r="E1304" s="2" t="s">
        <v>43</v>
      </c>
      <c r="F1304" s="2" t="s">
        <v>44</v>
      </c>
      <c r="G1304" s="2">
        <v>4</v>
      </c>
      <c r="H1304" s="2">
        <v>23530</v>
      </c>
      <c r="I1304" s="2">
        <v>15</v>
      </c>
      <c r="J1304" s="2">
        <v>80002</v>
      </c>
      <c r="K1304" s="2" t="s">
        <v>19</v>
      </c>
      <c r="L1304" s="2" t="s">
        <v>20</v>
      </c>
      <c r="M1304" s="2" t="s">
        <v>821</v>
      </c>
    </row>
    <row r="1305" spans="1:13" x14ac:dyDescent="0.25">
      <c r="A1305" s="2" t="s">
        <v>2528</v>
      </c>
      <c r="B1305" s="2" t="s">
        <v>2529</v>
      </c>
      <c r="C1305" s="2" t="s">
        <v>64</v>
      </c>
      <c r="D1305" s="2" t="s">
        <v>51</v>
      </c>
      <c r="E1305" s="2" t="s">
        <v>17</v>
      </c>
      <c r="F1305" s="2" t="s">
        <v>199</v>
      </c>
      <c r="G1305" s="2">
        <v>12</v>
      </c>
      <c r="H1305" s="2">
        <v>460</v>
      </c>
      <c r="I1305" s="2">
        <v>0</v>
      </c>
      <c r="J1305" s="2" t="s">
        <v>136</v>
      </c>
      <c r="K1305" s="2" t="s">
        <v>102</v>
      </c>
      <c r="L1305" s="2" t="s">
        <v>112</v>
      </c>
      <c r="M1305" s="2" t="s">
        <v>21</v>
      </c>
    </row>
    <row r="1306" spans="1:13" x14ac:dyDescent="0.25">
      <c r="A1306" s="2" t="s">
        <v>2530</v>
      </c>
      <c r="B1306" s="2" t="s">
        <v>2531</v>
      </c>
      <c r="C1306" s="2" t="s">
        <v>135</v>
      </c>
      <c r="D1306" s="2" t="s">
        <v>58</v>
      </c>
      <c r="E1306" s="2" t="s">
        <v>17</v>
      </c>
      <c r="F1306" s="2" t="s">
        <v>35</v>
      </c>
      <c r="G1306" s="2">
        <v>7</v>
      </c>
      <c r="H1306" s="2">
        <v>2440</v>
      </c>
      <c r="I1306" s="2">
        <v>15</v>
      </c>
      <c r="J1306" s="2">
        <v>14518</v>
      </c>
      <c r="K1306" s="2" t="s">
        <v>144</v>
      </c>
      <c r="L1306" s="2" t="s">
        <v>228</v>
      </c>
      <c r="M1306" s="2" t="s">
        <v>21</v>
      </c>
    </row>
    <row r="1307" spans="1:13" x14ac:dyDescent="0.25">
      <c r="A1307" s="2" t="s">
        <v>972</v>
      </c>
      <c r="B1307" s="2" t="s">
        <v>451</v>
      </c>
      <c r="C1307" s="2" t="s">
        <v>24</v>
      </c>
      <c r="D1307" s="2" t="s">
        <v>16</v>
      </c>
      <c r="E1307" s="2" t="s">
        <v>100</v>
      </c>
      <c r="F1307" s="2" t="s">
        <v>101</v>
      </c>
      <c r="G1307" s="2">
        <v>2</v>
      </c>
      <c r="H1307" s="2">
        <v>2300</v>
      </c>
      <c r="I1307" s="2">
        <v>0</v>
      </c>
      <c r="J1307" s="2">
        <v>4600</v>
      </c>
      <c r="K1307" s="2" t="s">
        <v>144</v>
      </c>
      <c r="L1307" s="2" t="s">
        <v>375</v>
      </c>
      <c r="M1307" s="2" t="s">
        <v>21</v>
      </c>
    </row>
    <row r="1308" spans="1:13" x14ac:dyDescent="0.25">
      <c r="A1308" s="2" t="s">
        <v>2532</v>
      </c>
      <c r="B1308" s="2" t="s">
        <v>2533</v>
      </c>
      <c r="C1308" s="2" t="s">
        <v>472</v>
      </c>
      <c r="D1308" s="2" t="s">
        <v>16</v>
      </c>
      <c r="E1308" s="2" t="s">
        <v>43</v>
      </c>
      <c r="F1308" s="2" t="s">
        <v>248</v>
      </c>
      <c r="G1308" s="2">
        <v>3</v>
      </c>
      <c r="H1308" s="2">
        <v>-480</v>
      </c>
      <c r="I1308" s="2" t="s">
        <v>136</v>
      </c>
      <c r="J1308" s="2">
        <v>1440</v>
      </c>
      <c r="K1308" s="2" t="s">
        <v>102</v>
      </c>
      <c r="L1308" s="2" t="s">
        <v>883</v>
      </c>
      <c r="M1308" s="2"/>
    </row>
    <row r="1309" spans="1:13" x14ac:dyDescent="0.25">
      <c r="A1309" s="2" t="s">
        <v>2389</v>
      </c>
      <c r="B1309" s="2" t="s">
        <v>1075</v>
      </c>
      <c r="C1309" s="2" t="s">
        <v>194</v>
      </c>
      <c r="D1309" s="2" t="s">
        <v>51</v>
      </c>
      <c r="E1309" s="2" t="s">
        <v>34</v>
      </c>
      <c r="F1309" s="2" t="s">
        <v>164</v>
      </c>
      <c r="G1309" s="2">
        <v>6</v>
      </c>
      <c r="H1309" s="2">
        <v>3430</v>
      </c>
      <c r="I1309" s="2">
        <v>5</v>
      </c>
      <c r="J1309" s="2">
        <v>19551</v>
      </c>
      <c r="K1309" s="2" t="s">
        <v>157</v>
      </c>
      <c r="L1309" s="2" t="s">
        <v>344</v>
      </c>
      <c r="M1309" s="2"/>
    </row>
    <row r="1310" spans="1:13" x14ac:dyDescent="0.25">
      <c r="A1310" s="2" t="s">
        <v>2534</v>
      </c>
      <c r="B1310" s="2" t="s">
        <v>2535</v>
      </c>
      <c r="C1310" s="2" t="s">
        <v>598</v>
      </c>
      <c r="D1310" s="2" t="s">
        <v>42</v>
      </c>
      <c r="E1310" s="2" t="s">
        <v>148</v>
      </c>
      <c r="F1310" s="2" t="s">
        <v>83</v>
      </c>
      <c r="G1310" s="2">
        <v>5</v>
      </c>
      <c r="H1310" s="2">
        <v>26630</v>
      </c>
      <c r="I1310" s="2"/>
      <c r="J1310" s="2">
        <v>133150</v>
      </c>
      <c r="K1310" s="2" t="s">
        <v>87</v>
      </c>
      <c r="L1310" s="2" t="s">
        <v>73</v>
      </c>
      <c r="M1310" s="2" t="s">
        <v>38</v>
      </c>
    </row>
    <row r="1311" spans="1:13" x14ac:dyDescent="0.25">
      <c r="A1311" s="2" t="s">
        <v>2536</v>
      </c>
      <c r="B1311" s="2" t="s">
        <v>2537</v>
      </c>
      <c r="C1311" s="2" t="s">
        <v>156</v>
      </c>
      <c r="D1311" s="2" t="s">
        <v>51</v>
      </c>
      <c r="E1311" s="2" t="s">
        <v>195</v>
      </c>
      <c r="F1311" s="2" t="s">
        <v>35</v>
      </c>
      <c r="G1311" s="2">
        <v>10</v>
      </c>
      <c r="H1311" s="2">
        <v>3530</v>
      </c>
      <c r="I1311" s="2">
        <v>15</v>
      </c>
      <c r="J1311" s="2">
        <v>30005</v>
      </c>
      <c r="K1311" s="2" t="s">
        <v>45</v>
      </c>
      <c r="L1311" s="2" t="s">
        <v>95</v>
      </c>
      <c r="M1311" s="2" t="s">
        <v>38</v>
      </c>
    </row>
    <row r="1312" spans="1:13" x14ac:dyDescent="0.25">
      <c r="A1312" s="2" t="s">
        <v>2538</v>
      </c>
      <c r="B1312" s="2" t="s">
        <v>2539</v>
      </c>
      <c r="C1312" s="2" t="s">
        <v>135</v>
      </c>
      <c r="D1312" s="2" t="s">
        <v>58</v>
      </c>
      <c r="E1312" s="2" t="s">
        <v>125</v>
      </c>
      <c r="F1312" s="2" t="s">
        <v>219</v>
      </c>
      <c r="G1312" s="2">
        <v>2</v>
      </c>
      <c r="H1312" s="2"/>
      <c r="I1312" s="2">
        <v>15</v>
      </c>
      <c r="J1312" s="2">
        <v>100623</v>
      </c>
      <c r="K1312" s="2" t="s">
        <v>72</v>
      </c>
      <c r="L1312" s="2" t="s">
        <v>176</v>
      </c>
      <c r="M1312" s="2" t="s">
        <v>138</v>
      </c>
    </row>
    <row r="1313" spans="1:13" x14ac:dyDescent="0.25">
      <c r="A1313" s="2" t="s">
        <v>2540</v>
      </c>
      <c r="B1313" s="2" t="s">
        <v>307</v>
      </c>
      <c r="C1313" s="2" t="s">
        <v>32</v>
      </c>
      <c r="D1313" s="2" t="s">
        <v>33</v>
      </c>
      <c r="E1313" s="2" t="s">
        <v>107</v>
      </c>
      <c r="F1313" s="2" t="s">
        <v>101</v>
      </c>
      <c r="G1313" s="2">
        <v>2</v>
      </c>
      <c r="H1313" s="2">
        <v>510</v>
      </c>
      <c r="I1313" s="2">
        <v>0</v>
      </c>
      <c r="J1313" s="2">
        <v>1020</v>
      </c>
      <c r="K1313" s="2" t="s">
        <v>133</v>
      </c>
      <c r="L1313" s="2" t="s">
        <v>28</v>
      </c>
      <c r="M1313" s="2" t="s">
        <v>107</v>
      </c>
    </row>
    <row r="1314" spans="1:13" x14ac:dyDescent="0.25">
      <c r="A1314" s="2" t="s">
        <v>2541</v>
      </c>
      <c r="B1314" s="2" t="s">
        <v>1652</v>
      </c>
      <c r="C1314" s="2" t="s">
        <v>110</v>
      </c>
      <c r="D1314" s="2" t="s">
        <v>33</v>
      </c>
      <c r="E1314" s="2" t="s">
        <v>17</v>
      </c>
      <c r="F1314" s="2" t="s">
        <v>374</v>
      </c>
      <c r="G1314" s="2">
        <v>2</v>
      </c>
      <c r="H1314" s="2">
        <v>3240</v>
      </c>
      <c r="I1314" s="2">
        <v>15</v>
      </c>
      <c r="J1314" s="2">
        <v>5508</v>
      </c>
      <c r="K1314" s="2" t="s">
        <v>120</v>
      </c>
      <c r="L1314" s="2" t="s">
        <v>176</v>
      </c>
      <c r="M1314" s="2" t="s">
        <v>47</v>
      </c>
    </row>
    <row r="1315" spans="1:13" x14ac:dyDescent="0.25">
      <c r="A1315" s="2" t="s">
        <v>2542</v>
      </c>
      <c r="B1315" s="2" t="s">
        <v>1311</v>
      </c>
      <c r="C1315" s="2" t="s">
        <v>64</v>
      </c>
      <c r="D1315" s="2" t="s">
        <v>51</v>
      </c>
      <c r="E1315" s="2" t="s">
        <v>195</v>
      </c>
      <c r="F1315" s="2" t="s">
        <v>71</v>
      </c>
      <c r="G1315" s="2"/>
      <c r="H1315" s="2">
        <v>1110</v>
      </c>
      <c r="I1315" s="2">
        <v>5</v>
      </c>
      <c r="J1315" s="2">
        <v>3163.5</v>
      </c>
      <c r="K1315" s="2" t="s">
        <v>205</v>
      </c>
      <c r="L1315" s="2" t="s">
        <v>344</v>
      </c>
      <c r="M1315" s="2" t="s">
        <v>47</v>
      </c>
    </row>
    <row r="1316" spans="1:13" x14ac:dyDescent="0.25">
      <c r="A1316" s="2" t="s">
        <v>2543</v>
      </c>
      <c r="B1316" s="2" t="s">
        <v>2544</v>
      </c>
      <c r="C1316" s="2" t="s">
        <v>238</v>
      </c>
      <c r="D1316" s="2" t="s">
        <v>51</v>
      </c>
      <c r="E1316" s="2" t="s">
        <v>195</v>
      </c>
      <c r="F1316" s="2" t="s">
        <v>164</v>
      </c>
      <c r="G1316" s="2">
        <v>9</v>
      </c>
      <c r="H1316" s="2">
        <v>8220</v>
      </c>
      <c r="I1316" s="2">
        <v>15</v>
      </c>
      <c r="J1316" s="2">
        <v>62883</v>
      </c>
      <c r="K1316" s="2" t="s">
        <v>205</v>
      </c>
      <c r="L1316" s="2" t="s">
        <v>95</v>
      </c>
      <c r="M1316" s="2" t="s">
        <v>47</v>
      </c>
    </row>
    <row r="1317" spans="1:13" x14ac:dyDescent="0.25">
      <c r="A1317" s="2" t="s">
        <v>2545</v>
      </c>
      <c r="B1317" s="2" t="s">
        <v>2546</v>
      </c>
      <c r="C1317" s="2" t="s">
        <v>198</v>
      </c>
      <c r="D1317" s="2" t="s">
        <v>42</v>
      </c>
      <c r="E1317" s="2" t="s">
        <v>25</v>
      </c>
      <c r="F1317" s="2" t="s">
        <v>44</v>
      </c>
      <c r="G1317" s="2">
        <v>6</v>
      </c>
      <c r="H1317" s="2">
        <v>11730</v>
      </c>
      <c r="I1317" s="2">
        <v>15</v>
      </c>
      <c r="J1317" s="2">
        <v>59823</v>
      </c>
      <c r="K1317" s="2" t="s">
        <v>67</v>
      </c>
      <c r="L1317" s="2" t="s">
        <v>54</v>
      </c>
      <c r="M1317" s="2" t="s">
        <v>352</v>
      </c>
    </row>
    <row r="1318" spans="1:13" x14ac:dyDescent="0.25">
      <c r="A1318" s="2" t="s">
        <v>2547</v>
      </c>
      <c r="B1318" s="2" t="s">
        <v>2537</v>
      </c>
      <c r="C1318" s="2" t="s">
        <v>213</v>
      </c>
      <c r="D1318" s="2" t="s">
        <v>58</v>
      </c>
      <c r="E1318" s="2" t="s">
        <v>82</v>
      </c>
      <c r="F1318" s="2" t="s">
        <v>252</v>
      </c>
      <c r="G1318" s="2">
        <v>3</v>
      </c>
      <c r="H1318" s="2">
        <v>12220</v>
      </c>
      <c r="I1318" s="2">
        <v>5</v>
      </c>
      <c r="J1318" s="2">
        <v>34827</v>
      </c>
      <c r="K1318" s="2" t="s">
        <v>144</v>
      </c>
      <c r="L1318" s="2" t="s">
        <v>168</v>
      </c>
      <c r="M1318" s="2" t="s">
        <v>215</v>
      </c>
    </row>
    <row r="1319" spans="1:13" x14ac:dyDescent="0.25">
      <c r="A1319" s="2" t="s">
        <v>2548</v>
      </c>
      <c r="B1319" s="2" t="s">
        <v>2549</v>
      </c>
      <c r="C1319" s="2" t="s">
        <v>162</v>
      </c>
      <c r="D1319" s="2" t="s">
        <v>33</v>
      </c>
      <c r="E1319" s="2" t="s">
        <v>195</v>
      </c>
      <c r="F1319" s="2" t="s">
        <v>374</v>
      </c>
      <c r="G1319" s="2">
        <v>1</v>
      </c>
      <c r="H1319" s="2">
        <v>1200</v>
      </c>
      <c r="I1319" s="2">
        <v>0</v>
      </c>
      <c r="J1319" s="2">
        <v>1200</v>
      </c>
      <c r="K1319" s="2" t="s">
        <v>133</v>
      </c>
      <c r="L1319" s="2" t="s">
        <v>73</v>
      </c>
      <c r="M1319" s="2" t="s">
        <v>47</v>
      </c>
    </row>
    <row r="1320" spans="1:13" x14ac:dyDescent="0.25">
      <c r="A1320" s="2" t="s">
        <v>2550</v>
      </c>
      <c r="B1320" s="2" t="s">
        <v>2551</v>
      </c>
      <c r="C1320" s="2" t="s">
        <v>32</v>
      </c>
      <c r="D1320" s="2" t="s">
        <v>33</v>
      </c>
      <c r="E1320" s="2" t="s">
        <v>52</v>
      </c>
      <c r="F1320" s="2" t="s">
        <v>26</v>
      </c>
      <c r="G1320" s="2">
        <v>7</v>
      </c>
      <c r="H1320" s="2">
        <v>3410</v>
      </c>
      <c r="I1320" s="2">
        <v>0</v>
      </c>
      <c r="J1320" s="2">
        <v>23870</v>
      </c>
      <c r="K1320" s="2" t="s">
        <v>94</v>
      </c>
      <c r="L1320" s="2" t="s">
        <v>411</v>
      </c>
      <c r="M1320" s="2" t="s">
        <v>96</v>
      </c>
    </row>
    <row r="1321" spans="1:13" x14ac:dyDescent="0.25">
      <c r="A1321" s="2" t="s">
        <v>2552</v>
      </c>
      <c r="B1321" s="2" t="s">
        <v>2553</v>
      </c>
      <c r="C1321" s="2" t="s">
        <v>281</v>
      </c>
      <c r="D1321" s="2" t="s">
        <v>51</v>
      </c>
      <c r="E1321" s="2" t="s">
        <v>322</v>
      </c>
      <c r="F1321" s="2" t="s">
        <v>543</v>
      </c>
      <c r="G1321" s="2">
        <v>6</v>
      </c>
      <c r="H1321" s="2">
        <v>450</v>
      </c>
      <c r="I1321" s="2">
        <v>0</v>
      </c>
      <c r="J1321" s="2">
        <v>2700</v>
      </c>
      <c r="K1321" s="2" t="s">
        <v>102</v>
      </c>
      <c r="L1321" s="2" t="s">
        <v>440</v>
      </c>
      <c r="M1321" s="2" t="s">
        <v>38</v>
      </c>
    </row>
    <row r="1322" spans="1:13" x14ac:dyDescent="0.25">
      <c r="A1322" s="2" t="s">
        <v>2554</v>
      </c>
      <c r="B1322" s="2" t="s">
        <v>2551</v>
      </c>
      <c r="C1322" s="2" t="s">
        <v>64</v>
      </c>
      <c r="D1322" s="2" t="s">
        <v>51</v>
      </c>
      <c r="E1322" s="2" t="s">
        <v>65</v>
      </c>
      <c r="F1322" s="2" t="s">
        <v>132</v>
      </c>
      <c r="G1322" s="2">
        <v>2</v>
      </c>
      <c r="H1322" s="2" t="s">
        <v>136</v>
      </c>
      <c r="I1322" s="2">
        <v>0</v>
      </c>
      <c r="J1322" s="2">
        <v>23100</v>
      </c>
      <c r="K1322" s="2" t="s">
        <v>157</v>
      </c>
      <c r="L1322" s="2" t="s">
        <v>1027</v>
      </c>
      <c r="M1322" s="2" t="s">
        <v>201</v>
      </c>
    </row>
    <row r="1323" spans="1:13" x14ac:dyDescent="0.25">
      <c r="A1323" s="2" t="s">
        <v>2555</v>
      </c>
      <c r="B1323" s="2" t="s">
        <v>1441</v>
      </c>
      <c r="C1323" s="2" t="s">
        <v>91</v>
      </c>
      <c r="D1323" s="2" t="s">
        <v>51</v>
      </c>
      <c r="E1323" s="2" t="s">
        <v>111</v>
      </c>
      <c r="F1323" s="2" t="s">
        <v>232</v>
      </c>
      <c r="G1323" s="2">
        <v>12</v>
      </c>
      <c r="H1323" s="2">
        <v>8790</v>
      </c>
      <c r="I1323" s="2">
        <v>0</v>
      </c>
      <c r="J1323" s="2">
        <v>105480</v>
      </c>
      <c r="K1323" s="2" t="s">
        <v>36</v>
      </c>
      <c r="L1323" s="2" t="s">
        <v>1007</v>
      </c>
      <c r="M1323" s="2"/>
    </row>
    <row r="1324" spans="1:13" x14ac:dyDescent="0.25">
      <c r="A1324" s="2" t="s">
        <v>2556</v>
      </c>
      <c r="B1324" s="2" t="s">
        <v>930</v>
      </c>
      <c r="C1324" s="2" t="s">
        <v>135</v>
      </c>
      <c r="D1324" s="2" t="s">
        <v>58</v>
      </c>
      <c r="E1324" s="2" t="s">
        <v>125</v>
      </c>
      <c r="F1324" s="2" t="s">
        <v>219</v>
      </c>
      <c r="G1324" s="2">
        <v>4</v>
      </c>
      <c r="H1324" s="2">
        <v>12220</v>
      </c>
      <c r="I1324" s="2">
        <v>0</v>
      </c>
      <c r="J1324" s="2">
        <v>48880</v>
      </c>
      <c r="K1324" s="2" t="s">
        <v>127</v>
      </c>
      <c r="L1324" s="2" t="s">
        <v>20</v>
      </c>
      <c r="M1324" s="2" t="s">
        <v>21</v>
      </c>
    </row>
    <row r="1325" spans="1:13" x14ac:dyDescent="0.25">
      <c r="A1325" s="2" t="s">
        <v>2557</v>
      </c>
      <c r="B1325" s="2" t="s">
        <v>31</v>
      </c>
      <c r="C1325" s="2" t="s">
        <v>238</v>
      </c>
      <c r="D1325" s="2" t="s">
        <v>51</v>
      </c>
      <c r="E1325" s="2" t="s">
        <v>322</v>
      </c>
      <c r="F1325" s="2" t="s">
        <v>543</v>
      </c>
      <c r="G1325" s="2">
        <v>11</v>
      </c>
      <c r="H1325" s="2">
        <v>3820</v>
      </c>
      <c r="I1325" s="2">
        <v>0</v>
      </c>
      <c r="J1325" s="2" t="s">
        <v>136</v>
      </c>
      <c r="K1325" s="2" t="s">
        <v>45</v>
      </c>
      <c r="L1325" s="2" t="s">
        <v>121</v>
      </c>
      <c r="M1325" s="2" t="s">
        <v>47</v>
      </c>
    </row>
    <row r="1326" spans="1:13" x14ac:dyDescent="0.25">
      <c r="A1326" s="2" t="s">
        <v>2558</v>
      </c>
      <c r="B1326" s="2" t="s">
        <v>2559</v>
      </c>
      <c r="C1326" s="2" t="s">
        <v>32</v>
      </c>
      <c r="D1326" s="2" t="s">
        <v>33</v>
      </c>
      <c r="E1326" s="2" t="s">
        <v>34</v>
      </c>
      <c r="F1326" s="2" t="s">
        <v>171</v>
      </c>
      <c r="G1326" s="2">
        <v>9</v>
      </c>
      <c r="H1326" s="2">
        <v>8310</v>
      </c>
      <c r="I1326" s="2">
        <v>0</v>
      </c>
      <c r="J1326" s="2" t="s">
        <v>136</v>
      </c>
      <c r="K1326" s="2" t="s">
        <v>133</v>
      </c>
      <c r="L1326" s="2" t="s">
        <v>176</v>
      </c>
      <c r="M1326" s="2" t="s">
        <v>189</v>
      </c>
    </row>
    <row r="1327" spans="1:13" x14ac:dyDescent="0.25">
      <c r="A1327" s="2" t="s">
        <v>2560</v>
      </c>
      <c r="B1327" s="2" t="s">
        <v>471</v>
      </c>
      <c r="C1327" s="2" t="s">
        <v>1070</v>
      </c>
      <c r="D1327" s="2" t="s">
        <v>42</v>
      </c>
      <c r="E1327" s="2" t="s">
        <v>82</v>
      </c>
      <c r="F1327" s="2" t="s">
        <v>435</v>
      </c>
      <c r="G1327" s="2">
        <v>5</v>
      </c>
      <c r="H1327" s="2">
        <v>13070</v>
      </c>
      <c r="I1327" s="2">
        <v>0</v>
      </c>
      <c r="J1327" s="2">
        <v>65350</v>
      </c>
      <c r="K1327" s="2" t="s">
        <v>144</v>
      </c>
      <c r="L1327" s="2" t="s">
        <v>2426</v>
      </c>
      <c r="M1327" s="2" t="s">
        <v>47</v>
      </c>
    </row>
    <row r="1328" spans="1:13" x14ac:dyDescent="0.25">
      <c r="A1328" s="2" t="s">
        <v>2561</v>
      </c>
      <c r="B1328" s="2" t="s">
        <v>437</v>
      </c>
      <c r="C1328" s="2" t="s">
        <v>41</v>
      </c>
      <c r="D1328" s="2" t="s">
        <v>42</v>
      </c>
      <c r="E1328" s="2" t="s">
        <v>59</v>
      </c>
      <c r="F1328" s="2" t="s">
        <v>435</v>
      </c>
      <c r="G1328" s="2">
        <v>5</v>
      </c>
      <c r="H1328" s="2">
        <v>23310</v>
      </c>
      <c r="I1328" s="2">
        <v>15</v>
      </c>
      <c r="J1328" s="2">
        <v>99067.5</v>
      </c>
      <c r="K1328" s="2" t="s">
        <v>102</v>
      </c>
      <c r="L1328" s="2" t="s">
        <v>271</v>
      </c>
      <c r="M1328" s="2" t="s">
        <v>29</v>
      </c>
    </row>
    <row r="1329" spans="1:13" x14ac:dyDescent="0.25">
      <c r="A1329" s="2" t="s">
        <v>2562</v>
      </c>
      <c r="B1329" s="2" t="s">
        <v>2563</v>
      </c>
      <c r="C1329" s="2" t="s">
        <v>57</v>
      </c>
      <c r="D1329" s="2" t="s">
        <v>58</v>
      </c>
      <c r="E1329" s="2" t="s">
        <v>77</v>
      </c>
      <c r="F1329" s="2" t="s">
        <v>232</v>
      </c>
      <c r="G1329" s="2">
        <v>9</v>
      </c>
      <c r="H1329" s="2">
        <v>68840</v>
      </c>
      <c r="I1329" s="2">
        <v>0</v>
      </c>
      <c r="J1329" s="2">
        <v>619560</v>
      </c>
      <c r="K1329" s="2" t="s">
        <v>172</v>
      </c>
      <c r="L1329" s="2" t="s">
        <v>176</v>
      </c>
      <c r="M1329" s="2" t="s">
        <v>21</v>
      </c>
    </row>
    <row r="1330" spans="1:13" x14ac:dyDescent="0.25">
      <c r="A1330" s="2" t="s">
        <v>2564</v>
      </c>
      <c r="B1330" s="2" t="s">
        <v>2539</v>
      </c>
      <c r="C1330" s="2" t="s">
        <v>76</v>
      </c>
      <c r="D1330" s="2" t="s">
        <v>33</v>
      </c>
      <c r="E1330" s="2" t="s">
        <v>137</v>
      </c>
      <c r="F1330" s="2" t="s">
        <v>199</v>
      </c>
      <c r="G1330" s="2">
        <v>4</v>
      </c>
      <c r="H1330" s="2">
        <v>7090</v>
      </c>
      <c r="I1330" s="2">
        <v>0</v>
      </c>
      <c r="J1330" s="2">
        <v>28360</v>
      </c>
      <c r="K1330" s="2" t="s">
        <v>144</v>
      </c>
      <c r="L1330" s="2" t="s">
        <v>1504</v>
      </c>
      <c r="M1330" s="2" t="s">
        <v>47</v>
      </c>
    </row>
    <row r="1331" spans="1:13" x14ac:dyDescent="0.25">
      <c r="A1331" s="2" t="s">
        <v>2565</v>
      </c>
      <c r="B1331" s="2" t="s">
        <v>2383</v>
      </c>
      <c r="C1331" s="2" t="s">
        <v>135</v>
      </c>
      <c r="D1331" s="2" t="s">
        <v>58</v>
      </c>
      <c r="E1331" s="2" t="s">
        <v>17</v>
      </c>
      <c r="F1331" s="2" t="s">
        <v>290</v>
      </c>
      <c r="G1331" s="2">
        <v>4</v>
      </c>
      <c r="H1331" s="2">
        <v>470</v>
      </c>
      <c r="I1331" s="2">
        <v>0</v>
      </c>
      <c r="J1331" s="2">
        <v>1880</v>
      </c>
      <c r="K1331" s="2" t="s">
        <v>27</v>
      </c>
      <c r="L1331" s="2" t="s">
        <v>776</v>
      </c>
      <c r="M1331" s="2" t="s">
        <v>29</v>
      </c>
    </row>
    <row r="1332" spans="1:13" x14ac:dyDescent="0.25">
      <c r="A1332" s="2" t="s">
        <v>2566</v>
      </c>
      <c r="B1332" s="2" t="s">
        <v>1857</v>
      </c>
      <c r="C1332" s="2" t="s">
        <v>135</v>
      </c>
      <c r="D1332" s="2" t="s">
        <v>58</v>
      </c>
      <c r="E1332" s="2" t="s">
        <v>77</v>
      </c>
      <c r="F1332" s="2" t="s">
        <v>232</v>
      </c>
      <c r="G1332" s="2">
        <v>9</v>
      </c>
      <c r="H1332" s="2">
        <v>5100</v>
      </c>
      <c r="I1332" s="2">
        <v>5</v>
      </c>
      <c r="J1332" s="2">
        <v>43605</v>
      </c>
      <c r="K1332" s="2" t="s">
        <v>94</v>
      </c>
      <c r="L1332" s="2" t="s">
        <v>54</v>
      </c>
      <c r="M1332" s="2" t="s">
        <v>21</v>
      </c>
    </row>
    <row r="1333" spans="1:13" x14ac:dyDescent="0.25">
      <c r="A1333" s="2" t="s">
        <v>2567</v>
      </c>
      <c r="B1333" s="2" t="s">
        <v>1280</v>
      </c>
      <c r="C1333" s="2" t="s">
        <v>204</v>
      </c>
      <c r="D1333" s="2" t="s">
        <v>33</v>
      </c>
      <c r="E1333" s="2" t="s">
        <v>52</v>
      </c>
      <c r="F1333" s="2" t="s">
        <v>106</v>
      </c>
      <c r="G1333" s="2">
        <v>2</v>
      </c>
      <c r="H1333" s="2">
        <v>46610</v>
      </c>
      <c r="I1333" s="2">
        <v>0</v>
      </c>
      <c r="J1333" s="2">
        <v>93220</v>
      </c>
      <c r="K1333" s="2" t="s">
        <v>67</v>
      </c>
      <c r="L1333" s="2" t="s">
        <v>68</v>
      </c>
      <c r="M1333" s="2" t="s">
        <v>29</v>
      </c>
    </row>
    <row r="1334" spans="1:13" x14ac:dyDescent="0.25">
      <c r="A1334" s="2" t="s">
        <v>2568</v>
      </c>
      <c r="B1334" s="2" t="s">
        <v>2569</v>
      </c>
      <c r="C1334" s="2" t="s">
        <v>76</v>
      </c>
      <c r="D1334" s="2" t="s">
        <v>33</v>
      </c>
      <c r="E1334" s="2" t="s">
        <v>125</v>
      </c>
      <c r="F1334" s="2" t="s">
        <v>132</v>
      </c>
      <c r="G1334" s="2">
        <v>11</v>
      </c>
      <c r="H1334" s="2">
        <v>47820</v>
      </c>
      <c r="I1334" s="2">
        <v>0</v>
      </c>
      <c r="J1334" s="2">
        <v>526020</v>
      </c>
      <c r="K1334" s="2" t="s">
        <v>36</v>
      </c>
      <c r="L1334" s="2" t="s">
        <v>61</v>
      </c>
      <c r="M1334" s="2" t="s">
        <v>96</v>
      </c>
    </row>
    <row r="1335" spans="1:13" x14ac:dyDescent="0.25">
      <c r="A1335" s="2" t="s">
        <v>2570</v>
      </c>
      <c r="B1335" s="2" t="s">
        <v>1067</v>
      </c>
      <c r="C1335" s="2" t="s">
        <v>598</v>
      </c>
      <c r="D1335" s="2" t="s">
        <v>42</v>
      </c>
      <c r="E1335" s="2" t="s">
        <v>322</v>
      </c>
      <c r="F1335" s="2" t="s">
        <v>224</v>
      </c>
      <c r="G1335" s="2">
        <v>5</v>
      </c>
      <c r="H1335" s="2">
        <v>6780</v>
      </c>
      <c r="I1335" s="2">
        <v>0</v>
      </c>
      <c r="J1335" s="2" t="s">
        <v>223</v>
      </c>
      <c r="K1335" s="2" t="s">
        <v>139</v>
      </c>
      <c r="L1335" s="2" t="s">
        <v>46</v>
      </c>
      <c r="M1335" s="2" t="s">
        <v>47</v>
      </c>
    </row>
    <row r="1336" spans="1:13" x14ac:dyDescent="0.25">
      <c r="A1336" s="2" t="s">
        <v>2571</v>
      </c>
      <c r="B1336" s="2" t="s">
        <v>2572</v>
      </c>
      <c r="C1336" s="2" t="s">
        <v>15</v>
      </c>
      <c r="D1336" s="2" t="s">
        <v>16</v>
      </c>
      <c r="E1336" s="2" t="s">
        <v>125</v>
      </c>
      <c r="F1336" s="2" t="s">
        <v>314</v>
      </c>
      <c r="G1336" s="2">
        <v>5</v>
      </c>
      <c r="H1336" s="2">
        <v>1190</v>
      </c>
      <c r="I1336" s="2">
        <v>0</v>
      </c>
      <c r="J1336" s="2">
        <v>5950</v>
      </c>
      <c r="K1336" s="2" t="s">
        <v>172</v>
      </c>
      <c r="L1336" s="2" t="s">
        <v>796</v>
      </c>
      <c r="M1336" s="2"/>
    </row>
    <row r="1337" spans="1:13" x14ac:dyDescent="0.25">
      <c r="A1337" s="2" t="s">
        <v>2573</v>
      </c>
      <c r="B1337" s="2" t="s">
        <v>2574</v>
      </c>
      <c r="C1337" s="2" t="s">
        <v>602</v>
      </c>
      <c r="D1337" s="2" t="s">
        <v>16</v>
      </c>
      <c r="E1337" s="2" t="s">
        <v>111</v>
      </c>
      <c r="F1337" s="2" t="s">
        <v>543</v>
      </c>
      <c r="G1337" s="2">
        <v>4</v>
      </c>
      <c r="H1337" s="2">
        <v>4740</v>
      </c>
      <c r="I1337" s="2">
        <v>0</v>
      </c>
      <c r="J1337" s="2">
        <v>18960</v>
      </c>
      <c r="K1337" s="2" t="s">
        <v>36</v>
      </c>
      <c r="L1337" s="2" t="s">
        <v>1526</v>
      </c>
      <c r="M1337" s="2" t="s">
        <v>107</v>
      </c>
    </row>
    <row r="1338" spans="1:13" x14ac:dyDescent="0.25">
      <c r="A1338" s="2" t="s">
        <v>2575</v>
      </c>
      <c r="B1338" s="2" t="s">
        <v>2576</v>
      </c>
      <c r="C1338" s="2" t="s">
        <v>110</v>
      </c>
      <c r="D1338" s="2" t="s">
        <v>33</v>
      </c>
      <c r="E1338" s="2" t="s">
        <v>52</v>
      </c>
      <c r="F1338" s="2" t="s">
        <v>332</v>
      </c>
      <c r="G1338" s="2">
        <v>1</v>
      </c>
      <c r="H1338" s="2">
        <v>1350</v>
      </c>
      <c r="I1338" s="2">
        <v>15</v>
      </c>
      <c r="J1338" s="2">
        <v>1147.5</v>
      </c>
      <c r="K1338" s="2" t="s">
        <v>120</v>
      </c>
      <c r="L1338" s="2" t="s">
        <v>46</v>
      </c>
      <c r="M1338" s="2" t="s">
        <v>38</v>
      </c>
    </row>
    <row r="1339" spans="1:13" x14ac:dyDescent="0.25">
      <c r="A1339" s="2" t="s">
        <v>2577</v>
      </c>
      <c r="B1339" s="2" t="s">
        <v>2057</v>
      </c>
      <c r="C1339" s="2" t="s">
        <v>238</v>
      </c>
      <c r="D1339" s="2" t="s">
        <v>51</v>
      </c>
      <c r="E1339" s="2" t="s">
        <v>43</v>
      </c>
      <c r="F1339" s="2" t="s">
        <v>26</v>
      </c>
      <c r="G1339" s="2">
        <v>2</v>
      </c>
      <c r="H1339" s="2">
        <v>8620</v>
      </c>
      <c r="I1339" s="2">
        <v>15</v>
      </c>
      <c r="J1339" s="2">
        <v>14654</v>
      </c>
      <c r="K1339" s="2" t="s">
        <v>172</v>
      </c>
      <c r="L1339" s="2" t="s">
        <v>37</v>
      </c>
      <c r="M1339" s="2" t="s">
        <v>29</v>
      </c>
    </row>
    <row r="1340" spans="1:13" x14ac:dyDescent="0.25">
      <c r="A1340" s="2" t="s">
        <v>2578</v>
      </c>
      <c r="B1340" s="2" t="s">
        <v>394</v>
      </c>
      <c r="C1340" s="2" t="s">
        <v>156</v>
      </c>
      <c r="D1340" s="2"/>
      <c r="E1340" s="2" t="s">
        <v>111</v>
      </c>
      <c r="F1340" s="2" t="s">
        <v>143</v>
      </c>
      <c r="G1340" s="2" t="s">
        <v>136</v>
      </c>
      <c r="H1340" s="2">
        <v>3590</v>
      </c>
      <c r="I1340" s="2">
        <v>0</v>
      </c>
      <c r="J1340" s="2">
        <v>35900</v>
      </c>
      <c r="K1340" s="2" t="s">
        <v>45</v>
      </c>
      <c r="L1340" s="2" t="s">
        <v>491</v>
      </c>
      <c r="M1340" s="2" t="s">
        <v>21</v>
      </c>
    </row>
    <row r="1341" spans="1:13" x14ac:dyDescent="0.25">
      <c r="A1341" s="2" t="s">
        <v>2579</v>
      </c>
      <c r="B1341" s="2" t="s">
        <v>2580</v>
      </c>
      <c r="C1341" s="2" t="s">
        <v>41</v>
      </c>
      <c r="D1341" s="2" t="s">
        <v>42</v>
      </c>
      <c r="E1341" s="2" t="s">
        <v>295</v>
      </c>
      <c r="F1341" s="2" t="s">
        <v>101</v>
      </c>
      <c r="G1341" s="2">
        <v>12</v>
      </c>
      <c r="H1341" s="2">
        <v>480</v>
      </c>
      <c r="I1341" s="2">
        <v>0</v>
      </c>
      <c r="J1341" s="2">
        <v>5760</v>
      </c>
      <c r="K1341" s="2" t="s">
        <v>36</v>
      </c>
      <c r="L1341" s="2" t="s">
        <v>411</v>
      </c>
      <c r="M1341" s="2" t="s">
        <v>140</v>
      </c>
    </row>
    <row r="1342" spans="1:13" x14ac:dyDescent="0.25">
      <c r="A1342" s="2" t="s">
        <v>2581</v>
      </c>
      <c r="B1342" s="2" t="s">
        <v>397</v>
      </c>
      <c r="C1342" s="2" t="s">
        <v>227</v>
      </c>
      <c r="D1342" s="2" t="s">
        <v>33</v>
      </c>
      <c r="E1342" s="2" t="s">
        <v>137</v>
      </c>
      <c r="F1342" s="2" t="s">
        <v>290</v>
      </c>
      <c r="G1342" s="2">
        <v>9</v>
      </c>
      <c r="H1342" s="2">
        <v>18680</v>
      </c>
      <c r="I1342" s="2">
        <v>15</v>
      </c>
      <c r="J1342" s="2">
        <v>142902</v>
      </c>
      <c r="K1342" s="2" t="s">
        <v>152</v>
      </c>
      <c r="L1342" s="2" t="s">
        <v>46</v>
      </c>
      <c r="M1342" s="2" t="s">
        <v>140</v>
      </c>
    </row>
    <row r="1343" spans="1:13" x14ac:dyDescent="0.25">
      <c r="A1343" s="2" t="s">
        <v>2582</v>
      </c>
      <c r="B1343" s="2" t="s">
        <v>1174</v>
      </c>
      <c r="C1343" s="2" t="s">
        <v>91</v>
      </c>
      <c r="D1343" s="2" t="s">
        <v>51</v>
      </c>
      <c r="E1343" s="2" t="s">
        <v>105</v>
      </c>
      <c r="F1343" s="2" t="s">
        <v>44</v>
      </c>
      <c r="G1343" s="2">
        <v>5</v>
      </c>
      <c r="H1343" s="2">
        <v>59640</v>
      </c>
      <c r="I1343" s="2">
        <v>0</v>
      </c>
      <c r="J1343" s="2">
        <v>298200</v>
      </c>
      <c r="K1343" s="2" t="s">
        <v>144</v>
      </c>
      <c r="L1343" s="2" t="s">
        <v>440</v>
      </c>
      <c r="M1343" s="2" t="s">
        <v>21</v>
      </c>
    </row>
    <row r="1344" spans="1:13" x14ac:dyDescent="0.25">
      <c r="A1344" s="2" t="s">
        <v>2583</v>
      </c>
      <c r="B1344" s="2" t="s">
        <v>1571</v>
      </c>
      <c r="C1344" s="2" t="s">
        <v>135</v>
      </c>
      <c r="D1344" s="2" t="s">
        <v>58</v>
      </c>
      <c r="E1344" s="2" t="s">
        <v>179</v>
      </c>
      <c r="F1344" s="2" t="s">
        <v>543</v>
      </c>
      <c r="G1344" s="2">
        <v>10</v>
      </c>
      <c r="H1344" s="2">
        <v>71900</v>
      </c>
      <c r="I1344" s="2">
        <v>0</v>
      </c>
      <c r="J1344" s="2">
        <v>719000</v>
      </c>
      <c r="K1344" s="2" t="s">
        <v>19</v>
      </c>
      <c r="L1344" s="2" t="s">
        <v>406</v>
      </c>
      <c r="M1344" s="2" t="s">
        <v>21</v>
      </c>
    </row>
    <row r="1345" spans="1:13" x14ac:dyDescent="0.25">
      <c r="A1345" s="2" t="s">
        <v>2584</v>
      </c>
      <c r="B1345" s="2" t="s">
        <v>2585</v>
      </c>
      <c r="C1345" s="2" t="s">
        <v>41</v>
      </c>
      <c r="D1345" s="2" t="s">
        <v>42</v>
      </c>
      <c r="E1345" s="2" t="s">
        <v>25</v>
      </c>
      <c r="F1345" s="2" t="s">
        <v>255</v>
      </c>
      <c r="G1345" s="2">
        <v>10</v>
      </c>
      <c r="H1345" s="2">
        <v>5700</v>
      </c>
      <c r="I1345" s="2">
        <v>0</v>
      </c>
      <c r="J1345" s="2">
        <v>57000</v>
      </c>
      <c r="K1345" s="2" t="s">
        <v>94</v>
      </c>
      <c r="L1345" s="2" t="s">
        <v>611</v>
      </c>
      <c r="M1345" s="2" t="s">
        <v>29</v>
      </c>
    </row>
    <row r="1346" spans="1:13" x14ac:dyDescent="0.25">
      <c r="A1346" s="2" t="s">
        <v>2586</v>
      </c>
      <c r="B1346" s="2" t="s">
        <v>2587</v>
      </c>
      <c r="C1346" s="2" t="s">
        <v>135</v>
      </c>
      <c r="D1346" s="2" t="s">
        <v>58</v>
      </c>
      <c r="E1346" s="2" t="s">
        <v>138</v>
      </c>
      <c r="F1346" s="2" t="s">
        <v>314</v>
      </c>
      <c r="G1346" s="2">
        <v>10</v>
      </c>
      <c r="H1346" s="2">
        <v>12320</v>
      </c>
      <c r="I1346" s="2">
        <v>0</v>
      </c>
      <c r="J1346" s="2">
        <v>123200</v>
      </c>
      <c r="K1346" s="2" t="s">
        <v>127</v>
      </c>
      <c r="L1346" s="2" t="s">
        <v>1007</v>
      </c>
      <c r="M1346" s="2" t="s">
        <v>140</v>
      </c>
    </row>
    <row r="1347" spans="1:13" x14ac:dyDescent="0.25">
      <c r="A1347" s="2" t="s">
        <v>2588</v>
      </c>
      <c r="B1347" s="2" t="s">
        <v>1623</v>
      </c>
      <c r="C1347" s="2" t="s">
        <v>135</v>
      </c>
      <c r="D1347" s="2" t="s">
        <v>58</v>
      </c>
      <c r="E1347" s="2" t="s">
        <v>100</v>
      </c>
      <c r="F1347" s="2" t="s">
        <v>219</v>
      </c>
      <c r="G1347" s="2">
        <v>10</v>
      </c>
      <c r="H1347" s="2">
        <v>450</v>
      </c>
      <c r="I1347" s="2">
        <v>0</v>
      </c>
      <c r="J1347" s="2">
        <v>4500</v>
      </c>
      <c r="K1347" s="2" t="s">
        <v>144</v>
      </c>
      <c r="L1347" s="2" t="s">
        <v>341</v>
      </c>
      <c r="M1347" s="2" t="s">
        <v>189</v>
      </c>
    </row>
    <row r="1348" spans="1:13" x14ac:dyDescent="0.25">
      <c r="A1348" s="2" t="s">
        <v>2589</v>
      </c>
      <c r="B1348" s="2" t="s">
        <v>2590</v>
      </c>
      <c r="C1348" s="2" t="s">
        <v>41</v>
      </c>
      <c r="D1348" s="2" t="s">
        <v>42</v>
      </c>
      <c r="E1348" s="2" t="s">
        <v>82</v>
      </c>
      <c r="F1348" s="2" t="s">
        <v>149</v>
      </c>
      <c r="G1348" s="2">
        <v>8</v>
      </c>
      <c r="H1348" s="2">
        <v>8150</v>
      </c>
      <c r="I1348" s="2">
        <v>5</v>
      </c>
      <c r="J1348" s="2">
        <v>61940</v>
      </c>
      <c r="K1348" s="2" t="s">
        <v>144</v>
      </c>
      <c r="L1348" s="2" t="s">
        <v>406</v>
      </c>
      <c r="M1348" s="2" t="s">
        <v>47</v>
      </c>
    </row>
    <row r="1349" spans="1:13" x14ac:dyDescent="0.25">
      <c r="A1349" s="2" t="s">
        <v>2591</v>
      </c>
      <c r="B1349" s="2" t="s">
        <v>1135</v>
      </c>
      <c r="C1349" s="2" t="s">
        <v>76</v>
      </c>
      <c r="D1349" s="2" t="s">
        <v>33</v>
      </c>
      <c r="E1349" s="2" t="s">
        <v>107</v>
      </c>
      <c r="F1349" s="2" t="s">
        <v>167</v>
      </c>
      <c r="G1349" s="2"/>
      <c r="H1349" s="2">
        <v>2860</v>
      </c>
      <c r="I1349" s="2">
        <v>5</v>
      </c>
      <c r="J1349" s="2">
        <v>24453</v>
      </c>
      <c r="K1349" s="2" t="s">
        <v>36</v>
      </c>
      <c r="L1349" s="2" t="s">
        <v>428</v>
      </c>
      <c r="M1349" s="2" t="s">
        <v>29</v>
      </c>
    </row>
    <row r="1350" spans="1:13" x14ac:dyDescent="0.25">
      <c r="A1350" s="2" t="s">
        <v>2592</v>
      </c>
      <c r="B1350" s="2" t="s">
        <v>1174</v>
      </c>
      <c r="C1350" s="2" t="s">
        <v>579</v>
      </c>
      <c r="D1350" s="2" t="s">
        <v>58</v>
      </c>
      <c r="E1350" s="2" t="s">
        <v>504</v>
      </c>
      <c r="F1350" s="2" t="s">
        <v>149</v>
      </c>
      <c r="G1350" s="2">
        <v>9</v>
      </c>
      <c r="H1350" s="2">
        <v>490</v>
      </c>
      <c r="I1350" s="2">
        <v>0</v>
      </c>
      <c r="J1350" s="2">
        <v>4410</v>
      </c>
      <c r="K1350" s="2" t="s">
        <v>36</v>
      </c>
      <c r="L1350" s="2" t="s">
        <v>271</v>
      </c>
      <c r="M1350" s="2" t="s">
        <v>47</v>
      </c>
    </row>
    <row r="1351" spans="1:13" x14ac:dyDescent="0.25">
      <c r="A1351" s="2" t="s">
        <v>1692</v>
      </c>
      <c r="B1351" s="2" t="s">
        <v>104</v>
      </c>
      <c r="C1351" s="2" t="s">
        <v>57</v>
      </c>
      <c r="D1351" s="2"/>
      <c r="E1351" s="2" t="s">
        <v>148</v>
      </c>
      <c r="F1351" s="2" t="s">
        <v>167</v>
      </c>
      <c r="G1351" s="2">
        <v>4</v>
      </c>
      <c r="H1351" s="2">
        <v>3300</v>
      </c>
      <c r="I1351" s="2">
        <v>5</v>
      </c>
      <c r="J1351" s="2">
        <v>12540</v>
      </c>
      <c r="K1351" s="2" t="s">
        <v>53</v>
      </c>
      <c r="L1351" s="2" t="s">
        <v>1007</v>
      </c>
      <c r="M1351" s="2" t="s">
        <v>47</v>
      </c>
    </row>
    <row r="1352" spans="1:13" x14ac:dyDescent="0.25">
      <c r="A1352" s="2" t="s">
        <v>2593</v>
      </c>
      <c r="B1352" s="2" t="s">
        <v>2594</v>
      </c>
      <c r="C1352" s="2" t="s">
        <v>32</v>
      </c>
      <c r="D1352" s="2" t="s">
        <v>33</v>
      </c>
      <c r="E1352" s="2" t="s">
        <v>34</v>
      </c>
      <c r="F1352" s="2" t="s">
        <v>290</v>
      </c>
      <c r="G1352" s="2">
        <v>5</v>
      </c>
      <c r="H1352" s="2">
        <v>49430</v>
      </c>
      <c r="I1352" s="2" t="s">
        <v>136</v>
      </c>
      <c r="J1352" s="2">
        <v>210077.5</v>
      </c>
      <c r="K1352" s="2" t="s">
        <v>102</v>
      </c>
      <c r="L1352" s="2" t="s">
        <v>387</v>
      </c>
      <c r="M1352" s="2" t="s">
        <v>38</v>
      </c>
    </row>
    <row r="1353" spans="1:13" x14ac:dyDescent="0.25">
      <c r="A1353" s="2" t="s">
        <v>2595</v>
      </c>
      <c r="B1353" s="2" t="s">
        <v>2596</v>
      </c>
      <c r="C1353" s="2" t="s">
        <v>57</v>
      </c>
      <c r="D1353" s="2" t="s">
        <v>58</v>
      </c>
      <c r="E1353" s="2" t="s">
        <v>284</v>
      </c>
      <c r="F1353" s="2" t="s">
        <v>149</v>
      </c>
      <c r="G1353" s="2">
        <v>5</v>
      </c>
      <c r="H1353" s="2">
        <v>490</v>
      </c>
      <c r="I1353" s="2">
        <v>15</v>
      </c>
      <c r="J1353" s="2">
        <v>2082.5</v>
      </c>
      <c r="K1353" s="2" t="s">
        <v>102</v>
      </c>
      <c r="L1353" s="2" t="s">
        <v>1027</v>
      </c>
      <c r="M1353" s="2" t="s">
        <v>29</v>
      </c>
    </row>
    <row r="1354" spans="1:13" x14ac:dyDescent="0.25">
      <c r="A1354" s="2" t="s">
        <v>2597</v>
      </c>
      <c r="B1354" s="2" t="s">
        <v>276</v>
      </c>
      <c r="C1354" s="2" t="s">
        <v>294</v>
      </c>
      <c r="D1354" s="2" t="s">
        <v>42</v>
      </c>
      <c r="E1354" s="2" t="s">
        <v>148</v>
      </c>
      <c r="F1354" s="2" t="s">
        <v>209</v>
      </c>
      <c r="G1354" s="2">
        <v>6</v>
      </c>
      <c r="H1354" s="2">
        <v>46090</v>
      </c>
      <c r="I1354" s="2">
        <v>0</v>
      </c>
      <c r="J1354" s="2">
        <v>276540</v>
      </c>
      <c r="K1354" s="2" t="s">
        <v>172</v>
      </c>
      <c r="L1354" s="2" t="s">
        <v>1114</v>
      </c>
      <c r="M1354" s="2" t="s">
        <v>140</v>
      </c>
    </row>
    <row r="1355" spans="1:13" x14ac:dyDescent="0.25">
      <c r="A1355" s="2" t="s">
        <v>2598</v>
      </c>
      <c r="B1355" s="2" t="s">
        <v>1400</v>
      </c>
      <c r="C1355" s="2" t="s">
        <v>76</v>
      </c>
      <c r="D1355" s="2" t="s">
        <v>33</v>
      </c>
      <c r="E1355" s="2" t="s">
        <v>295</v>
      </c>
      <c r="F1355" s="2" t="s">
        <v>296</v>
      </c>
      <c r="G1355" s="2">
        <v>6</v>
      </c>
      <c r="H1355" s="2">
        <v>1310</v>
      </c>
      <c r="I1355" s="2">
        <v>15</v>
      </c>
      <c r="J1355" s="2">
        <v>6681</v>
      </c>
      <c r="K1355" s="2" t="s">
        <v>87</v>
      </c>
      <c r="L1355" s="2" t="s">
        <v>387</v>
      </c>
      <c r="M1355" s="2" t="s">
        <v>140</v>
      </c>
    </row>
    <row r="1356" spans="1:13" x14ac:dyDescent="0.25">
      <c r="A1356" s="2" t="s">
        <v>2599</v>
      </c>
      <c r="B1356" s="2" t="s">
        <v>503</v>
      </c>
      <c r="C1356" s="2" t="s">
        <v>1070</v>
      </c>
      <c r="D1356" s="2" t="s">
        <v>42</v>
      </c>
      <c r="E1356" s="2" t="s">
        <v>195</v>
      </c>
      <c r="F1356" s="2" t="s">
        <v>18</v>
      </c>
      <c r="G1356" s="2">
        <v>2</v>
      </c>
      <c r="H1356" s="2" t="s">
        <v>136</v>
      </c>
      <c r="I1356" s="2">
        <v>0</v>
      </c>
      <c r="J1356" s="2">
        <v>101620</v>
      </c>
      <c r="K1356" s="2" t="s">
        <v>139</v>
      </c>
      <c r="L1356" s="2" t="s">
        <v>274</v>
      </c>
      <c r="M1356" s="2" t="s">
        <v>21</v>
      </c>
    </row>
    <row r="1357" spans="1:13" x14ac:dyDescent="0.25">
      <c r="A1357" s="2" t="s">
        <v>2600</v>
      </c>
      <c r="B1357" s="2" t="s">
        <v>212</v>
      </c>
      <c r="C1357" s="2" t="s">
        <v>50</v>
      </c>
      <c r="D1357" s="2" t="s">
        <v>51</v>
      </c>
      <c r="E1357" s="2" t="s">
        <v>119</v>
      </c>
      <c r="F1357" s="2" t="s">
        <v>93</v>
      </c>
      <c r="G1357" s="2">
        <v>4</v>
      </c>
      <c r="H1357" s="2">
        <v>570</v>
      </c>
      <c r="I1357" s="2"/>
      <c r="J1357" s="2">
        <v>2052</v>
      </c>
      <c r="K1357" s="2" t="s">
        <v>36</v>
      </c>
      <c r="L1357" s="2" t="s">
        <v>176</v>
      </c>
      <c r="M1357" s="2" t="s">
        <v>215</v>
      </c>
    </row>
    <row r="1358" spans="1:13" x14ac:dyDescent="0.25">
      <c r="A1358" s="2" t="s">
        <v>2601</v>
      </c>
      <c r="B1358" s="2" t="s">
        <v>2203</v>
      </c>
      <c r="C1358" s="2" t="s">
        <v>91</v>
      </c>
      <c r="D1358" s="2" t="s">
        <v>51</v>
      </c>
      <c r="E1358" s="2" t="s">
        <v>59</v>
      </c>
      <c r="F1358" s="2" t="s">
        <v>379</v>
      </c>
      <c r="G1358" s="2">
        <v>7</v>
      </c>
      <c r="H1358" s="2">
        <v>3680</v>
      </c>
      <c r="I1358" s="2">
        <v>0</v>
      </c>
      <c r="J1358" s="2" t="s">
        <v>136</v>
      </c>
      <c r="K1358" s="2" t="s">
        <v>144</v>
      </c>
      <c r="L1358" s="2" t="s">
        <v>176</v>
      </c>
      <c r="M1358" s="2" t="s">
        <v>140</v>
      </c>
    </row>
    <row r="1359" spans="1:13" x14ac:dyDescent="0.25">
      <c r="A1359" s="2" t="s">
        <v>1869</v>
      </c>
      <c r="B1359" s="2" t="s">
        <v>1870</v>
      </c>
      <c r="C1359" s="2" t="s">
        <v>110</v>
      </c>
      <c r="D1359" s="2" t="s">
        <v>107</v>
      </c>
      <c r="E1359" s="2" t="s">
        <v>25</v>
      </c>
      <c r="F1359" s="2" t="s">
        <v>248</v>
      </c>
      <c r="G1359" s="2">
        <v>5</v>
      </c>
      <c r="H1359" s="2">
        <v>500</v>
      </c>
      <c r="I1359" s="2">
        <v>0</v>
      </c>
      <c r="J1359" s="2">
        <v>2500</v>
      </c>
      <c r="K1359" s="2" t="s">
        <v>67</v>
      </c>
      <c r="L1359" s="2" t="s">
        <v>37</v>
      </c>
      <c r="M1359" s="2" t="s">
        <v>189</v>
      </c>
    </row>
    <row r="1360" spans="1:13" x14ac:dyDescent="0.25">
      <c r="A1360" s="2" t="s">
        <v>2602</v>
      </c>
      <c r="B1360" s="2" t="s">
        <v>2603</v>
      </c>
      <c r="C1360" s="2" t="s">
        <v>135</v>
      </c>
      <c r="D1360" s="2" t="s">
        <v>58</v>
      </c>
      <c r="E1360" s="2" t="s">
        <v>92</v>
      </c>
      <c r="F1360" s="2" t="s">
        <v>26</v>
      </c>
      <c r="G1360" s="2">
        <v>4</v>
      </c>
      <c r="H1360" s="2">
        <v>73680</v>
      </c>
      <c r="I1360" s="2">
        <v>0</v>
      </c>
      <c r="J1360" s="2">
        <v>294720</v>
      </c>
      <c r="K1360" s="2"/>
      <c r="L1360" s="2" t="s">
        <v>266</v>
      </c>
      <c r="M1360" s="2" t="s">
        <v>21</v>
      </c>
    </row>
    <row r="1361" spans="1:13" x14ac:dyDescent="0.25">
      <c r="A1361" s="2" t="s">
        <v>2604</v>
      </c>
      <c r="B1361" s="2" t="s">
        <v>1621</v>
      </c>
      <c r="C1361" s="2" t="s">
        <v>76</v>
      </c>
      <c r="D1361" s="2" t="s">
        <v>33</v>
      </c>
      <c r="E1361" s="2" t="s">
        <v>82</v>
      </c>
      <c r="F1361" s="2" t="s">
        <v>435</v>
      </c>
      <c r="G1361" s="2">
        <v>6</v>
      </c>
      <c r="H1361" s="2">
        <v>500</v>
      </c>
      <c r="I1361" s="2">
        <v>5</v>
      </c>
      <c r="J1361" s="2">
        <v>2850</v>
      </c>
      <c r="K1361" s="2" t="s">
        <v>172</v>
      </c>
      <c r="L1361" s="2" t="s">
        <v>266</v>
      </c>
      <c r="M1361" s="2" t="s">
        <v>38</v>
      </c>
    </row>
    <row r="1362" spans="1:13" x14ac:dyDescent="0.25">
      <c r="A1362" s="2" t="s">
        <v>2605</v>
      </c>
      <c r="B1362" s="2" t="s">
        <v>1017</v>
      </c>
      <c r="C1362" s="2" t="s">
        <v>50</v>
      </c>
      <c r="D1362" s="2" t="s">
        <v>51</v>
      </c>
      <c r="E1362" s="2" t="s">
        <v>504</v>
      </c>
      <c r="F1362" s="2" t="s">
        <v>83</v>
      </c>
      <c r="G1362" s="2">
        <v>10</v>
      </c>
      <c r="H1362" s="2">
        <v>47000</v>
      </c>
      <c r="I1362" s="2">
        <v>10</v>
      </c>
      <c r="J1362" s="2">
        <v>423000</v>
      </c>
      <c r="K1362" s="2" t="s">
        <v>139</v>
      </c>
      <c r="L1362" s="2" t="s">
        <v>266</v>
      </c>
      <c r="M1362" s="2" t="s">
        <v>21</v>
      </c>
    </row>
    <row r="1363" spans="1:13" x14ac:dyDescent="0.25">
      <c r="A1363" s="2" t="s">
        <v>2606</v>
      </c>
      <c r="B1363" s="2" t="s">
        <v>2607</v>
      </c>
      <c r="C1363" s="2" t="s">
        <v>238</v>
      </c>
      <c r="D1363" s="2" t="s">
        <v>51</v>
      </c>
      <c r="E1363" s="2" t="s">
        <v>100</v>
      </c>
      <c r="F1363" s="2" t="s">
        <v>314</v>
      </c>
      <c r="G1363" s="2">
        <v>4</v>
      </c>
      <c r="H1363" s="2">
        <v>460</v>
      </c>
      <c r="I1363" s="2">
        <v>5</v>
      </c>
      <c r="J1363" s="2">
        <v>1748</v>
      </c>
      <c r="K1363" s="2" t="s">
        <v>133</v>
      </c>
      <c r="L1363" s="2" t="s">
        <v>611</v>
      </c>
      <c r="M1363" s="2" t="s">
        <v>47</v>
      </c>
    </row>
    <row r="1364" spans="1:13" x14ac:dyDescent="0.25">
      <c r="A1364" s="2" t="s">
        <v>2608</v>
      </c>
      <c r="B1364" s="2" t="s">
        <v>2609</v>
      </c>
      <c r="C1364" s="2" t="s">
        <v>135</v>
      </c>
      <c r="D1364" s="2" t="s">
        <v>58</v>
      </c>
      <c r="E1364" s="2" t="s">
        <v>52</v>
      </c>
      <c r="F1364" s="2" t="s">
        <v>255</v>
      </c>
      <c r="G1364" s="2">
        <v>3</v>
      </c>
      <c r="H1364" s="2">
        <v>2760</v>
      </c>
      <c r="I1364" s="2">
        <v>0</v>
      </c>
      <c r="J1364" s="2">
        <v>8280</v>
      </c>
      <c r="K1364" s="2" t="s">
        <v>53</v>
      </c>
      <c r="L1364" s="2" t="s">
        <v>311</v>
      </c>
      <c r="M1364" s="2" t="s">
        <v>21</v>
      </c>
    </row>
    <row r="1365" spans="1:13" x14ac:dyDescent="0.25">
      <c r="A1365" s="2" t="s">
        <v>2378</v>
      </c>
      <c r="B1365" s="2" t="s">
        <v>1298</v>
      </c>
      <c r="C1365" s="2" t="s">
        <v>76</v>
      </c>
      <c r="D1365" s="2" t="s">
        <v>33</v>
      </c>
      <c r="E1365" s="2" t="s">
        <v>43</v>
      </c>
      <c r="F1365" s="2" t="s">
        <v>44</v>
      </c>
      <c r="G1365" s="2">
        <v>6</v>
      </c>
      <c r="H1365" s="2">
        <v>13060</v>
      </c>
      <c r="I1365" s="2">
        <v>10</v>
      </c>
      <c r="J1365" s="2">
        <v>70524</v>
      </c>
      <c r="K1365" s="2" t="s">
        <v>72</v>
      </c>
      <c r="L1365" s="2" t="s">
        <v>411</v>
      </c>
      <c r="M1365" s="2" t="s">
        <v>29</v>
      </c>
    </row>
    <row r="1366" spans="1:13" x14ac:dyDescent="0.25">
      <c r="A1366" s="2" t="s">
        <v>2610</v>
      </c>
      <c r="B1366" s="2" t="s">
        <v>2611</v>
      </c>
      <c r="C1366" s="2" t="s">
        <v>76</v>
      </c>
      <c r="D1366" s="2" t="s">
        <v>33</v>
      </c>
      <c r="E1366" s="2" t="s">
        <v>125</v>
      </c>
      <c r="F1366" s="2" t="s">
        <v>101</v>
      </c>
      <c r="G1366" s="2">
        <v>8</v>
      </c>
      <c r="H1366" s="2">
        <v>7840</v>
      </c>
      <c r="I1366" s="2">
        <v>15</v>
      </c>
      <c r="J1366" s="2">
        <v>53312</v>
      </c>
      <c r="K1366" s="2" t="s">
        <v>144</v>
      </c>
      <c r="L1366" s="2" t="s">
        <v>428</v>
      </c>
      <c r="M1366" s="2" t="s">
        <v>21</v>
      </c>
    </row>
    <row r="1367" spans="1:13" x14ac:dyDescent="0.25">
      <c r="A1367" s="2" t="s">
        <v>2612</v>
      </c>
      <c r="B1367" s="2" t="s">
        <v>2613</v>
      </c>
      <c r="C1367" s="2" t="s">
        <v>162</v>
      </c>
      <c r="D1367" s="2" t="s">
        <v>33</v>
      </c>
      <c r="E1367" s="2" t="s">
        <v>111</v>
      </c>
      <c r="F1367" s="2" t="s">
        <v>180</v>
      </c>
      <c r="G1367" s="2">
        <v>-1</v>
      </c>
      <c r="H1367" s="2">
        <v>51170</v>
      </c>
      <c r="I1367" s="2">
        <v>10</v>
      </c>
      <c r="J1367" s="2">
        <v>368424</v>
      </c>
      <c r="K1367" s="2" t="s">
        <v>53</v>
      </c>
      <c r="L1367" s="2" t="s">
        <v>411</v>
      </c>
      <c r="M1367" s="2" t="s">
        <v>128</v>
      </c>
    </row>
    <row r="1368" spans="1:13" x14ac:dyDescent="0.25">
      <c r="A1368" s="2" t="s">
        <v>2614</v>
      </c>
      <c r="B1368" s="2" t="s">
        <v>2615</v>
      </c>
      <c r="C1368" s="2" t="s">
        <v>136</v>
      </c>
      <c r="D1368" s="2" t="s">
        <v>33</v>
      </c>
      <c r="E1368" s="2" t="s">
        <v>284</v>
      </c>
      <c r="F1368" s="2" t="s">
        <v>435</v>
      </c>
      <c r="G1368" s="2">
        <v>3</v>
      </c>
      <c r="H1368" s="2" t="s">
        <v>223</v>
      </c>
      <c r="I1368" s="2">
        <v>0</v>
      </c>
      <c r="J1368" s="2"/>
      <c r="K1368" s="2" t="s">
        <v>72</v>
      </c>
      <c r="L1368" s="2" t="s">
        <v>79</v>
      </c>
      <c r="M1368" s="2" t="s">
        <v>128</v>
      </c>
    </row>
    <row r="1369" spans="1:13" x14ac:dyDescent="0.25">
      <c r="A1369" s="2" t="s">
        <v>2616</v>
      </c>
      <c r="B1369" s="2" t="s">
        <v>2617</v>
      </c>
      <c r="C1369" s="2" t="s">
        <v>118</v>
      </c>
      <c r="D1369" s="2" t="s">
        <v>51</v>
      </c>
      <c r="E1369" s="2" t="s">
        <v>148</v>
      </c>
      <c r="F1369" s="2" t="s">
        <v>435</v>
      </c>
      <c r="G1369" s="2">
        <v>8</v>
      </c>
      <c r="H1369" s="2">
        <v>5030</v>
      </c>
      <c r="I1369" s="2">
        <v>0</v>
      </c>
      <c r="J1369" s="2">
        <v>40240</v>
      </c>
      <c r="K1369" s="2" t="s">
        <v>144</v>
      </c>
      <c r="L1369" s="2" t="s">
        <v>274</v>
      </c>
      <c r="M1369" s="2" t="s">
        <v>128</v>
      </c>
    </row>
    <row r="1370" spans="1:13" x14ac:dyDescent="0.25">
      <c r="A1370" s="2" t="s">
        <v>2618</v>
      </c>
      <c r="B1370" s="2" t="s">
        <v>2619</v>
      </c>
      <c r="C1370" s="2" t="s">
        <v>32</v>
      </c>
      <c r="D1370" s="2" t="s">
        <v>33</v>
      </c>
      <c r="E1370" s="2" t="s">
        <v>295</v>
      </c>
      <c r="F1370" s="2" t="s">
        <v>219</v>
      </c>
      <c r="G1370" s="2">
        <v>7</v>
      </c>
      <c r="H1370" s="2">
        <v>70060</v>
      </c>
      <c r="I1370" s="2">
        <v>15</v>
      </c>
      <c r="J1370" s="2">
        <v>416857</v>
      </c>
      <c r="K1370" s="2" t="s">
        <v>144</v>
      </c>
      <c r="L1370" s="2" t="s">
        <v>387</v>
      </c>
      <c r="M1370" s="2" t="s">
        <v>47</v>
      </c>
    </row>
    <row r="1371" spans="1:13" x14ac:dyDescent="0.25">
      <c r="A1371" s="2" t="s">
        <v>2620</v>
      </c>
      <c r="B1371" s="2" t="s">
        <v>1219</v>
      </c>
      <c r="C1371" s="2" t="s">
        <v>156</v>
      </c>
      <c r="D1371" s="2" t="s">
        <v>51</v>
      </c>
      <c r="E1371" s="2" t="s">
        <v>111</v>
      </c>
      <c r="F1371" s="2" t="s">
        <v>78</v>
      </c>
      <c r="G1371" s="2">
        <v>5</v>
      </c>
      <c r="H1371" s="2">
        <v>9510</v>
      </c>
      <c r="I1371" s="2">
        <v>0</v>
      </c>
      <c r="J1371" s="2" t="s">
        <v>223</v>
      </c>
      <c r="K1371" s="2" t="s">
        <v>45</v>
      </c>
      <c r="L1371" s="2" t="s">
        <v>271</v>
      </c>
      <c r="M1371" s="2" t="s">
        <v>21</v>
      </c>
    </row>
    <row r="1372" spans="1:13" x14ac:dyDescent="0.25">
      <c r="A1372" s="2" t="s">
        <v>2621</v>
      </c>
      <c r="B1372" s="2" t="s">
        <v>2622</v>
      </c>
      <c r="C1372" s="2" t="s">
        <v>76</v>
      </c>
      <c r="D1372" s="2" t="s">
        <v>33</v>
      </c>
      <c r="E1372" s="2" t="s">
        <v>137</v>
      </c>
      <c r="F1372" s="2" t="s">
        <v>290</v>
      </c>
      <c r="G1372" s="2">
        <v>12</v>
      </c>
      <c r="H1372" s="2">
        <v>540</v>
      </c>
      <c r="I1372" s="2">
        <v>0</v>
      </c>
      <c r="J1372" s="2">
        <v>6480</v>
      </c>
      <c r="K1372" s="2" t="s">
        <v>67</v>
      </c>
      <c r="L1372" s="2" t="s">
        <v>344</v>
      </c>
      <c r="M1372" s="2" t="s">
        <v>140</v>
      </c>
    </row>
    <row r="1373" spans="1:13" x14ac:dyDescent="0.25">
      <c r="A1373" s="2" t="s">
        <v>2623</v>
      </c>
      <c r="B1373" s="2" t="s">
        <v>2624</v>
      </c>
      <c r="C1373" s="2" t="s">
        <v>41</v>
      </c>
      <c r="D1373" s="2"/>
      <c r="E1373" s="2" t="s">
        <v>148</v>
      </c>
      <c r="F1373" s="2" t="s">
        <v>379</v>
      </c>
      <c r="G1373" s="2">
        <v>12</v>
      </c>
      <c r="H1373" s="2">
        <v>7840</v>
      </c>
      <c r="I1373" s="2">
        <v>0</v>
      </c>
      <c r="J1373" s="2">
        <v>94080</v>
      </c>
      <c r="K1373" s="2" t="s">
        <v>144</v>
      </c>
      <c r="L1373" s="2" t="s">
        <v>79</v>
      </c>
      <c r="M1373" s="2" t="s">
        <v>47</v>
      </c>
    </row>
    <row r="1374" spans="1:13" x14ac:dyDescent="0.25">
      <c r="A1374" s="2" t="s">
        <v>2625</v>
      </c>
      <c r="B1374" s="2" t="s">
        <v>2125</v>
      </c>
      <c r="C1374" s="2" t="s">
        <v>135</v>
      </c>
      <c r="D1374" s="2" t="s">
        <v>58</v>
      </c>
      <c r="E1374" s="2" t="s">
        <v>25</v>
      </c>
      <c r="F1374" s="2" t="s">
        <v>115</v>
      </c>
      <c r="G1374" s="2">
        <v>4</v>
      </c>
      <c r="H1374" s="2">
        <v>500</v>
      </c>
      <c r="I1374" s="2">
        <v>0</v>
      </c>
      <c r="J1374" s="2">
        <v>2000</v>
      </c>
      <c r="K1374" s="2" t="s">
        <v>133</v>
      </c>
      <c r="L1374" s="2" t="s">
        <v>95</v>
      </c>
      <c r="M1374" s="2" t="s">
        <v>189</v>
      </c>
    </row>
    <row r="1375" spans="1:13" x14ac:dyDescent="0.25">
      <c r="A1375" s="2" t="s">
        <v>2626</v>
      </c>
      <c r="B1375" s="2" t="s">
        <v>1837</v>
      </c>
      <c r="C1375" s="2" t="s">
        <v>118</v>
      </c>
      <c r="D1375" s="2" t="s">
        <v>51</v>
      </c>
      <c r="E1375" s="2" t="s">
        <v>119</v>
      </c>
      <c r="F1375" s="2" t="s">
        <v>115</v>
      </c>
      <c r="G1375" s="2">
        <v>1</v>
      </c>
      <c r="H1375" s="2">
        <v>480</v>
      </c>
      <c r="I1375" s="2">
        <v>0</v>
      </c>
      <c r="J1375" s="2">
        <v>480</v>
      </c>
      <c r="K1375" s="2" t="s">
        <v>45</v>
      </c>
      <c r="L1375" s="2" t="s">
        <v>220</v>
      </c>
      <c r="M1375" s="2" t="s">
        <v>21</v>
      </c>
    </row>
    <row r="1376" spans="1:13" x14ac:dyDescent="0.25">
      <c r="A1376" s="2" t="s">
        <v>2627</v>
      </c>
      <c r="B1376" s="2" t="s">
        <v>1554</v>
      </c>
      <c r="C1376" s="2" t="s">
        <v>15</v>
      </c>
      <c r="D1376" s="2" t="s">
        <v>16</v>
      </c>
      <c r="E1376" s="2" t="s">
        <v>34</v>
      </c>
      <c r="F1376" s="2" t="s">
        <v>35</v>
      </c>
      <c r="G1376" s="2">
        <v>4</v>
      </c>
      <c r="H1376" s="2">
        <v>1140</v>
      </c>
      <c r="I1376" s="2" t="s">
        <v>223</v>
      </c>
      <c r="J1376" s="2">
        <v>4104</v>
      </c>
      <c r="K1376" s="2" t="s">
        <v>94</v>
      </c>
      <c r="L1376" s="2" t="s">
        <v>266</v>
      </c>
      <c r="M1376" s="2" t="s">
        <v>352</v>
      </c>
    </row>
    <row r="1377" spans="1:13" x14ac:dyDescent="0.25">
      <c r="A1377" s="2" t="s">
        <v>2628</v>
      </c>
      <c r="B1377" s="2" t="s">
        <v>2629</v>
      </c>
      <c r="C1377" s="2" t="s">
        <v>449</v>
      </c>
      <c r="D1377" s="2" t="s">
        <v>42</v>
      </c>
      <c r="E1377" s="2" t="s">
        <v>131</v>
      </c>
      <c r="F1377" s="2" t="s">
        <v>219</v>
      </c>
      <c r="G1377" s="2">
        <v>4</v>
      </c>
      <c r="H1377" s="2">
        <v>24370</v>
      </c>
      <c r="I1377" s="2">
        <v>0</v>
      </c>
      <c r="J1377" s="2">
        <v>97480</v>
      </c>
      <c r="K1377" s="2" t="s">
        <v>53</v>
      </c>
      <c r="L1377" s="2" t="s">
        <v>428</v>
      </c>
      <c r="M1377" s="2" t="s">
        <v>21</v>
      </c>
    </row>
    <row r="1378" spans="1:13" x14ac:dyDescent="0.25">
      <c r="A1378" s="2" t="s">
        <v>2630</v>
      </c>
      <c r="B1378" s="2" t="s">
        <v>2173</v>
      </c>
      <c r="C1378" s="2" t="s">
        <v>198</v>
      </c>
      <c r="D1378" s="2" t="s">
        <v>42</v>
      </c>
      <c r="E1378" s="2" t="s">
        <v>34</v>
      </c>
      <c r="F1378" s="2" t="s">
        <v>374</v>
      </c>
      <c r="G1378" s="2">
        <v>2</v>
      </c>
      <c r="H1378" s="2">
        <v>2460</v>
      </c>
      <c r="I1378" s="2">
        <v>5</v>
      </c>
      <c r="J1378" s="2" t="s">
        <v>107</v>
      </c>
      <c r="K1378" s="2" t="s">
        <v>87</v>
      </c>
      <c r="L1378" s="2" t="s">
        <v>387</v>
      </c>
      <c r="M1378" s="2" t="s">
        <v>47</v>
      </c>
    </row>
    <row r="1379" spans="1:13" x14ac:dyDescent="0.25">
      <c r="A1379" s="2" t="s">
        <v>2011</v>
      </c>
      <c r="B1379" s="2" t="s">
        <v>2012</v>
      </c>
      <c r="C1379" s="2" t="s">
        <v>32</v>
      </c>
      <c r="D1379" s="2" t="s">
        <v>33</v>
      </c>
      <c r="E1379" s="2" t="s">
        <v>148</v>
      </c>
      <c r="F1379" s="2" t="s">
        <v>167</v>
      </c>
      <c r="G1379" s="2">
        <v>10</v>
      </c>
      <c r="H1379" s="2">
        <v>490</v>
      </c>
      <c r="I1379" s="2">
        <v>0</v>
      </c>
      <c r="J1379" s="2">
        <v>4900</v>
      </c>
      <c r="K1379" s="2" t="s">
        <v>19</v>
      </c>
      <c r="L1379" s="2" t="s">
        <v>176</v>
      </c>
      <c r="M1379" s="2" t="s">
        <v>21</v>
      </c>
    </row>
    <row r="1380" spans="1:13" x14ac:dyDescent="0.25">
      <c r="A1380" s="2" t="s">
        <v>2631</v>
      </c>
      <c r="B1380" s="2" t="s">
        <v>2632</v>
      </c>
      <c r="C1380" s="2" t="s">
        <v>449</v>
      </c>
      <c r="D1380" s="2" t="s">
        <v>42</v>
      </c>
      <c r="E1380" s="2" t="s">
        <v>111</v>
      </c>
      <c r="F1380" s="2" t="s">
        <v>239</v>
      </c>
      <c r="G1380" s="2" t="s">
        <v>107</v>
      </c>
      <c r="H1380" s="2">
        <v>7870</v>
      </c>
      <c r="I1380" s="2">
        <v>5</v>
      </c>
      <c r="J1380" s="2">
        <v>67288.5</v>
      </c>
      <c r="K1380" s="2" t="s">
        <v>87</v>
      </c>
      <c r="L1380" s="2" t="s">
        <v>168</v>
      </c>
      <c r="M1380" s="2" t="s">
        <v>128</v>
      </c>
    </row>
    <row r="1381" spans="1:13" x14ac:dyDescent="0.25">
      <c r="A1381" s="2" t="s">
        <v>2633</v>
      </c>
      <c r="B1381" s="2" t="s">
        <v>2634</v>
      </c>
      <c r="C1381" s="2" t="s">
        <v>110</v>
      </c>
      <c r="D1381" s="2" t="s">
        <v>33</v>
      </c>
      <c r="E1381" s="2"/>
      <c r="F1381" s="2" t="s">
        <v>319</v>
      </c>
      <c r="G1381" s="2">
        <v>10</v>
      </c>
      <c r="H1381" s="2">
        <v>1140</v>
      </c>
      <c r="I1381" s="2">
        <v>0</v>
      </c>
      <c r="J1381" s="2">
        <v>11400</v>
      </c>
      <c r="K1381" s="2" t="s">
        <v>139</v>
      </c>
      <c r="L1381" s="2" t="s">
        <v>387</v>
      </c>
      <c r="M1381" s="2" t="s">
        <v>47</v>
      </c>
    </row>
    <row r="1382" spans="1:13" x14ac:dyDescent="0.25">
      <c r="A1382" s="2" t="s">
        <v>2635</v>
      </c>
      <c r="B1382" s="2" t="s">
        <v>2222</v>
      </c>
      <c r="C1382" s="2" t="s">
        <v>1241</v>
      </c>
      <c r="D1382" s="2" t="s">
        <v>33</v>
      </c>
      <c r="E1382" s="2"/>
      <c r="F1382" s="2" t="s">
        <v>35</v>
      </c>
      <c r="G1382" s="2">
        <v>9</v>
      </c>
      <c r="H1382" s="2">
        <v>12040</v>
      </c>
      <c r="I1382" s="2">
        <v>0</v>
      </c>
      <c r="J1382" s="2">
        <v>108360</v>
      </c>
      <c r="K1382" s="2" t="s">
        <v>72</v>
      </c>
      <c r="L1382" s="2" t="s">
        <v>344</v>
      </c>
      <c r="M1382" s="2" t="s">
        <v>38</v>
      </c>
    </row>
    <row r="1383" spans="1:13" x14ac:dyDescent="0.25">
      <c r="A1383" s="2" t="s">
        <v>2636</v>
      </c>
      <c r="B1383" s="2" t="s">
        <v>243</v>
      </c>
      <c r="C1383" s="2" t="s">
        <v>50</v>
      </c>
      <c r="D1383" s="2" t="s">
        <v>51</v>
      </c>
      <c r="E1383" s="2" t="s">
        <v>504</v>
      </c>
      <c r="F1383" s="2" t="s">
        <v>60</v>
      </c>
      <c r="G1383" s="2">
        <v>6</v>
      </c>
      <c r="H1383" s="2">
        <v>1350</v>
      </c>
      <c r="I1383" s="2">
        <v>0</v>
      </c>
      <c r="J1383" s="2">
        <v>8100</v>
      </c>
      <c r="K1383" s="2" t="s">
        <v>94</v>
      </c>
      <c r="L1383" s="2" t="s">
        <v>206</v>
      </c>
      <c r="M1383" s="2" t="s">
        <v>140</v>
      </c>
    </row>
    <row r="1384" spans="1:13" x14ac:dyDescent="0.25">
      <c r="A1384" s="2" t="s">
        <v>2637</v>
      </c>
      <c r="B1384" s="2" t="s">
        <v>2638</v>
      </c>
      <c r="C1384" s="2" t="s">
        <v>41</v>
      </c>
      <c r="D1384" s="2" t="s">
        <v>42</v>
      </c>
      <c r="E1384" s="2" t="s">
        <v>119</v>
      </c>
      <c r="F1384" s="2" t="s">
        <v>106</v>
      </c>
      <c r="G1384" s="2">
        <v>8</v>
      </c>
      <c r="H1384" s="2">
        <v>59330</v>
      </c>
      <c r="I1384" s="2">
        <v>0</v>
      </c>
      <c r="J1384" s="2">
        <v>474640</v>
      </c>
      <c r="K1384" s="2"/>
      <c r="L1384" s="2" t="s">
        <v>20</v>
      </c>
      <c r="M1384" s="2" t="s">
        <v>210</v>
      </c>
    </row>
    <row r="1385" spans="1:13" x14ac:dyDescent="0.25">
      <c r="A1385" s="2" t="s">
        <v>2639</v>
      </c>
      <c r="B1385" s="2" t="s">
        <v>589</v>
      </c>
      <c r="C1385" s="2" t="s">
        <v>32</v>
      </c>
      <c r="D1385" s="2" t="s">
        <v>33</v>
      </c>
      <c r="E1385" s="2" t="s">
        <v>17</v>
      </c>
      <c r="F1385" s="2" t="s">
        <v>164</v>
      </c>
      <c r="G1385" s="2">
        <v>3</v>
      </c>
      <c r="H1385" s="2">
        <v>41670</v>
      </c>
      <c r="I1385" s="2">
        <v>10</v>
      </c>
      <c r="J1385" s="2">
        <v>112509</v>
      </c>
      <c r="K1385" s="2" t="s">
        <v>139</v>
      </c>
      <c r="L1385" s="2" t="s">
        <v>95</v>
      </c>
      <c r="M1385" s="2" t="s">
        <v>38</v>
      </c>
    </row>
    <row r="1386" spans="1:13" x14ac:dyDescent="0.25">
      <c r="A1386" s="2" t="s">
        <v>2640</v>
      </c>
      <c r="B1386" s="2" t="s">
        <v>1664</v>
      </c>
      <c r="C1386" s="2" t="s">
        <v>110</v>
      </c>
      <c r="D1386" s="2" t="s">
        <v>33</v>
      </c>
      <c r="E1386" s="2" t="s">
        <v>131</v>
      </c>
      <c r="F1386" s="2" t="s">
        <v>66</v>
      </c>
      <c r="G1386" s="2">
        <v>9</v>
      </c>
      <c r="H1386" s="2">
        <v>510</v>
      </c>
      <c r="I1386" s="2">
        <v>0</v>
      </c>
      <c r="J1386" s="2">
        <v>4590</v>
      </c>
      <c r="K1386" s="2" t="s">
        <v>67</v>
      </c>
      <c r="L1386" s="2" t="s">
        <v>705</v>
      </c>
      <c r="M1386" s="2" t="s">
        <v>253</v>
      </c>
    </row>
    <row r="1387" spans="1:13" x14ac:dyDescent="0.25">
      <c r="A1387" s="2" t="s">
        <v>2641</v>
      </c>
      <c r="B1387" s="2" t="s">
        <v>1471</v>
      </c>
      <c r="C1387" s="2" t="s">
        <v>452</v>
      </c>
      <c r="D1387" s="2" t="s">
        <v>51</v>
      </c>
      <c r="E1387" s="2"/>
      <c r="F1387" s="2" t="s">
        <v>379</v>
      </c>
      <c r="G1387" s="2">
        <v>2</v>
      </c>
      <c r="H1387" s="2">
        <v>16950</v>
      </c>
      <c r="I1387" s="2">
        <v>0</v>
      </c>
      <c r="J1387" s="2">
        <v>33900</v>
      </c>
      <c r="K1387" s="2" t="s">
        <v>53</v>
      </c>
      <c r="L1387" s="2" t="s">
        <v>776</v>
      </c>
      <c r="M1387" s="2" t="s">
        <v>47</v>
      </c>
    </row>
    <row r="1388" spans="1:13" x14ac:dyDescent="0.25">
      <c r="A1388" s="2" t="s">
        <v>2642</v>
      </c>
      <c r="B1388" s="2" t="s">
        <v>2643</v>
      </c>
      <c r="C1388" s="2" t="s">
        <v>41</v>
      </c>
      <c r="D1388" s="2" t="s">
        <v>42</v>
      </c>
      <c r="E1388" s="2" t="s">
        <v>195</v>
      </c>
      <c r="F1388" s="2" t="s">
        <v>374</v>
      </c>
      <c r="G1388" s="2">
        <v>4</v>
      </c>
      <c r="H1388" s="2">
        <v>1190</v>
      </c>
      <c r="I1388" s="2"/>
      <c r="J1388" s="2">
        <v>4046</v>
      </c>
      <c r="K1388" s="2" t="s">
        <v>45</v>
      </c>
      <c r="L1388" s="2" t="s">
        <v>249</v>
      </c>
      <c r="M1388" s="2" t="s">
        <v>21</v>
      </c>
    </row>
    <row r="1389" spans="1:13" x14ac:dyDescent="0.25">
      <c r="A1389" s="2" t="s">
        <v>2644</v>
      </c>
      <c r="B1389" s="2" t="s">
        <v>2645</v>
      </c>
      <c r="C1389" s="2" t="s">
        <v>204</v>
      </c>
      <c r="D1389" s="2" t="s">
        <v>33</v>
      </c>
      <c r="E1389" s="2" t="s">
        <v>43</v>
      </c>
      <c r="F1389" s="2" t="s">
        <v>332</v>
      </c>
      <c r="G1389" s="2">
        <v>6</v>
      </c>
      <c r="H1389" s="2">
        <v>1180</v>
      </c>
      <c r="I1389" s="2" t="s">
        <v>152</v>
      </c>
      <c r="J1389" s="2">
        <v>7080</v>
      </c>
      <c r="K1389" s="2" t="s">
        <v>72</v>
      </c>
      <c r="L1389" s="2" t="s">
        <v>168</v>
      </c>
      <c r="M1389" s="2" t="s">
        <v>21</v>
      </c>
    </row>
    <row r="1390" spans="1:13" x14ac:dyDescent="0.25">
      <c r="A1390" s="2" t="s">
        <v>1201</v>
      </c>
      <c r="B1390" s="2" t="s">
        <v>1202</v>
      </c>
      <c r="C1390" s="2" t="s">
        <v>41</v>
      </c>
      <c r="D1390" s="2" t="s">
        <v>42</v>
      </c>
      <c r="E1390" s="2" t="s">
        <v>43</v>
      </c>
      <c r="F1390" s="2" t="s">
        <v>255</v>
      </c>
      <c r="G1390" s="2">
        <v>5</v>
      </c>
      <c r="H1390" s="2">
        <v>11300</v>
      </c>
      <c r="I1390" s="2">
        <v>0</v>
      </c>
      <c r="J1390" s="2">
        <v>56500</v>
      </c>
      <c r="K1390" s="2" t="s">
        <v>144</v>
      </c>
      <c r="L1390" s="2" t="s">
        <v>796</v>
      </c>
      <c r="M1390" s="2" t="s">
        <v>21</v>
      </c>
    </row>
    <row r="1391" spans="1:13" x14ac:dyDescent="0.25">
      <c r="A1391" s="2" t="s">
        <v>2646</v>
      </c>
      <c r="B1391" s="2" t="s">
        <v>1290</v>
      </c>
      <c r="C1391" s="2" t="s">
        <v>24</v>
      </c>
      <c r="D1391" s="2" t="s">
        <v>16</v>
      </c>
      <c r="E1391" s="2" t="s">
        <v>137</v>
      </c>
      <c r="F1391" s="2" t="s">
        <v>18</v>
      </c>
      <c r="G1391" s="2">
        <v>6</v>
      </c>
      <c r="H1391" s="2">
        <v>1360</v>
      </c>
      <c r="I1391" s="2">
        <v>10</v>
      </c>
      <c r="J1391" s="2">
        <v>7344</v>
      </c>
      <c r="K1391" s="2" t="s">
        <v>157</v>
      </c>
      <c r="L1391" s="2" t="s">
        <v>88</v>
      </c>
      <c r="M1391" s="2" t="s">
        <v>47</v>
      </c>
    </row>
    <row r="1392" spans="1:13" x14ac:dyDescent="0.25">
      <c r="A1392" s="2" t="s">
        <v>2647</v>
      </c>
      <c r="B1392" s="2" t="s">
        <v>2648</v>
      </c>
      <c r="C1392" s="2" t="s">
        <v>204</v>
      </c>
      <c r="D1392" s="2" t="s">
        <v>33</v>
      </c>
      <c r="E1392" s="2" t="s">
        <v>179</v>
      </c>
      <c r="F1392" s="2" t="s">
        <v>143</v>
      </c>
      <c r="G1392" s="2">
        <v>12</v>
      </c>
      <c r="H1392" s="2">
        <v>4740</v>
      </c>
      <c r="I1392" s="2">
        <v>0</v>
      </c>
      <c r="J1392" s="2">
        <v>56880</v>
      </c>
      <c r="K1392" s="2" t="s">
        <v>152</v>
      </c>
      <c r="L1392" s="2" t="s">
        <v>311</v>
      </c>
      <c r="M1392" s="2" t="s">
        <v>140</v>
      </c>
    </row>
    <row r="1393" spans="1:13" x14ac:dyDescent="0.25">
      <c r="A1393" s="2" t="s">
        <v>2649</v>
      </c>
      <c r="B1393" s="2" t="s">
        <v>959</v>
      </c>
      <c r="C1393" s="2" t="s">
        <v>110</v>
      </c>
      <c r="D1393" s="2" t="s">
        <v>33</v>
      </c>
      <c r="E1393" s="2" t="s">
        <v>82</v>
      </c>
      <c r="F1393" s="2" t="s">
        <v>252</v>
      </c>
      <c r="G1393" s="2">
        <v>5</v>
      </c>
      <c r="H1393" s="2">
        <v>4720</v>
      </c>
      <c r="I1393" s="2">
        <v>0</v>
      </c>
      <c r="J1393" s="2">
        <v>23600</v>
      </c>
      <c r="K1393" s="2" t="s">
        <v>172</v>
      </c>
      <c r="L1393" s="2" t="s">
        <v>776</v>
      </c>
      <c r="M1393" s="2" t="s">
        <v>352</v>
      </c>
    </row>
    <row r="1394" spans="1:13" x14ac:dyDescent="0.25">
      <c r="A1394" s="2" t="s">
        <v>2650</v>
      </c>
      <c r="B1394" s="2" t="s">
        <v>894</v>
      </c>
      <c r="C1394" s="2" t="s">
        <v>223</v>
      </c>
      <c r="D1394" s="2" t="s">
        <v>138</v>
      </c>
      <c r="E1394" s="2" t="s">
        <v>100</v>
      </c>
      <c r="F1394" s="2" t="s">
        <v>296</v>
      </c>
      <c r="G1394" s="2">
        <v>6</v>
      </c>
      <c r="H1394" s="2">
        <v>17260</v>
      </c>
      <c r="I1394" s="2">
        <v>0</v>
      </c>
      <c r="J1394" s="2" t="s">
        <v>138</v>
      </c>
      <c r="K1394" s="2" t="s">
        <v>172</v>
      </c>
      <c r="L1394" s="2" t="s">
        <v>1710</v>
      </c>
      <c r="M1394" s="2" t="s">
        <v>29</v>
      </c>
    </row>
    <row r="1395" spans="1:13" x14ac:dyDescent="0.25">
      <c r="A1395" s="2" t="s">
        <v>2651</v>
      </c>
      <c r="B1395" s="2" t="s">
        <v>1168</v>
      </c>
      <c r="C1395" s="2" t="s">
        <v>32</v>
      </c>
      <c r="D1395" s="2" t="s">
        <v>33</v>
      </c>
      <c r="E1395" s="2" t="s">
        <v>77</v>
      </c>
      <c r="F1395" s="2" t="s">
        <v>143</v>
      </c>
      <c r="G1395" s="2">
        <v>1</v>
      </c>
      <c r="H1395" s="2">
        <v>17850</v>
      </c>
      <c r="I1395" s="2">
        <v>0</v>
      </c>
      <c r="J1395" s="2">
        <v>17850</v>
      </c>
      <c r="K1395" s="2" t="s">
        <v>139</v>
      </c>
      <c r="L1395" s="2" t="s">
        <v>188</v>
      </c>
      <c r="M1395" s="2" t="s">
        <v>47</v>
      </c>
    </row>
    <row r="1396" spans="1:13" x14ac:dyDescent="0.25">
      <c r="A1396" s="2" t="s">
        <v>2652</v>
      </c>
      <c r="B1396" s="2" t="s">
        <v>159</v>
      </c>
      <c r="C1396" s="2" t="s">
        <v>91</v>
      </c>
      <c r="D1396" s="2" t="s">
        <v>51</v>
      </c>
      <c r="E1396" s="2" t="s">
        <v>137</v>
      </c>
      <c r="F1396" s="2" t="s">
        <v>35</v>
      </c>
      <c r="G1396" s="2">
        <v>7</v>
      </c>
      <c r="H1396" s="2">
        <v>8000</v>
      </c>
      <c r="I1396" s="2">
        <v>0</v>
      </c>
      <c r="J1396" s="2">
        <v>56000</v>
      </c>
      <c r="K1396" s="2" t="s">
        <v>102</v>
      </c>
      <c r="L1396" s="2" t="s">
        <v>249</v>
      </c>
      <c r="M1396" s="2" t="s">
        <v>29</v>
      </c>
    </row>
    <row r="1397" spans="1:13" x14ac:dyDescent="0.25">
      <c r="A1397" s="2" t="s">
        <v>2653</v>
      </c>
      <c r="B1397" s="2" t="s">
        <v>330</v>
      </c>
      <c r="C1397" s="2" t="s">
        <v>32</v>
      </c>
      <c r="D1397" s="2" t="s">
        <v>33</v>
      </c>
      <c r="E1397" s="2" t="s">
        <v>77</v>
      </c>
      <c r="F1397" s="2" t="s">
        <v>543</v>
      </c>
      <c r="G1397" s="2">
        <v>5</v>
      </c>
      <c r="H1397" s="2">
        <v>9160</v>
      </c>
      <c r="I1397" s="2" t="s">
        <v>138</v>
      </c>
      <c r="J1397" s="2"/>
      <c r="K1397" s="2" t="s">
        <v>27</v>
      </c>
      <c r="L1397" s="2" t="s">
        <v>796</v>
      </c>
      <c r="M1397" s="2" t="s">
        <v>21</v>
      </c>
    </row>
    <row r="1398" spans="1:13" x14ac:dyDescent="0.25">
      <c r="A1398" s="2" t="s">
        <v>2654</v>
      </c>
      <c r="B1398" s="2" t="s">
        <v>23</v>
      </c>
      <c r="C1398" s="2" t="s">
        <v>24</v>
      </c>
      <c r="D1398" s="2" t="s">
        <v>16</v>
      </c>
      <c r="E1398" s="2" t="s">
        <v>111</v>
      </c>
      <c r="F1398" s="2" t="s">
        <v>239</v>
      </c>
      <c r="G1398" s="2">
        <v>9</v>
      </c>
      <c r="H1398" s="2">
        <v>11340</v>
      </c>
      <c r="I1398" s="2">
        <v>0</v>
      </c>
      <c r="J1398" s="2">
        <v>102060</v>
      </c>
      <c r="K1398" s="2" t="s">
        <v>45</v>
      </c>
      <c r="L1398" s="2" t="s">
        <v>176</v>
      </c>
      <c r="M1398" s="2" t="s">
        <v>140</v>
      </c>
    </row>
    <row r="1399" spans="1:13" x14ac:dyDescent="0.25">
      <c r="A1399" s="2" t="s">
        <v>2655</v>
      </c>
      <c r="B1399" s="2" t="s">
        <v>2222</v>
      </c>
      <c r="C1399" s="2" t="s">
        <v>118</v>
      </c>
      <c r="D1399" s="2" t="s">
        <v>51</v>
      </c>
      <c r="E1399" s="2" t="s">
        <v>92</v>
      </c>
      <c r="F1399" s="2" t="s">
        <v>255</v>
      </c>
      <c r="G1399" s="2">
        <v>4</v>
      </c>
      <c r="H1399" s="2">
        <v>500</v>
      </c>
      <c r="I1399" s="2">
        <v>0</v>
      </c>
      <c r="J1399" s="2">
        <v>2000</v>
      </c>
      <c r="K1399" s="2" t="s">
        <v>67</v>
      </c>
      <c r="L1399" s="2" t="s">
        <v>95</v>
      </c>
      <c r="M1399" s="2" t="s">
        <v>47</v>
      </c>
    </row>
    <row r="1400" spans="1:13" x14ac:dyDescent="0.25">
      <c r="A1400" s="2" t="s">
        <v>2656</v>
      </c>
      <c r="B1400" s="2" t="s">
        <v>2657</v>
      </c>
      <c r="C1400" s="2" t="s">
        <v>15</v>
      </c>
      <c r="D1400" s="2" t="s">
        <v>16</v>
      </c>
      <c r="E1400" s="2" t="s">
        <v>137</v>
      </c>
      <c r="F1400" s="2" t="s">
        <v>35</v>
      </c>
      <c r="G1400" s="2">
        <v>1</v>
      </c>
      <c r="H1400" s="2">
        <v>5610</v>
      </c>
      <c r="I1400" s="2">
        <v>5</v>
      </c>
      <c r="J1400" s="2">
        <v>5329.5</v>
      </c>
      <c r="K1400" s="2" t="s">
        <v>72</v>
      </c>
      <c r="L1400" s="2" t="s">
        <v>84</v>
      </c>
      <c r="M1400" s="2" t="s">
        <v>253</v>
      </c>
    </row>
    <row r="1401" spans="1:13" x14ac:dyDescent="0.25">
      <c r="A1401" s="2" t="s">
        <v>2658</v>
      </c>
      <c r="B1401" s="2" t="s">
        <v>2211</v>
      </c>
      <c r="C1401" s="2" t="s">
        <v>32</v>
      </c>
      <c r="D1401" s="2" t="s">
        <v>33</v>
      </c>
      <c r="E1401" s="2" t="s">
        <v>231</v>
      </c>
      <c r="F1401" s="2" t="s">
        <v>143</v>
      </c>
      <c r="G1401" s="2">
        <v>11</v>
      </c>
      <c r="H1401" s="2">
        <v>1360</v>
      </c>
      <c r="I1401" s="2">
        <v>10</v>
      </c>
      <c r="J1401" s="2">
        <v>13464</v>
      </c>
      <c r="K1401" s="2" t="s">
        <v>157</v>
      </c>
      <c r="L1401" s="2" t="s">
        <v>811</v>
      </c>
      <c r="M1401" s="2" t="s">
        <v>128</v>
      </c>
    </row>
    <row r="1402" spans="1:13" x14ac:dyDescent="0.25">
      <c r="A1402" s="2" t="s">
        <v>2659</v>
      </c>
      <c r="B1402" s="2" t="s">
        <v>2660</v>
      </c>
      <c r="C1402" s="2" t="s">
        <v>204</v>
      </c>
      <c r="D1402" s="2" t="s">
        <v>33</v>
      </c>
      <c r="E1402" s="2" t="s">
        <v>111</v>
      </c>
      <c r="F1402" s="2" t="s">
        <v>232</v>
      </c>
      <c r="G1402" s="2" t="s">
        <v>136</v>
      </c>
      <c r="H1402" s="2">
        <v>13330</v>
      </c>
      <c r="I1402" s="2">
        <v>0</v>
      </c>
      <c r="J1402" s="2">
        <v>39990</v>
      </c>
      <c r="K1402" s="2" t="s">
        <v>157</v>
      </c>
      <c r="L1402" s="2" t="s">
        <v>311</v>
      </c>
      <c r="M1402" s="2" t="s">
        <v>201</v>
      </c>
    </row>
    <row r="1403" spans="1:13" x14ac:dyDescent="0.25">
      <c r="A1403" s="2" t="s">
        <v>2661</v>
      </c>
      <c r="B1403" s="2" t="s">
        <v>1278</v>
      </c>
      <c r="C1403" s="2" t="s">
        <v>213</v>
      </c>
      <c r="D1403" s="2" t="s">
        <v>58</v>
      </c>
      <c r="E1403" s="2" t="s">
        <v>82</v>
      </c>
      <c r="F1403" s="2" t="s">
        <v>60</v>
      </c>
      <c r="G1403" s="2">
        <v>2</v>
      </c>
      <c r="H1403" s="2">
        <v>65850</v>
      </c>
      <c r="I1403" s="2">
        <v>5</v>
      </c>
      <c r="J1403" s="2">
        <v>125115</v>
      </c>
      <c r="K1403" s="2" t="s">
        <v>53</v>
      </c>
      <c r="L1403" s="2" t="s">
        <v>173</v>
      </c>
      <c r="M1403" s="2" t="s">
        <v>128</v>
      </c>
    </row>
    <row r="1404" spans="1:13" x14ac:dyDescent="0.25">
      <c r="A1404" s="2" t="s">
        <v>2662</v>
      </c>
      <c r="B1404" s="2" t="s">
        <v>1005</v>
      </c>
      <c r="C1404" s="2" t="s">
        <v>118</v>
      </c>
      <c r="D1404" s="2" t="s">
        <v>51</v>
      </c>
      <c r="E1404" s="2" t="s">
        <v>92</v>
      </c>
      <c r="F1404" s="2" t="s">
        <v>93</v>
      </c>
      <c r="G1404" s="2">
        <v>8</v>
      </c>
      <c r="H1404" s="2">
        <v>530</v>
      </c>
      <c r="I1404" s="2">
        <v>0</v>
      </c>
      <c r="J1404" s="2">
        <v>4240</v>
      </c>
      <c r="K1404" s="2" t="s">
        <v>172</v>
      </c>
      <c r="L1404" s="2" t="s">
        <v>796</v>
      </c>
      <c r="M1404" s="2" t="s">
        <v>215</v>
      </c>
    </row>
    <row r="1405" spans="1:13" x14ac:dyDescent="0.25">
      <c r="A1405" s="2" t="s">
        <v>2663</v>
      </c>
      <c r="B1405" s="2" t="s">
        <v>1326</v>
      </c>
      <c r="C1405" s="2" t="s">
        <v>378</v>
      </c>
      <c r="D1405" s="2" t="s">
        <v>51</v>
      </c>
      <c r="E1405" s="2" t="s">
        <v>119</v>
      </c>
      <c r="F1405" s="2" t="s">
        <v>93</v>
      </c>
      <c r="G1405" s="2">
        <v>3</v>
      </c>
      <c r="H1405" s="2" t="s">
        <v>138</v>
      </c>
      <c r="I1405" s="2" t="s">
        <v>223</v>
      </c>
      <c r="J1405" s="2">
        <v>10746</v>
      </c>
      <c r="K1405" s="2"/>
      <c r="L1405" s="2" t="s">
        <v>249</v>
      </c>
      <c r="M1405" s="2" t="s">
        <v>29</v>
      </c>
    </row>
    <row r="1406" spans="1:13" x14ac:dyDescent="0.25">
      <c r="A1406" s="2" t="s">
        <v>2664</v>
      </c>
      <c r="B1406" s="2" t="s">
        <v>2665</v>
      </c>
      <c r="C1406" s="2" t="s">
        <v>32</v>
      </c>
      <c r="D1406" s="2" t="s">
        <v>33</v>
      </c>
      <c r="E1406" s="2" t="s">
        <v>82</v>
      </c>
      <c r="F1406" s="2" t="s">
        <v>435</v>
      </c>
      <c r="G1406" s="2">
        <v>9</v>
      </c>
      <c r="H1406" s="2">
        <v>1320</v>
      </c>
      <c r="I1406" s="2"/>
      <c r="J1406" s="2">
        <v>11880</v>
      </c>
      <c r="K1406" s="2" t="s">
        <v>102</v>
      </c>
      <c r="L1406" s="2" t="s">
        <v>344</v>
      </c>
      <c r="M1406" s="2" t="s">
        <v>29</v>
      </c>
    </row>
    <row r="1407" spans="1:13" x14ac:dyDescent="0.25">
      <c r="A1407" s="2" t="s">
        <v>2666</v>
      </c>
      <c r="B1407" s="2" t="s">
        <v>2667</v>
      </c>
      <c r="C1407" s="2" t="s">
        <v>110</v>
      </c>
      <c r="D1407" s="2" t="s">
        <v>33</v>
      </c>
      <c r="E1407" s="2" t="s">
        <v>65</v>
      </c>
      <c r="F1407" s="2" t="s">
        <v>219</v>
      </c>
      <c r="G1407" s="2">
        <v>6</v>
      </c>
      <c r="H1407" s="2">
        <v>560</v>
      </c>
      <c r="I1407" s="2">
        <v>0</v>
      </c>
      <c r="J1407" s="2">
        <v>3360</v>
      </c>
      <c r="K1407" s="2" t="s">
        <v>133</v>
      </c>
      <c r="L1407" s="2" t="s">
        <v>599</v>
      </c>
      <c r="M1407" s="2" t="s">
        <v>29</v>
      </c>
    </row>
    <row r="1408" spans="1:13" x14ac:dyDescent="0.25">
      <c r="A1408" s="2" t="s">
        <v>2668</v>
      </c>
      <c r="B1408" s="2" t="s">
        <v>1592</v>
      </c>
      <c r="C1408" s="2" t="s">
        <v>76</v>
      </c>
      <c r="D1408" s="2" t="s">
        <v>33</v>
      </c>
      <c r="E1408" s="2" t="s">
        <v>65</v>
      </c>
      <c r="F1408" s="2" t="s">
        <v>296</v>
      </c>
      <c r="G1408" s="2">
        <v>7</v>
      </c>
      <c r="H1408" s="2">
        <v>17490</v>
      </c>
      <c r="I1408" s="2">
        <v>5</v>
      </c>
      <c r="J1408" s="2"/>
      <c r="K1408" s="2" t="s">
        <v>53</v>
      </c>
      <c r="L1408" s="2" t="s">
        <v>1007</v>
      </c>
      <c r="M1408" s="2" t="s">
        <v>253</v>
      </c>
    </row>
    <row r="1409" spans="1:13" x14ac:dyDescent="0.25">
      <c r="A1409" s="2" t="s">
        <v>2669</v>
      </c>
      <c r="B1409" s="2" t="s">
        <v>2670</v>
      </c>
      <c r="C1409" s="2" t="s">
        <v>400</v>
      </c>
      <c r="D1409" s="2" t="s">
        <v>33</v>
      </c>
      <c r="E1409" s="2" t="s">
        <v>65</v>
      </c>
      <c r="F1409" s="2" t="s">
        <v>219</v>
      </c>
      <c r="G1409" s="2">
        <v>0</v>
      </c>
      <c r="H1409" s="2">
        <v>70830</v>
      </c>
      <c r="I1409" s="2">
        <v>0</v>
      </c>
      <c r="J1409" s="2">
        <v>495810</v>
      </c>
      <c r="K1409" s="2" t="s">
        <v>36</v>
      </c>
      <c r="L1409" s="2" t="s">
        <v>1027</v>
      </c>
      <c r="M1409" s="2" t="s">
        <v>47</v>
      </c>
    </row>
    <row r="1410" spans="1:13" x14ac:dyDescent="0.25">
      <c r="A1410" s="2" t="s">
        <v>2671</v>
      </c>
      <c r="B1410" s="2" t="s">
        <v>545</v>
      </c>
      <c r="C1410" s="2" t="s">
        <v>15</v>
      </c>
      <c r="D1410" s="2" t="s">
        <v>16</v>
      </c>
      <c r="E1410" s="2" t="s">
        <v>179</v>
      </c>
      <c r="F1410" s="2" t="s">
        <v>143</v>
      </c>
      <c r="G1410" s="2">
        <v>3</v>
      </c>
      <c r="H1410" s="2">
        <v>2630</v>
      </c>
      <c r="I1410" s="2">
        <v>0</v>
      </c>
      <c r="J1410" s="2">
        <v>7890</v>
      </c>
      <c r="K1410" s="2" t="s">
        <v>205</v>
      </c>
      <c r="L1410" s="2" t="s">
        <v>344</v>
      </c>
      <c r="M1410" s="2" t="s">
        <v>47</v>
      </c>
    </row>
    <row r="1411" spans="1:13" x14ac:dyDescent="0.25">
      <c r="A1411" s="2" t="s">
        <v>2672</v>
      </c>
      <c r="B1411" s="2" t="s">
        <v>986</v>
      </c>
      <c r="C1411" s="2" t="s">
        <v>227</v>
      </c>
      <c r="D1411" s="2" t="s">
        <v>33</v>
      </c>
      <c r="E1411" s="2" t="s">
        <v>52</v>
      </c>
      <c r="F1411" s="2" t="s">
        <v>106</v>
      </c>
      <c r="G1411" s="2">
        <v>9</v>
      </c>
      <c r="H1411" s="2">
        <v>530</v>
      </c>
      <c r="I1411" s="2">
        <v>0</v>
      </c>
      <c r="J1411" s="2">
        <v>4770</v>
      </c>
      <c r="K1411" s="2" t="s">
        <v>94</v>
      </c>
      <c r="L1411" s="2" t="s">
        <v>206</v>
      </c>
      <c r="M1411" s="2" t="s">
        <v>140</v>
      </c>
    </row>
    <row r="1412" spans="1:13" x14ac:dyDescent="0.25">
      <c r="A1412" s="2" t="s">
        <v>2673</v>
      </c>
      <c r="B1412" s="2" t="s">
        <v>2674</v>
      </c>
      <c r="C1412" s="2" t="s">
        <v>156</v>
      </c>
      <c r="D1412" s="2" t="s">
        <v>138</v>
      </c>
      <c r="E1412" s="2" t="s">
        <v>52</v>
      </c>
      <c r="F1412" s="2" t="s">
        <v>332</v>
      </c>
      <c r="G1412" s="2" t="s">
        <v>107</v>
      </c>
      <c r="H1412" s="2">
        <v>-2250</v>
      </c>
      <c r="I1412" s="2">
        <v>5</v>
      </c>
      <c r="J1412" s="2">
        <v>6412.5</v>
      </c>
      <c r="K1412" s="2" t="s">
        <v>133</v>
      </c>
      <c r="L1412" s="2" t="s">
        <v>145</v>
      </c>
      <c r="M1412" s="2" t="s">
        <v>38</v>
      </c>
    </row>
    <row r="1413" spans="1:13" x14ac:dyDescent="0.25">
      <c r="A1413" s="2" t="s">
        <v>2675</v>
      </c>
      <c r="B1413" s="2" t="s">
        <v>2676</v>
      </c>
      <c r="C1413" s="2" t="s">
        <v>32</v>
      </c>
      <c r="D1413" s="2" t="s">
        <v>33</v>
      </c>
      <c r="E1413" s="2" t="s">
        <v>100</v>
      </c>
      <c r="F1413" s="2" t="s">
        <v>66</v>
      </c>
      <c r="G1413" s="2">
        <v>11</v>
      </c>
      <c r="H1413" s="2">
        <v>570</v>
      </c>
      <c r="I1413" s="2">
        <v>0</v>
      </c>
      <c r="J1413" s="2">
        <v>6270</v>
      </c>
      <c r="K1413" s="2" t="s">
        <v>36</v>
      </c>
      <c r="L1413" s="2" t="s">
        <v>214</v>
      </c>
      <c r="M1413" s="2" t="s">
        <v>47</v>
      </c>
    </row>
    <row r="1414" spans="1:13" x14ac:dyDescent="0.25">
      <c r="A1414" s="2" t="s">
        <v>2677</v>
      </c>
      <c r="B1414" s="2" t="s">
        <v>1646</v>
      </c>
      <c r="C1414" s="2" t="s">
        <v>135</v>
      </c>
      <c r="D1414" s="2" t="s">
        <v>58</v>
      </c>
      <c r="E1414" s="2" t="s">
        <v>100</v>
      </c>
      <c r="F1414" s="2" t="s">
        <v>319</v>
      </c>
      <c r="G1414" s="2">
        <v>10</v>
      </c>
      <c r="H1414" s="2">
        <v>17880</v>
      </c>
      <c r="I1414" s="2">
        <v>0</v>
      </c>
      <c r="J1414" s="2">
        <v>178800</v>
      </c>
      <c r="K1414" s="2" t="s">
        <v>19</v>
      </c>
      <c r="L1414" s="2" t="s">
        <v>168</v>
      </c>
      <c r="M1414" s="2" t="s">
        <v>21</v>
      </c>
    </row>
    <row r="1415" spans="1:13" x14ac:dyDescent="0.25">
      <c r="A1415" s="2" t="s">
        <v>2678</v>
      </c>
      <c r="B1415" s="2" t="s">
        <v>1876</v>
      </c>
      <c r="C1415" s="2" t="s">
        <v>557</v>
      </c>
      <c r="D1415" s="2" t="s">
        <v>16</v>
      </c>
      <c r="E1415" s="2" t="s">
        <v>92</v>
      </c>
      <c r="F1415" s="2" t="s">
        <v>44</v>
      </c>
      <c r="G1415" s="2">
        <v>10</v>
      </c>
      <c r="H1415" s="2">
        <v>3410</v>
      </c>
      <c r="I1415" s="2">
        <v>15</v>
      </c>
      <c r="J1415" s="2"/>
      <c r="K1415" s="2" t="s">
        <v>120</v>
      </c>
      <c r="L1415" s="2" t="s">
        <v>341</v>
      </c>
      <c r="M1415" s="2" t="s">
        <v>47</v>
      </c>
    </row>
    <row r="1416" spans="1:13" x14ac:dyDescent="0.25">
      <c r="A1416" s="2" t="s">
        <v>2679</v>
      </c>
      <c r="B1416" s="2" t="s">
        <v>23</v>
      </c>
      <c r="C1416" s="2" t="s">
        <v>156</v>
      </c>
      <c r="D1416" s="2" t="s">
        <v>51</v>
      </c>
      <c r="E1416" s="2" t="s">
        <v>82</v>
      </c>
      <c r="F1416" s="2" t="s">
        <v>83</v>
      </c>
      <c r="G1416" s="2">
        <v>3</v>
      </c>
      <c r="H1416" s="2">
        <v>17660</v>
      </c>
      <c r="I1416" s="2">
        <v>15</v>
      </c>
      <c r="J1416" s="2">
        <v>45033</v>
      </c>
      <c r="K1416" s="2" t="s">
        <v>120</v>
      </c>
      <c r="L1416" s="2" t="s">
        <v>37</v>
      </c>
      <c r="M1416" s="2" t="s">
        <v>29</v>
      </c>
    </row>
    <row r="1417" spans="1:13" x14ac:dyDescent="0.25">
      <c r="A1417" s="2" t="s">
        <v>2680</v>
      </c>
      <c r="B1417" s="2" t="s">
        <v>2681</v>
      </c>
      <c r="C1417" s="2" t="s">
        <v>238</v>
      </c>
      <c r="D1417" s="2" t="s">
        <v>51</v>
      </c>
      <c r="E1417" s="2" t="s">
        <v>34</v>
      </c>
      <c r="F1417" s="2" t="s">
        <v>71</v>
      </c>
      <c r="G1417" s="2">
        <v>3</v>
      </c>
      <c r="H1417" s="2">
        <v>9000</v>
      </c>
      <c r="I1417" s="2">
        <v>0</v>
      </c>
      <c r="J1417" s="2">
        <v>27000</v>
      </c>
      <c r="K1417" s="2" t="s">
        <v>205</v>
      </c>
      <c r="L1417" s="2" t="s">
        <v>188</v>
      </c>
      <c r="M1417" s="2" t="s">
        <v>140</v>
      </c>
    </row>
    <row r="1418" spans="1:13" x14ac:dyDescent="0.25">
      <c r="A1418" s="2" t="s">
        <v>2682</v>
      </c>
      <c r="B1418" s="2" t="s">
        <v>2683</v>
      </c>
      <c r="C1418" s="2" t="s">
        <v>557</v>
      </c>
      <c r="D1418" s="2" t="s">
        <v>16</v>
      </c>
      <c r="E1418" s="2" t="s">
        <v>43</v>
      </c>
      <c r="F1418" s="2" t="s">
        <v>26</v>
      </c>
      <c r="G1418" s="2">
        <v>8</v>
      </c>
      <c r="H1418" s="2"/>
      <c r="I1418" s="2">
        <v>0</v>
      </c>
      <c r="J1418" s="2">
        <v>484640</v>
      </c>
      <c r="K1418" s="2" t="s">
        <v>157</v>
      </c>
      <c r="L1418" s="2" t="s">
        <v>173</v>
      </c>
      <c r="M1418" s="2" t="s">
        <v>38</v>
      </c>
    </row>
    <row r="1419" spans="1:13" x14ac:dyDescent="0.25">
      <c r="A1419" s="2" t="s">
        <v>2684</v>
      </c>
      <c r="B1419" s="2" t="s">
        <v>475</v>
      </c>
      <c r="C1419" s="2" t="s">
        <v>162</v>
      </c>
      <c r="D1419" s="2" t="s">
        <v>33</v>
      </c>
      <c r="E1419" s="2" t="s">
        <v>92</v>
      </c>
      <c r="F1419" s="2" t="s">
        <v>26</v>
      </c>
      <c r="G1419" s="2">
        <v>11</v>
      </c>
      <c r="H1419" s="2">
        <v>1260</v>
      </c>
      <c r="I1419" s="2">
        <v>5</v>
      </c>
      <c r="J1419" s="2">
        <v>13167</v>
      </c>
      <c r="K1419" s="2" t="s">
        <v>53</v>
      </c>
      <c r="L1419" s="2" t="s">
        <v>168</v>
      </c>
      <c r="M1419" s="2" t="s">
        <v>47</v>
      </c>
    </row>
    <row r="1420" spans="1:13" x14ac:dyDescent="0.25">
      <c r="A1420" s="2" t="s">
        <v>2685</v>
      </c>
      <c r="B1420" s="2" t="s">
        <v>2156</v>
      </c>
      <c r="C1420" s="2" t="s">
        <v>76</v>
      </c>
      <c r="D1420" s="2" t="s">
        <v>33</v>
      </c>
      <c r="E1420" s="2" t="s">
        <v>131</v>
      </c>
      <c r="F1420" s="2" t="s">
        <v>219</v>
      </c>
      <c r="G1420" s="2">
        <v>9</v>
      </c>
      <c r="H1420" s="2">
        <v>27550</v>
      </c>
      <c r="I1420" s="2">
        <v>0</v>
      </c>
      <c r="J1420" s="2">
        <v>247950</v>
      </c>
      <c r="K1420" s="2" t="s">
        <v>72</v>
      </c>
      <c r="L1420" s="2" t="s">
        <v>249</v>
      </c>
      <c r="M1420" s="2" t="s">
        <v>47</v>
      </c>
    </row>
    <row r="1421" spans="1:13" x14ac:dyDescent="0.25">
      <c r="A1421" s="2" t="s">
        <v>2686</v>
      </c>
      <c r="B1421" s="2" t="s">
        <v>2687</v>
      </c>
      <c r="C1421" s="2" t="s">
        <v>227</v>
      </c>
      <c r="D1421" s="2" t="s">
        <v>33</v>
      </c>
      <c r="E1421" s="2" t="s">
        <v>137</v>
      </c>
      <c r="F1421" s="2" t="s">
        <v>164</v>
      </c>
      <c r="G1421" s="2"/>
      <c r="H1421" s="2">
        <v>9060</v>
      </c>
      <c r="I1421" s="2">
        <v>0</v>
      </c>
      <c r="J1421" s="2">
        <v>90600</v>
      </c>
      <c r="K1421" s="2" t="s">
        <v>172</v>
      </c>
      <c r="L1421" s="2" t="s">
        <v>228</v>
      </c>
      <c r="M1421" s="2" t="s">
        <v>29</v>
      </c>
    </row>
    <row r="1422" spans="1:13" x14ac:dyDescent="0.25">
      <c r="A1422" s="2" t="s">
        <v>2688</v>
      </c>
      <c r="B1422" s="2" t="s">
        <v>1292</v>
      </c>
      <c r="C1422" s="2" t="s">
        <v>213</v>
      </c>
      <c r="D1422" s="2" t="s">
        <v>58</v>
      </c>
      <c r="E1422" s="2" t="s">
        <v>148</v>
      </c>
      <c r="F1422" s="2" t="s">
        <v>149</v>
      </c>
      <c r="G1422" s="2">
        <v>8</v>
      </c>
      <c r="H1422" s="2">
        <v>8210</v>
      </c>
      <c r="I1422" s="2">
        <v>0</v>
      </c>
      <c r="J1422" s="2">
        <v>65680</v>
      </c>
      <c r="K1422" s="2" t="s">
        <v>120</v>
      </c>
      <c r="L1422" s="2" t="s">
        <v>584</v>
      </c>
      <c r="M1422" s="2" t="s">
        <v>501</v>
      </c>
    </row>
    <row r="1423" spans="1:13" x14ac:dyDescent="0.25">
      <c r="A1423" s="2" t="s">
        <v>2689</v>
      </c>
      <c r="B1423" s="2" t="s">
        <v>2470</v>
      </c>
      <c r="C1423" s="2" t="s">
        <v>452</v>
      </c>
      <c r="D1423" s="2"/>
      <c r="E1423" s="2" t="s">
        <v>284</v>
      </c>
      <c r="F1423" s="2" t="s">
        <v>60</v>
      </c>
      <c r="G1423" s="2">
        <v>2</v>
      </c>
      <c r="H1423" s="2">
        <v>2820</v>
      </c>
      <c r="I1423" s="2">
        <v>0</v>
      </c>
      <c r="J1423" s="2">
        <v>5640</v>
      </c>
      <c r="K1423" s="2" t="s">
        <v>223</v>
      </c>
      <c r="L1423" s="2" t="s">
        <v>168</v>
      </c>
      <c r="M1423" s="2" t="s">
        <v>38</v>
      </c>
    </row>
    <row r="1424" spans="1:13" x14ac:dyDescent="0.25">
      <c r="A1424" s="2" t="s">
        <v>2690</v>
      </c>
      <c r="B1424" s="2" t="s">
        <v>2691</v>
      </c>
      <c r="C1424" s="2" t="s">
        <v>24</v>
      </c>
      <c r="D1424" s="2" t="s">
        <v>16</v>
      </c>
      <c r="E1424" s="2" t="s">
        <v>52</v>
      </c>
      <c r="F1424" s="2" t="s">
        <v>332</v>
      </c>
      <c r="G1424" s="2">
        <v>7</v>
      </c>
      <c r="H1424" s="2">
        <v>65990</v>
      </c>
      <c r="I1424" s="2">
        <v>0</v>
      </c>
      <c r="J1424" s="2">
        <v>461930</v>
      </c>
      <c r="K1424" s="2" t="s">
        <v>45</v>
      </c>
      <c r="L1424" s="2" t="s">
        <v>20</v>
      </c>
      <c r="M1424" s="2" t="s">
        <v>29</v>
      </c>
    </row>
    <row r="1425" spans="1:13" x14ac:dyDescent="0.25">
      <c r="A1425" s="2" t="s">
        <v>2692</v>
      </c>
      <c r="B1425" s="2" t="s">
        <v>2693</v>
      </c>
      <c r="C1425" s="2" t="s">
        <v>400</v>
      </c>
      <c r="D1425" s="2" t="s">
        <v>33</v>
      </c>
      <c r="E1425" s="2" t="s">
        <v>231</v>
      </c>
      <c r="F1425" s="2" t="s">
        <v>78</v>
      </c>
      <c r="G1425" s="2">
        <v>8</v>
      </c>
      <c r="H1425" s="2">
        <v>520</v>
      </c>
      <c r="I1425" s="2">
        <v>0</v>
      </c>
      <c r="J1425" s="2">
        <v>4160</v>
      </c>
      <c r="K1425" s="2" t="s">
        <v>144</v>
      </c>
      <c r="L1425" s="2" t="s">
        <v>168</v>
      </c>
      <c r="M1425" s="2" t="s">
        <v>21</v>
      </c>
    </row>
    <row r="1426" spans="1:13" x14ac:dyDescent="0.25">
      <c r="A1426" s="2" t="s">
        <v>2694</v>
      </c>
      <c r="B1426" s="2" t="s">
        <v>1368</v>
      </c>
      <c r="C1426" s="2" t="s">
        <v>416</v>
      </c>
      <c r="D1426" s="2" t="s">
        <v>33</v>
      </c>
      <c r="E1426" s="2" t="s">
        <v>111</v>
      </c>
      <c r="F1426" s="2" t="s">
        <v>232</v>
      </c>
      <c r="G1426" s="2"/>
      <c r="H1426" s="2">
        <v>24640</v>
      </c>
      <c r="I1426" s="2"/>
      <c r="J1426" s="2">
        <v>147840</v>
      </c>
      <c r="K1426" s="2" t="s">
        <v>67</v>
      </c>
      <c r="L1426" s="2" t="s">
        <v>228</v>
      </c>
      <c r="M1426" s="2" t="s">
        <v>47</v>
      </c>
    </row>
    <row r="1427" spans="1:13" x14ac:dyDescent="0.25">
      <c r="A1427" s="2" t="s">
        <v>2695</v>
      </c>
      <c r="B1427" s="2" t="s">
        <v>2696</v>
      </c>
      <c r="C1427" s="2" t="s">
        <v>32</v>
      </c>
      <c r="D1427" s="2" t="s">
        <v>33</v>
      </c>
      <c r="E1427" s="2" t="s">
        <v>152</v>
      </c>
      <c r="F1427" s="2" t="s">
        <v>66</v>
      </c>
      <c r="G1427" s="2">
        <v>8</v>
      </c>
      <c r="H1427" s="2">
        <v>51010</v>
      </c>
      <c r="I1427" s="2">
        <v>0</v>
      </c>
      <c r="J1427" s="2">
        <v>408080</v>
      </c>
      <c r="K1427" s="2" t="s">
        <v>67</v>
      </c>
      <c r="L1427" s="2" t="s">
        <v>173</v>
      </c>
      <c r="M1427" s="2" t="s">
        <v>29</v>
      </c>
    </row>
    <row r="1428" spans="1:13" x14ac:dyDescent="0.25">
      <c r="A1428" s="2" t="s">
        <v>2697</v>
      </c>
      <c r="B1428" s="2" t="s">
        <v>1439</v>
      </c>
      <c r="C1428" s="2" t="s">
        <v>110</v>
      </c>
      <c r="D1428" s="2" t="s">
        <v>33</v>
      </c>
      <c r="E1428" s="2" t="s">
        <v>82</v>
      </c>
      <c r="F1428" s="2" t="s">
        <v>379</v>
      </c>
      <c r="G1428" s="2">
        <v>11</v>
      </c>
      <c r="H1428" s="2">
        <v>5200</v>
      </c>
      <c r="I1428" s="2" t="s">
        <v>223</v>
      </c>
      <c r="J1428" s="2" t="s">
        <v>107</v>
      </c>
      <c r="K1428" s="2" t="s">
        <v>139</v>
      </c>
      <c r="L1428" s="2" t="s">
        <v>584</v>
      </c>
      <c r="M1428" s="2" t="s">
        <v>47</v>
      </c>
    </row>
    <row r="1429" spans="1:13" x14ac:dyDescent="0.25">
      <c r="A1429" s="2" t="s">
        <v>2698</v>
      </c>
      <c r="B1429" s="2" t="s">
        <v>2699</v>
      </c>
      <c r="C1429" s="2" t="s">
        <v>1462</v>
      </c>
      <c r="D1429" s="2" t="s">
        <v>58</v>
      </c>
      <c r="E1429" s="2" t="s">
        <v>295</v>
      </c>
      <c r="F1429" s="2" t="s">
        <v>126</v>
      </c>
      <c r="G1429" s="2">
        <v>10</v>
      </c>
      <c r="H1429" s="2">
        <v>25870</v>
      </c>
      <c r="I1429" s="2">
        <v>10</v>
      </c>
      <c r="J1429" s="2">
        <v>232830</v>
      </c>
      <c r="K1429" s="2" t="s">
        <v>94</v>
      </c>
      <c r="L1429" s="2" t="s">
        <v>88</v>
      </c>
      <c r="M1429" s="2" t="s">
        <v>291</v>
      </c>
    </row>
    <row r="1430" spans="1:13" x14ac:dyDescent="0.25">
      <c r="A1430" s="2" t="s">
        <v>2700</v>
      </c>
      <c r="B1430" s="2" t="s">
        <v>2701</v>
      </c>
      <c r="C1430" s="2" t="s">
        <v>490</v>
      </c>
      <c r="D1430" s="2" t="s">
        <v>33</v>
      </c>
      <c r="E1430" s="2" t="s">
        <v>148</v>
      </c>
      <c r="F1430" s="2" t="s">
        <v>167</v>
      </c>
      <c r="G1430" s="2">
        <v>6</v>
      </c>
      <c r="H1430" s="2">
        <v>1100</v>
      </c>
      <c r="I1430" s="2">
        <v>5</v>
      </c>
      <c r="J1430" s="2">
        <v>6270</v>
      </c>
      <c r="K1430" s="2" t="s">
        <v>94</v>
      </c>
      <c r="L1430" s="2" t="s">
        <v>387</v>
      </c>
      <c r="M1430" s="2" t="s">
        <v>21</v>
      </c>
    </row>
    <row r="1431" spans="1:13" x14ac:dyDescent="0.25">
      <c r="A1431" s="2" t="s">
        <v>2702</v>
      </c>
      <c r="B1431" s="2" t="s">
        <v>1005</v>
      </c>
      <c r="C1431" s="2" t="s">
        <v>156</v>
      </c>
      <c r="D1431" s="2" t="s">
        <v>51</v>
      </c>
      <c r="E1431" s="2" t="s">
        <v>92</v>
      </c>
      <c r="F1431" s="2" t="s">
        <v>106</v>
      </c>
      <c r="G1431" s="2">
        <v>1</v>
      </c>
      <c r="H1431" s="2">
        <v>8490</v>
      </c>
      <c r="I1431" s="2">
        <v>0</v>
      </c>
      <c r="J1431" s="2">
        <v>8490</v>
      </c>
      <c r="K1431" s="2" t="s">
        <v>87</v>
      </c>
      <c r="L1431" s="2" t="s">
        <v>88</v>
      </c>
      <c r="M1431" s="2" t="s">
        <v>47</v>
      </c>
    </row>
    <row r="1432" spans="1:13" x14ac:dyDescent="0.25">
      <c r="A1432" s="2" t="s">
        <v>2703</v>
      </c>
      <c r="B1432" s="2" t="s">
        <v>500</v>
      </c>
      <c r="C1432" s="2" t="s">
        <v>15</v>
      </c>
      <c r="D1432" s="2" t="s">
        <v>16</v>
      </c>
      <c r="E1432" s="2" t="s">
        <v>111</v>
      </c>
      <c r="F1432" s="2" t="s">
        <v>543</v>
      </c>
      <c r="G1432" s="2">
        <v>4</v>
      </c>
      <c r="H1432" s="2">
        <v>1090</v>
      </c>
      <c r="I1432" s="2">
        <v>0</v>
      </c>
      <c r="J1432" s="2">
        <v>4360</v>
      </c>
      <c r="K1432" s="2" t="s">
        <v>172</v>
      </c>
      <c r="L1432" s="2" t="s">
        <v>176</v>
      </c>
      <c r="M1432" s="2" t="s">
        <v>47</v>
      </c>
    </row>
    <row r="1433" spans="1:13" x14ac:dyDescent="0.25">
      <c r="A1433" s="2" t="s">
        <v>2704</v>
      </c>
      <c r="B1433" s="2" t="s">
        <v>1969</v>
      </c>
      <c r="C1433" s="2" t="s">
        <v>579</v>
      </c>
      <c r="D1433" s="2" t="s">
        <v>58</v>
      </c>
      <c r="E1433" s="2" t="s">
        <v>59</v>
      </c>
      <c r="F1433" s="2" t="s">
        <v>379</v>
      </c>
      <c r="G1433" s="2">
        <v>3</v>
      </c>
      <c r="H1433" s="2">
        <v>11860</v>
      </c>
      <c r="I1433" s="2">
        <v>10</v>
      </c>
      <c r="J1433" s="2">
        <v>32022</v>
      </c>
      <c r="K1433" s="2" t="s">
        <v>19</v>
      </c>
      <c r="L1433" s="2" t="s">
        <v>176</v>
      </c>
      <c r="M1433" s="2" t="s">
        <v>47</v>
      </c>
    </row>
    <row r="1434" spans="1:13" x14ac:dyDescent="0.25">
      <c r="A1434" s="2" t="s">
        <v>2705</v>
      </c>
      <c r="B1434" s="2" t="s">
        <v>2706</v>
      </c>
      <c r="C1434" s="2" t="s">
        <v>135</v>
      </c>
      <c r="D1434" s="2" t="s">
        <v>58</v>
      </c>
      <c r="E1434" s="2" t="s">
        <v>52</v>
      </c>
      <c r="F1434" s="2" t="s">
        <v>255</v>
      </c>
      <c r="G1434" s="2" t="s">
        <v>138</v>
      </c>
      <c r="H1434" s="2">
        <v>520</v>
      </c>
      <c r="I1434" s="2" t="s">
        <v>223</v>
      </c>
      <c r="J1434" s="2">
        <v>4680</v>
      </c>
      <c r="K1434" s="2" t="s">
        <v>19</v>
      </c>
      <c r="L1434" s="2" t="s">
        <v>152</v>
      </c>
      <c r="M1434" s="2" t="s">
        <v>107</v>
      </c>
    </row>
    <row r="1435" spans="1:13" x14ac:dyDescent="0.25">
      <c r="A1435" s="2" t="s">
        <v>2707</v>
      </c>
      <c r="B1435" s="2" t="s">
        <v>489</v>
      </c>
      <c r="C1435" s="2" t="s">
        <v>57</v>
      </c>
      <c r="D1435" s="2" t="s">
        <v>58</v>
      </c>
      <c r="E1435" s="2" t="s">
        <v>77</v>
      </c>
      <c r="F1435" s="2" t="s">
        <v>239</v>
      </c>
      <c r="G1435" s="2">
        <v>10</v>
      </c>
      <c r="H1435" s="2">
        <v>3440</v>
      </c>
      <c r="I1435" s="2">
        <v>0</v>
      </c>
      <c r="J1435" s="2">
        <v>34400</v>
      </c>
      <c r="K1435" s="2"/>
      <c r="L1435" s="2" t="s">
        <v>743</v>
      </c>
      <c r="M1435" s="2" t="s">
        <v>47</v>
      </c>
    </row>
    <row r="1436" spans="1:13" x14ac:dyDescent="0.25">
      <c r="A1436" s="2" t="s">
        <v>2708</v>
      </c>
      <c r="B1436" s="2" t="s">
        <v>2590</v>
      </c>
      <c r="C1436" s="2" t="s">
        <v>24</v>
      </c>
      <c r="D1436" s="2" t="s">
        <v>16</v>
      </c>
      <c r="E1436" s="2" t="s">
        <v>77</v>
      </c>
      <c r="F1436" s="2" t="s">
        <v>224</v>
      </c>
      <c r="G1436" s="2">
        <v>5</v>
      </c>
      <c r="H1436" s="2">
        <v>10920</v>
      </c>
      <c r="I1436" s="2">
        <v>0</v>
      </c>
      <c r="J1436" s="2">
        <v>54600</v>
      </c>
      <c r="K1436" s="2" t="s">
        <v>36</v>
      </c>
      <c r="L1436" s="2" t="s">
        <v>341</v>
      </c>
      <c r="M1436" s="2" t="s">
        <v>21</v>
      </c>
    </row>
    <row r="1437" spans="1:13" x14ac:dyDescent="0.25">
      <c r="A1437" s="2" t="s">
        <v>2709</v>
      </c>
      <c r="B1437" s="2" t="s">
        <v>2710</v>
      </c>
      <c r="C1437" s="2" t="s">
        <v>138</v>
      </c>
      <c r="D1437" s="2" t="s">
        <v>51</v>
      </c>
      <c r="E1437" s="2" t="s">
        <v>77</v>
      </c>
      <c r="F1437" s="2" t="s">
        <v>180</v>
      </c>
      <c r="G1437" s="2">
        <v>5</v>
      </c>
      <c r="H1437" s="2">
        <v>2270</v>
      </c>
      <c r="I1437" s="2">
        <v>15</v>
      </c>
      <c r="J1437" s="2">
        <v>9647.5</v>
      </c>
      <c r="K1437" s="2" t="s">
        <v>102</v>
      </c>
      <c r="L1437" s="2" t="s">
        <v>200</v>
      </c>
      <c r="M1437" s="2" t="s">
        <v>128</v>
      </c>
    </row>
    <row r="1438" spans="1:13" x14ac:dyDescent="0.25">
      <c r="A1438" s="2" t="s">
        <v>2711</v>
      </c>
      <c r="B1438" s="2" t="s">
        <v>2712</v>
      </c>
      <c r="C1438" s="2" t="s">
        <v>110</v>
      </c>
      <c r="D1438" s="2" t="s">
        <v>138</v>
      </c>
      <c r="E1438" s="2" t="s">
        <v>284</v>
      </c>
      <c r="F1438" s="2" t="s">
        <v>435</v>
      </c>
      <c r="G1438" s="2">
        <v>4</v>
      </c>
      <c r="H1438" s="2"/>
      <c r="I1438" s="2">
        <v>0</v>
      </c>
      <c r="J1438" s="2">
        <v>53360</v>
      </c>
      <c r="K1438" s="2" t="s">
        <v>120</v>
      </c>
      <c r="L1438" s="2" t="s">
        <v>173</v>
      </c>
      <c r="M1438" s="2" t="s">
        <v>291</v>
      </c>
    </row>
    <row r="1439" spans="1:13" x14ac:dyDescent="0.25">
      <c r="A1439" s="2" t="s">
        <v>2713</v>
      </c>
      <c r="B1439" s="2" t="s">
        <v>1954</v>
      </c>
      <c r="C1439" s="2" t="s">
        <v>156</v>
      </c>
      <c r="D1439" s="2" t="s">
        <v>51</v>
      </c>
      <c r="E1439" s="2" t="s">
        <v>163</v>
      </c>
      <c r="F1439" s="2" t="s">
        <v>374</v>
      </c>
      <c r="G1439" s="2" t="s">
        <v>223</v>
      </c>
      <c r="H1439" s="2">
        <v>7840</v>
      </c>
      <c r="I1439" s="2">
        <v>0</v>
      </c>
      <c r="J1439" s="2">
        <v>94080</v>
      </c>
      <c r="K1439" s="2" t="s">
        <v>94</v>
      </c>
      <c r="L1439" s="2" t="s">
        <v>73</v>
      </c>
      <c r="M1439" s="2" t="s">
        <v>21</v>
      </c>
    </row>
    <row r="1440" spans="1:13" x14ac:dyDescent="0.25">
      <c r="A1440" s="2" t="s">
        <v>2714</v>
      </c>
      <c r="B1440" s="2" t="s">
        <v>2715</v>
      </c>
      <c r="C1440" s="2" t="s">
        <v>135</v>
      </c>
      <c r="D1440" s="2" t="s">
        <v>58</v>
      </c>
      <c r="E1440" s="2" t="s">
        <v>17</v>
      </c>
      <c r="F1440" s="2" t="s">
        <v>171</v>
      </c>
      <c r="G1440" s="2">
        <v>7</v>
      </c>
      <c r="H1440" s="2">
        <v>13460</v>
      </c>
      <c r="I1440" s="2"/>
      <c r="J1440" s="2">
        <v>94220</v>
      </c>
      <c r="K1440" s="2" t="s">
        <v>94</v>
      </c>
      <c r="L1440" s="2" t="s">
        <v>883</v>
      </c>
      <c r="M1440" s="2" t="s">
        <v>215</v>
      </c>
    </row>
    <row r="1441" spans="1:13" x14ac:dyDescent="0.25">
      <c r="A1441" s="2" t="s">
        <v>2716</v>
      </c>
      <c r="B1441" s="2" t="s">
        <v>2617</v>
      </c>
      <c r="C1441" s="2" t="s">
        <v>76</v>
      </c>
      <c r="D1441" s="2" t="s">
        <v>33</v>
      </c>
      <c r="E1441" s="2" t="s">
        <v>131</v>
      </c>
      <c r="F1441" s="2" t="s">
        <v>219</v>
      </c>
      <c r="G1441" s="2">
        <v>7</v>
      </c>
      <c r="H1441" s="2">
        <v>49430</v>
      </c>
      <c r="I1441" s="2">
        <v>5</v>
      </c>
      <c r="J1441" s="2">
        <v>328709.5</v>
      </c>
      <c r="K1441" s="2" t="s">
        <v>45</v>
      </c>
      <c r="L1441" s="2" t="s">
        <v>79</v>
      </c>
      <c r="M1441" s="2" t="s">
        <v>21</v>
      </c>
    </row>
    <row r="1442" spans="1:13" x14ac:dyDescent="0.25">
      <c r="A1442" s="2" t="s">
        <v>2717</v>
      </c>
      <c r="B1442" s="2" t="s">
        <v>2718</v>
      </c>
      <c r="C1442" s="2" t="s">
        <v>135</v>
      </c>
      <c r="D1442" s="2" t="s">
        <v>136</v>
      </c>
      <c r="E1442" s="2" t="s">
        <v>100</v>
      </c>
      <c r="F1442" s="2" t="s">
        <v>314</v>
      </c>
      <c r="G1442" s="2">
        <v>12</v>
      </c>
      <c r="H1442" s="2">
        <v>2860</v>
      </c>
      <c r="I1442" s="2">
        <v>0</v>
      </c>
      <c r="J1442" s="2">
        <v>34320</v>
      </c>
      <c r="K1442" s="2" t="s">
        <v>19</v>
      </c>
      <c r="L1442" s="2" t="s">
        <v>54</v>
      </c>
      <c r="M1442" s="2" t="s">
        <v>253</v>
      </c>
    </row>
    <row r="1443" spans="1:13" x14ac:dyDescent="0.25">
      <c r="A1443" s="2" t="s">
        <v>2719</v>
      </c>
      <c r="B1443" s="2" t="s">
        <v>2720</v>
      </c>
      <c r="C1443" s="2" t="s">
        <v>227</v>
      </c>
      <c r="D1443" s="2" t="s">
        <v>33</v>
      </c>
      <c r="E1443" s="2" t="s">
        <v>52</v>
      </c>
      <c r="F1443" s="2" t="s">
        <v>44</v>
      </c>
      <c r="G1443" s="2">
        <v>7</v>
      </c>
      <c r="H1443" s="2">
        <v>18140</v>
      </c>
      <c r="I1443" s="2">
        <v>5</v>
      </c>
      <c r="J1443" s="2">
        <v>120631</v>
      </c>
      <c r="K1443" s="2" t="s">
        <v>45</v>
      </c>
      <c r="L1443" s="2" t="s">
        <v>274</v>
      </c>
      <c r="M1443" s="2" t="s">
        <v>21</v>
      </c>
    </row>
    <row r="1444" spans="1:13" x14ac:dyDescent="0.25">
      <c r="A1444" s="2" t="s">
        <v>2721</v>
      </c>
      <c r="B1444" s="2" t="s">
        <v>2722</v>
      </c>
      <c r="C1444" s="2" t="s">
        <v>15</v>
      </c>
      <c r="D1444" s="2" t="s">
        <v>16</v>
      </c>
      <c r="E1444" s="2" t="s">
        <v>92</v>
      </c>
      <c r="F1444" s="2" t="s">
        <v>115</v>
      </c>
      <c r="G1444" s="2">
        <v>2</v>
      </c>
      <c r="H1444" s="2">
        <v>67220</v>
      </c>
      <c r="I1444" s="2">
        <v>0</v>
      </c>
      <c r="J1444" s="2" t="s">
        <v>223</v>
      </c>
      <c r="K1444" s="2" t="s">
        <v>87</v>
      </c>
      <c r="L1444" s="2" t="s">
        <v>824</v>
      </c>
      <c r="M1444" s="2" t="s">
        <v>140</v>
      </c>
    </row>
    <row r="1445" spans="1:13" x14ac:dyDescent="0.25">
      <c r="A1445" s="2" t="s">
        <v>2723</v>
      </c>
      <c r="B1445" s="2" t="s">
        <v>2724</v>
      </c>
      <c r="C1445" s="2" t="s">
        <v>135</v>
      </c>
      <c r="D1445" s="2" t="s">
        <v>58</v>
      </c>
      <c r="E1445" s="2" t="s">
        <v>82</v>
      </c>
      <c r="F1445" s="2" t="s">
        <v>60</v>
      </c>
      <c r="G1445" s="2">
        <v>6</v>
      </c>
      <c r="H1445" s="2">
        <v>480</v>
      </c>
      <c r="I1445" s="2">
        <v>0</v>
      </c>
      <c r="J1445" s="2">
        <v>2880</v>
      </c>
      <c r="K1445" s="2" t="s">
        <v>139</v>
      </c>
      <c r="L1445" s="2" t="s">
        <v>200</v>
      </c>
      <c r="M1445" s="2" t="s">
        <v>138</v>
      </c>
    </row>
    <row r="1446" spans="1:13" x14ac:dyDescent="0.25">
      <c r="A1446" s="2" t="s">
        <v>2725</v>
      </c>
      <c r="B1446" s="2" t="s">
        <v>1827</v>
      </c>
      <c r="C1446" s="2" t="s">
        <v>198</v>
      </c>
      <c r="D1446" s="2" t="s">
        <v>42</v>
      </c>
      <c r="E1446" s="2" t="s">
        <v>59</v>
      </c>
      <c r="F1446" s="2" t="s">
        <v>83</v>
      </c>
      <c r="G1446" s="2">
        <v>10</v>
      </c>
      <c r="H1446" s="2">
        <v>44260</v>
      </c>
      <c r="I1446" s="2">
        <v>15</v>
      </c>
      <c r="J1446" s="2" t="s">
        <v>223</v>
      </c>
      <c r="K1446" s="2" t="s">
        <v>133</v>
      </c>
      <c r="L1446" s="2" t="s">
        <v>796</v>
      </c>
      <c r="M1446" s="2" t="s">
        <v>128</v>
      </c>
    </row>
    <row r="1447" spans="1:13" x14ac:dyDescent="0.25">
      <c r="A1447" s="2" t="s">
        <v>2726</v>
      </c>
      <c r="B1447" s="2" t="s">
        <v>2727</v>
      </c>
      <c r="C1447" s="2" t="s">
        <v>469</v>
      </c>
      <c r="D1447" s="2" t="s">
        <v>51</v>
      </c>
      <c r="E1447" s="2" t="s">
        <v>52</v>
      </c>
      <c r="F1447" s="2" t="s">
        <v>332</v>
      </c>
      <c r="G1447" s="2">
        <v>2</v>
      </c>
      <c r="H1447" s="2">
        <v>27210</v>
      </c>
      <c r="I1447" s="2">
        <v>0</v>
      </c>
      <c r="J1447" s="2">
        <v>54420</v>
      </c>
      <c r="K1447" s="2" t="s">
        <v>152</v>
      </c>
      <c r="L1447" s="2" t="s">
        <v>1929</v>
      </c>
      <c r="M1447" s="2" t="s">
        <v>47</v>
      </c>
    </row>
    <row r="1448" spans="1:13" x14ac:dyDescent="0.25">
      <c r="A1448" s="2" t="s">
        <v>1703</v>
      </c>
      <c r="B1448" s="2" t="s">
        <v>307</v>
      </c>
      <c r="C1448" s="2" t="s">
        <v>238</v>
      </c>
      <c r="D1448" s="2" t="s">
        <v>51</v>
      </c>
      <c r="E1448" s="2" t="s">
        <v>136</v>
      </c>
      <c r="F1448" s="2" t="s">
        <v>18</v>
      </c>
      <c r="G1448" s="2">
        <v>7</v>
      </c>
      <c r="H1448" s="2">
        <v>26070</v>
      </c>
      <c r="I1448" s="2" t="s">
        <v>152</v>
      </c>
      <c r="J1448" s="2">
        <v>182490</v>
      </c>
      <c r="K1448" s="2" t="s">
        <v>157</v>
      </c>
      <c r="L1448" s="2" t="s">
        <v>796</v>
      </c>
      <c r="M1448" s="2" t="s">
        <v>21</v>
      </c>
    </row>
    <row r="1449" spans="1:13" x14ac:dyDescent="0.25">
      <c r="A1449" s="2" t="s">
        <v>2295</v>
      </c>
      <c r="B1449" s="2" t="s">
        <v>2296</v>
      </c>
      <c r="C1449" s="2" t="s">
        <v>227</v>
      </c>
      <c r="D1449" s="2" t="s">
        <v>33</v>
      </c>
      <c r="E1449" s="2" t="s">
        <v>65</v>
      </c>
      <c r="F1449" s="2" t="s">
        <v>219</v>
      </c>
      <c r="G1449" s="2">
        <v>2</v>
      </c>
      <c r="H1449" s="2">
        <v>1360</v>
      </c>
      <c r="I1449" s="2">
        <v>0</v>
      </c>
      <c r="J1449" s="2">
        <v>2720</v>
      </c>
      <c r="K1449" s="2" t="s">
        <v>157</v>
      </c>
      <c r="L1449" s="2" t="s">
        <v>344</v>
      </c>
      <c r="M1449" s="2" t="s">
        <v>21</v>
      </c>
    </row>
    <row r="1450" spans="1:13" x14ac:dyDescent="0.25">
      <c r="A1450" s="2" t="s">
        <v>2728</v>
      </c>
      <c r="B1450" s="2" t="s">
        <v>1915</v>
      </c>
      <c r="C1450" s="2" t="s">
        <v>41</v>
      </c>
      <c r="D1450" s="2" t="s">
        <v>42</v>
      </c>
      <c r="E1450" s="2" t="s">
        <v>195</v>
      </c>
      <c r="F1450" s="2" t="s">
        <v>290</v>
      </c>
      <c r="G1450" s="2">
        <v>1</v>
      </c>
      <c r="H1450" s="2">
        <v>520</v>
      </c>
      <c r="I1450" s="2">
        <v>0</v>
      </c>
      <c r="J1450" s="2">
        <v>520</v>
      </c>
      <c r="K1450" s="2" t="s">
        <v>223</v>
      </c>
      <c r="L1450" s="2" t="s">
        <v>1966</v>
      </c>
      <c r="M1450" s="2" t="s">
        <v>47</v>
      </c>
    </row>
    <row r="1451" spans="1:13" x14ac:dyDescent="0.25">
      <c r="A1451" s="2" t="s">
        <v>2729</v>
      </c>
      <c r="B1451" s="2" t="s">
        <v>2730</v>
      </c>
      <c r="C1451" s="2" t="s">
        <v>41</v>
      </c>
      <c r="D1451" s="2" t="s">
        <v>42</v>
      </c>
      <c r="E1451" s="2" t="s">
        <v>59</v>
      </c>
      <c r="F1451" s="2" t="s">
        <v>379</v>
      </c>
      <c r="G1451" s="2">
        <v>10</v>
      </c>
      <c r="H1451" s="2">
        <v>59720</v>
      </c>
      <c r="I1451" s="2">
        <v>5</v>
      </c>
      <c r="J1451" s="2" t="s">
        <v>136</v>
      </c>
      <c r="K1451" s="2" t="s">
        <v>87</v>
      </c>
      <c r="L1451" s="2" t="s">
        <v>145</v>
      </c>
      <c r="M1451" s="2" t="s">
        <v>47</v>
      </c>
    </row>
    <row r="1452" spans="1:13" x14ac:dyDescent="0.25">
      <c r="A1452" s="2" t="s">
        <v>2731</v>
      </c>
      <c r="B1452" s="2" t="s">
        <v>2732</v>
      </c>
      <c r="C1452" s="2" t="s">
        <v>135</v>
      </c>
      <c r="D1452" s="2" t="s">
        <v>58</v>
      </c>
      <c r="E1452" s="2" t="s">
        <v>92</v>
      </c>
      <c r="F1452" s="2" t="s">
        <v>115</v>
      </c>
      <c r="G1452" s="2">
        <v>1</v>
      </c>
      <c r="H1452" s="2">
        <v>3320</v>
      </c>
      <c r="I1452" s="2">
        <v>10</v>
      </c>
      <c r="J1452" s="2">
        <v>2988</v>
      </c>
      <c r="K1452" s="2" t="s">
        <v>36</v>
      </c>
      <c r="L1452" s="2" t="s">
        <v>79</v>
      </c>
      <c r="M1452" s="2" t="s">
        <v>29</v>
      </c>
    </row>
    <row r="1453" spans="1:13" x14ac:dyDescent="0.25">
      <c r="A1453" s="2" t="s">
        <v>2733</v>
      </c>
      <c r="B1453" s="2" t="s">
        <v>941</v>
      </c>
      <c r="C1453" s="2" t="s">
        <v>64</v>
      </c>
      <c r="D1453" s="2" t="s">
        <v>51</v>
      </c>
      <c r="E1453" s="2" t="s">
        <v>131</v>
      </c>
      <c r="F1453" s="2" t="s">
        <v>219</v>
      </c>
      <c r="G1453" s="2">
        <v>8</v>
      </c>
      <c r="H1453" s="2">
        <v>1240</v>
      </c>
      <c r="I1453" s="2">
        <v>10</v>
      </c>
      <c r="J1453" s="2">
        <v>8928</v>
      </c>
      <c r="K1453" s="2" t="s">
        <v>139</v>
      </c>
      <c r="L1453" s="2" t="s">
        <v>698</v>
      </c>
      <c r="M1453" s="2" t="s">
        <v>128</v>
      </c>
    </row>
    <row r="1454" spans="1:13" x14ac:dyDescent="0.25">
      <c r="A1454" s="2" t="s">
        <v>2734</v>
      </c>
      <c r="B1454" s="2" t="s">
        <v>2735</v>
      </c>
      <c r="C1454" s="2" t="s">
        <v>76</v>
      </c>
      <c r="D1454" s="2" t="s">
        <v>33</v>
      </c>
      <c r="E1454" s="2" t="s">
        <v>137</v>
      </c>
      <c r="F1454" s="2" t="s">
        <v>171</v>
      </c>
      <c r="G1454" s="2">
        <v>8</v>
      </c>
      <c r="H1454" s="2">
        <v>1360</v>
      </c>
      <c r="I1454" s="2">
        <v>10</v>
      </c>
      <c r="J1454" s="2">
        <v>9792</v>
      </c>
      <c r="K1454" s="2" t="s">
        <v>107</v>
      </c>
      <c r="L1454" s="2" t="s">
        <v>1974</v>
      </c>
      <c r="M1454" s="2"/>
    </row>
    <row r="1455" spans="1:13" x14ac:dyDescent="0.25">
      <c r="A1455" s="2" t="s">
        <v>2736</v>
      </c>
      <c r="B1455" s="2" t="s">
        <v>601</v>
      </c>
      <c r="C1455" s="2" t="s">
        <v>218</v>
      </c>
      <c r="D1455" s="2" t="s">
        <v>33</v>
      </c>
      <c r="E1455" s="2" t="s">
        <v>25</v>
      </c>
      <c r="F1455" s="2" t="s">
        <v>332</v>
      </c>
      <c r="G1455" s="2">
        <v>7</v>
      </c>
      <c r="H1455" s="2">
        <v>50200</v>
      </c>
      <c r="I1455" s="2">
        <v>0</v>
      </c>
      <c r="J1455" s="2">
        <v>351400</v>
      </c>
      <c r="K1455" s="2" t="s">
        <v>19</v>
      </c>
      <c r="L1455" s="2" t="s">
        <v>73</v>
      </c>
      <c r="M1455" s="2" t="s">
        <v>21</v>
      </c>
    </row>
    <row r="1456" spans="1:13" x14ac:dyDescent="0.25">
      <c r="A1456" s="2" t="s">
        <v>2737</v>
      </c>
      <c r="B1456" s="2" t="s">
        <v>593</v>
      </c>
      <c r="C1456" s="2" t="s">
        <v>76</v>
      </c>
      <c r="D1456" s="2" t="s">
        <v>33</v>
      </c>
      <c r="E1456" s="2" t="s">
        <v>92</v>
      </c>
      <c r="F1456" s="2" t="s">
        <v>332</v>
      </c>
      <c r="G1456" s="2">
        <v>4</v>
      </c>
      <c r="H1456" s="2">
        <v>8170</v>
      </c>
      <c r="I1456" s="2">
        <v>0</v>
      </c>
      <c r="J1456" s="2">
        <v>32680</v>
      </c>
      <c r="K1456" s="2" t="s">
        <v>45</v>
      </c>
      <c r="L1456" s="2" t="s">
        <v>54</v>
      </c>
      <c r="M1456" s="2" t="s">
        <v>47</v>
      </c>
    </row>
    <row r="1457" spans="1:13" x14ac:dyDescent="0.25">
      <c r="A1457" s="2" t="s">
        <v>2738</v>
      </c>
      <c r="B1457" s="2" t="s">
        <v>1439</v>
      </c>
      <c r="C1457" s="2" t="s">
        <v>32</v>
      </c>
      <c r="D1457" s="2" t="s">
        <v>223</v>
      </c>
      <c r="E1457" s="2" t="s">
        <v>52</v>
      </c>
      <c r="F1457" s="2" t="s">
        <v>255</v>
      </c>
      <c r="G1457" s="2">
        <v>6</v>
      </c>
      <c r="H1457" s="2">
        <v>64020</v>
      </c>
      <c r="I1457" s="2">
        <v>0</v>
      </c>
      <c r="J1457" s="2">
        <v>384120</v>
      </c>
      <c r="K1457" s="2" t="s">
        <v>120</v>
      </c>
      <c r="L1457" s="2" t="s">
        <v>168</v>
      </c>
      <c r="M1457" s="2" t="s">
        <v>47</v>
      </c>
    </row>
    <row r="1458" spans="1:13" x14ac:dyDescent="0.25">
      <c r="A1458" s="2" t="s">
        <v>2739</v>
      </c>
      <c r="B1458" s="2" t="s">
        <v>982</v>
      </c>
      <c r="C1458" s="2" t="s">
        <v>156</v>
      </c>
      <c r="D1458" s="2" t="s">
        <v>51</v>
      </c>
      <c r="E1458" s="2" t="s">
        <v>163</v>
      </c>
      <c r="F1458" s="2" t="s">
        <v>35</v>
      </c>
      <c r="G1458" s="2">
        <v>12</v>
      </c>
      <c r="H1458" s="2">
        <v>11280</v>
      </c>
      <c r="I1458" s="2">
        <v>0</v>
      </c>
      <c r="J1458" s="2">
        <v>135360</v>
      </c>
      <c r="K1458" s="2" t="s">
        <v>67</v>
      </c>
      <c r="L1458" s="2" t="s">
        <v>88</v>
      </c>
      <c r="M1458" s="2" t="s">
        <v>38</v>
      </c>
    </row>
    <row r="1459" spans="1:13" x14ac:dyDescent="0.25">
      <c r="A1459" s="2" t="s">
        <v>2740</v>
      </c>
      <c r="B1459" s="2" t="s">
        <v>2741</v>
      </c>
      <c r="C1459" s="2" t="s">
        <v>76</v>
      </c>
      <c r="D1459" s="2" t="s">
        <v>33</v>
      </c>
      <c r="E1459" s="2" t="s">
        <v>77</v>
      </c>
      <c r="F1459" s="2" t="s">
        <v>543</v>
      </c>
      <c r="G1459" s="2">
        <v>1</v>
      </c>
      <c r="H1459" s="2">
        <v>4990</v>
      </c>
      <c r="I1459" s="2">
        <v>0</v>
      </c>
      <c r="J1459" s="2">
        <v>4990</v>
      </c>
      <c r="K1459" s="2" t="s">
        <v>157</v>
      </c>
      <c r="L1459" s="2" t="s">
        <v>73</v>
      </c>
      <c r="M1459" s="2" t="s">
        <v>38</v>
      </c>
    </row>
    <row r="1460" spans="1:13" x14ac:dyDescent="0.25">
      <c r="A1460" s="2" t="s">
        <v>2742</v>
      </c>
      <c r="B1460" s="2" t="s">
        <v>1644</v>
      </c>
      <c r="C1460" s="2" t="s">
        <v>204</v>
      </c>
      <c r="D1460" s="2" t="s">
        <v>33</v>
      </c>
      <c r="E1460" s="2" t="s">
        <v>105</v>
      </c>
      <c r="F1460" s="2" t="s">
        <v>248</v>
      </c>
      <c r="G1460" s="2">
        <v>9</v>
      </c>
      <c r="H1460" s="2">
        <v>67830</v>
      </c>
      <c r="I1460" s="2">
        <v>10</v>
      </c>
      <c r="J1460" s="2">
        <v>549423</v>
      </c>
      <c r="K1460" s="2" t="s">
        <v>94</v>
      </c>
      <c r="L1460" s="2" t="s">
        <v>406</v>
      </c>
      <c r="M1460" s="2" t="s">
        <v>38</v>
      </c>
    </row>
    <row r="1461" spans="1:13" x14ac:dyDescent="0.25">
      <c r="A1461" s="2" t="s">
        <v>2743</v>
      </c>
      <c r="B1461" s="2" t="s">
        <v>2744</v>
      </c>
      <c r="C1461" s="2" t="s">
        <v>449</v>
      </c>
      <c r="D1461" s="2" t="s">
        <v>42</v>
      </c>
      <c r="E1461" s="2" t="s">
        <v>138</v>
      </c>
      <c r="F1461" s="2" t="s">
        <v>255</v>
      </c>
      <c r="G1461" s="2">
        <v>9</v>
      </c>
      <c r="H1461" s="2">
        <v>16460</v>
      </c>
      <c r="I1461" s="2">
        <v>0</v>
      </c>
      <c r="J1461" s="2">
        <v>148140</v>
      </c>
      <c r="K1461" s="2" t="s">
        <v>19</v>
      </c>
      <c r="L1461" s="2" t="s">
        <v>584</v>
      </c>
      <c r="M1461" s="2" t="s">
        <v>47</v>
      </c>
    </row>
    <row r="1462" spans="1:13" x14ac:dyDescent="0.25">
      <c r="A1462" s="2" t="s">
        <v>2745</v>
      </c>
      <c r="B1462" s="2" t="s">
        <v>489</v>
      </c>
      <c r="C1462" s="2" t="s">
        <v>57</v>
      </c>
      <c r="D1462" s="2" t="s">
        <v>58</v>
      </c>
      <c r="E1462" s="2" t="s">
        <v>105</v>
      </c>
      <c r="F1462" s="2" t="s">
        <v>248</v>
      </c>
      <c r="G1462" s="2">
        <v>6</v>
      </c>
      <c r="H1462" s="2">
        <v>51310</v>
      </c>
      <c r="I1462" s="2">
        <v>0</v>
      </c>
      <c r="J1462" s="2">
        <v>307860</v>
      </c>
      <c r="K1462" s="2" t="s">
        <v>172</v>
      </c>
      <c r="L1462" s="2" t="s">
        <v>79</v>
      </c>
      <c r="M1462" s="2" t="s">
        <v>291</v>
      </c>
    </row>
    <row r="1463" spans="1:13" x14ac:dyDescent="0.25">
      <c r="A1463" s="2" t="s">
        <v>2746</v>
      </c>
      <c r="B1463" s="2" t="s">
        <v>2747</v>
      </c>
      <c r="C1463" s="2" t="s">
        <v>91</v>
      </c>
      <c r="D1463" s="2" t="s">
        <v>51</v>
      </c>
      <c r="E1463" s="2" t="s">
        <v>105</v>
      </c>
      <c r="F1463" s="2" t="s">
        <v>26</v>
      </c>
      <c r="G1463" s="2">
        <v>9</v>
      </c>
      <c r="H1463" s="2">
        <v>8150</v>
      </c>
      <c r="I1463" s="2">
        <v>15</v>
      </c>
      <c r="J1463" s="2">
        <v>62347.5</v>
      </c>
      <c r="K1463" s="2" t="s">
        <v>139</v>
      </c>
      <c r="L1463" s="2" t="s">
        <v>88</v>
      </c>
      <c r="M1463" s="2" t="s">
        <v>29</v>
      </c>
    </row>
    <row r="1464" spans="1:13" x14ac:dyDescent="0.25">
      <c r="A1464" s="2" t="s">
        <v>2748</v>
      </c>
      <c r="B1464" s="2" t="s">
        <v>230</v>
      </c>
      <c r="C1464" s="2" t="s">
        <v>99</v>
      </c>
      <c r="D1464" s="2" t="s">
        <v>16</v>
      </c>
      <c r="E1464" s="2" t="s">
        <v>65</v>
      </c>
      <c r="F1464" s="2" t="s">
        <v>66</v>
      </c>
      <c r="G1464" s="2">
        <v>12</v>
      </c>
      <c r="H1464" s="2" t="s">
        <v>223</v>
      </c>
      <c r="I1464" s="2" t="s">
        <v>152</v>
      </c>
      <c r="J1464" s="2">
        <v>120240</v>
      </c>
      <c r="K1464" s="2" t="s">
        <v>172</v>
      </c>
      <c r="L1464" s="2" t="s">
        <v>720</v>
      </c>
      <c r="M1464" s="2" t="s">
        <v>21</v>
      </c>
    </row>
    <row r="1465" spans="1:13" x14ac:dyDescent="0.25">
      <c r="A1465" s="2" t="s">
        <v>2749</v>
      </c>
      <c r="B1465" s="2" t="s">
        <v>1594</v>
      </c>
      <c r="C1465" s="2" t="s">
        <v>110</v>
      </c>
      <c r="D1465" s="2" t="s">
        <v>33</v>
      </c>
      <c r="E1465" s="2" t="s">
        <v>231</v>
      </c>
      <c r="F1465" s="2" t="s">
        <v>239</v>
      </c>
      <c r="G1465" s="2">
        <v>7</v>
      </c>
      <c r="H1465" s="2">
        <v>7480</v>
      </c>
      <c r="I1465" s="2">
        <v>10</v>
      </c>
      <c r="J1465" s="2">
        <v>47124</v>
      </c>
      <c r="K1465" s="2" t="s">
        <v>67</v>
      </c>
      <c r="L1465" s="2" t="s">
        <v>341</v>
      </c>
      <c r="M1465" s="2" t="s">
        <v>47</v>
      </c>
    </row>
    <row r="1466" spans="1:13" x14ac:dyDescent="0.25">
      <c r="A1466" s="2" t="s">
        <v>2750</v>
      </c>
      <c r="B1466" s="2" t="s">
        <v>2751</v>
      </c>
      <c r="C1466" s="2" t="s">
        <v>135</v>
      </c>
      <c r="D1466" s="2" t="s">
        <v>58</v>
      </c>
      <c r="E1466" s="2" t="s">
        <v>119</v>
      </c>
      <c r="F1466" s="2" t="s">
        <v>255</v>
      </c>
      <c r="G1466" s="2">
        <v>4</v>
      </c>
      <c r="H1466" s="2">
        <v>66810</v>
      </c>
      <c r="I1466" s="2">
        <v>10</v>
      </c>
      <c r="J1466" s="2">
        <v>240516</v>
      </c>
      <c r="K1466" s="2" t="s">
        <v>157</v>
      </c>
      <c r="L1466" s="2" t="s">
        <v>46</v>
      </c>
      <c r="M1466" s="2" t="s">
        <v>21</v>
      </c>
    </row>
    <row r="1467" spans="1:13" x14ac:dyDescent="0.25">
      <c r="A1467" s="2" t="s">
        <v>2752</v>
      </c>
      <c r="B1467" s="2" t="s">
        <v>623</v>
      </c>
      <c r="C1467" s="2" t="s">
        <v>118</v>
      </c>
      <c r="D1467" s="2" t="s">
        <v>51</v>
      </c>
      <c r="E1467" s="2" t="s">
        <v>163</v>
      </c>
      <c r="F1467" s="2" t="s">
        <v>374</v>
      </c>
      <c r="G1467" s="2">
        <v>6</v>
      </c>
      <c r="H1467" s="2">
        <v>2530</v>
      </c>
      <c r="I1467" s="2">
        <v>0</v>
      </c>
      <c r="J1467" s="2">
        <v>15180</v>
      </c>
      <c r="K1467" s="2" t="s">
        <v>87</v>
      </c>
      <c r="L1467" s="2" t="s">
        <v>838</v>
      </c>
      <c r="M1467" s="2" t="s">
        <v>29</v>
      </c>
    </row>
    <row r="1468" spans="1:13" x14ac:dyDescent="0.25">
      <c r="A1468" s="2" t="s">
        <v>363</v>
      </c>
      <c r="B1468" s="2" t="s">
        <v>364</v>
      </c>
      <c r="C1468" s="2" t="s">
        <v>135</v>
      </c>
      <c r="D1468" s="2" t="s">
        <v>58</v>
      </c>
      <c r="E1468" s="2" t="s">
        <v>137</v>
      </c>
      <c r="F1468" s="2" t="s">
        <v>171</v>
      </c>
      <c r="G1468" s="2">
        <v>7</v>
      </c>
      <c r="H1468" s="2">
        <v>7230</v>
      </c>
      <c r="I1468" s="2">
        <v>0</v>
      </c>
      <c r="J1468" s="2">
        <v>50610</v>
      </c>
      <c r="K1468" s="2" t="s">
        <v>27</v>
      </c>
      <c r="L1468" s="2" t="s">
        <v>79</v>
      </c>
      <c r="M1468" s="2" t="s">
        <v>47</v>
      </c>
    </row>
    <row r="1469" spans="1:13" x14ac:dyDescent="0.25">
      <c r="A1469" s="2" t="s">
        <v>2753</v>
      </c>
      <c r="B1469" s="2" t="s">
        <v>1304</v>
      </c>
      <c r="C1469" s="2" t="s">
        <v>135</v>
      </c>
      <c r="D1469" s="2" t="s">
        <v>58</v>
      </c>
      <c r="E1469" s="2"/>
      <c r="F1469" s="2" t="s">
        <v>115</v>
      </c>
      <c r="G1469" s="2">
        <v>9</v>
      </c>
      <c r="H1469" s="2">
        <v>8330</v>
      </c>
      <c r="I1469" s="2">
        <v>15</v>
      </c>
      <c r="J1469" s="2">
        <v>63724.5</v>
      </c>
      <c r="K1469" s="2" t="s">
        <v>144</v>
      </c>
      <c r="L1469" s="2" t="s">
        <v>37</v>
      </c>
      <c r="M1469" s="2" t="s">
        <v>29</v>
      </c>
    </row>
    <row r="1470" spans="1:13" x14ac:dyDescent="0.25">
      <c r="A1470" s="2" t="s">
        <v>2754</v>
      </c>
      <c r="B1470" s="2" t="s">
        <v>2755</v>
      </c>
      <c r="C1470" s="2" t="s">
        <v>1465</v>
      </c>
      <c r="D1470" s="2" t="s">
        <v>51</v>
      </c>
      <c r="E1470" s="2" t="s">
        <v>231</v>
      </c>
      <c r="F1470" s="2" t="s">
        <v>232</v>
      </c>
      <c r="G1470" s="2">
        <v>8</v>
      </c>
      <c r="H1470" s="2">
        <v>10320</v>
      </c>
      <c r="I1470" s="2">
        <v>0</v>
      </c>
      <c r="J1470" s="2">
        <v>82560</v>
      </c>
      <c r="K1470" s="2" t="s">
        <v>139</v>
      </c>
      <c r="L1470" s="2" t="s">
        <v>2426</v>
      </c>
      <c r="M1470" s="2" t="s">
        <v>38</v>
      </c>
    </row>
    <row r="1471" spans="1:13" x14ac:dyDescent="0.25">
      <c r="A1471" s="2" t="s">
        <v>282</v>
      </c>
      <c r="B1471" s="2" t="s">
        <v>283</v>
      </c>
      <c r="C1471" s="2" t="s">
        <v>244</v>
      </c>
      <c r="D1471" s="2" t="s">
        <v>42</v>
      </c>
      <c r="E1471" s="2" t="s">
        <v>284</v>
      </c>
      <c r="F1471" s="2" t="s">
        <v>83</v>
      </c>
      <c r="G1471" s="2">
        <v>6</v>
      </c>
      <c r="H1471" s="2">
        <v>2800</v>
      </c>
      <c r="I1471" s="2">
        <v>10</v>
      </c>
      <c r="J1471" s="2">
        <v>15120</v>
      </c>
      <c r="K1471" s="2" t="s">
        <v>144</v>
      </c>
      <c r="L1471" s="2" t="s">
        <v>285</v>
      </c>
      <c r="M1471" s="2" t="s">
        <v>47</v>
      </c>
    </row>
    <row r="1472" spans="1:13" x14ac:dyDescent="0.25">
      <c r="A1472" s="2" t="s">
        <v>2756</v>
      </c>
      <c r="B1472" s="2" t="s">
        <v>1065</v>
      </c>
      <c r="C1472" s="2" t="s">
        <v>110</v>
      </c>
      <c r="D1472" s="2" t="s">
        <v>33</v>
      </c>
      <c r="E1472" s="2" t="s">
        <v>195</v>
      </c>
      <c r="F1472" s="2" t="s">
        <v>290</v>
      </c>
      <c r="G1472" s="2" t="s">
        <v>136</v>
      </c>
      <c r="H1472" s="2">
        <v>25290</v>
      </c>
      <c r="I1472" s="2">
        <v>0</v>
      </c>
      <c r="J1472" s="2">
        <v>25290</v>
      </c>
      <c r="K1472" s="2" t="s">
        <v>127</v>
      </c>
      <c r="L1472" s="2" t="s">
        <v>406</v>
      </c>
      <c r="M1472" s="2" t="s">
        <v>21</v>
      </c>
    </row>
    <row r="1473" spans="1:13" x14ac:dyDescent="0.25">
      <c r="A1473" s="2" t="s">
        <v>2757</v>
      </c>
      <c r="B1473" s="2" t="s">
        <v>2280</v>
      </c>
      <c r="C1473" s="2" t="s">
        <v>24</v>
      </c>
      <c r="D1473" s="2" t="s">
        <v>152</v>
      </c>
      <c r="E1473" s="2" t="s">
        <v>82</v>
      </c>
      <c r="F1473" s="2" t="s">
        <v>149</v>
      </c>
      <c r="G1473" s="2">
        <v>12</v>
      </c>
      <c r="H1473" s="2">
        <v>5410</v>
      </c>
      <c r="I1473" s="2">
        <v>0</v>
      </c>
      <c r="J1473" s="2">
        <v>64920</v>
      </c>
      <c r="K1473" s="2" t="s">
        <v>19</v>
      </c>
      <c r="L1473" s="2" t="s">
        <v>188</v>
      </c>
      <c r="M1473" s="2" t="s">
        <v>29</v>
      </c>
    </row>
    <row r="1474" spans="1:13" x14ac:dyDescent="0.25">
      <c r="A1474" s="2" t="s">
        <v>2758</v>
      </c>
      <c r="B1474" s="2" t="s">
        <v>2759</v>
      </c>
      <c r="C1474" s="2" t="s">
        <v>99</v>
      </c>
      <c r="D1474" s="2" t="s">
        <v>16</v>
      </c>
      <c r="E1474" s="2" t="s">
        <v>163</v>
      </c>
      <c r="F1474" s="2" t="s">
        <v>18</v>
      </c>
      <c r="G1474" s="2">
        <v>4</v>
      </c>
      <c r="H1474" s="2">
        <v>2750</v>
      </c>
      <c r="I1474" s="2">
        <v>0</v>
      </c>
      <c r="J1474" s="2">
        <v>11000</v>
      </c>
      <c r="K1474" s="2" t="s">
        <v>45</v>
      </c>
      <c r="L1474" s="2" t="s">
        <v>554</v>
      </c>
      <c r="M1474" s="2" t="s">
        <v>47</v>
      </c>
    </row>
    <row r="1475" spans="1:13" x14ac:dyDescent="0.25">
      <c r="A1475" s="2" t="s">
        <v>2760</v>
      </c>
      <c r="B1475" s="2" t="s">
        <v>1552</v>
      </c>
      <c r="C1475" s="2" t="s">
        <v>162</v>
      </c>
      <c r="D1475" s="2" t="s">
        <v>33</v>
      </c>
      <c r="E1475" s="2" t="s">
        <v>284</v>
      </c>
      <c r="F1475" s="2" t="s">
        <v>167</v>
      </c>
      <c r="G1475" s="2">
        <v>9</v>
      </c>
      <c r="H1475" s="2">
        <v>5470</v>
      </c>
      <c r="I1475" s="2">
        <v>5</v>
      </c>
      <c r="J1475" s="2">
        <v>46768.5</v>
      </c>
      <c r="K1475" s="2" t="s">
        <v>94</v>
      </c>
      <c r="L1475" s="2" t="s">
        <v>266</v>
      </c>
      <c r="M1475" s="2" t="s">
        <v>47</v>
      </c>
    </row>
    <row r="1476" spans="1:13" x14ac:dyDescent="0.25">
      <c r="A1476" s="2" t="s">
        <v>2761</v>
      </c>
      <c r="B1476" s="2" t="s">
        <v>1516</v>
      </c>
      <c r="C1476" s="2" t="s">
        <v>32</v>
      </c>
      <c r="D1476" s="2" t="s">
        <v>33</v>
      </c>
      <c r="E1476" s="2" t="s">
        <v>82</v>
      </c>
      <c r="F1476" s="2" t="s">
        <v>149</v>
      </c>
      <c r="G1476" s="2">
        <v>11</v>
      </c>
      <c r="H1476" s="2">
        <v>73780</v>
      </c>
      <c r="I1476" s="2">
        <v>0</v>
      </c>
      <c r="J1476" s="2">
        <v>811580</v>
      </c>
      <c r="K1476" s="2" t="s">
        <v>53</v>
      </c>
      <c r="L1476" s="2" t="s">
        <v>311</v>
      </c>
      <c r="M1476" s="2" t="s">
        <v>47</v>
      </c>
    </row>
    <row r="1477" spans="1:13" x14ac:dyDescent="0.25">
      <c r="A1477" s="2" t="s">
        <v>2762</v>
      </c>
      <c r="B1477" s="2" t="s">
        <v>2763</v>
      </c>
      <c r="C1477" s="2" t="s">
        <v>156</v>
      </c>
      <c r="D1477" s="2" t="s">
        <v>51</v>
      </c>
      <c r="E1477" s="2" t="s">
        <v>231</v>
      </c>
      <c r="F1477" s="2" t="s">
        <v>239</v>
      </c>
      <c r="G1477" s="2">
        <v>11</v>
      </c>
      <c r="H1477" s="2">
        <v>51030</v>
      </c>
      <c r="I1477" s="2">
        <v>0</v>
      </c>
      <c r="J1477" s="2">
        <v>561330</v>
      </c>
      <c r="K1477" s="2" t="s">
        <v>27</v>
      </c>
      <c r="L1477" s="2" t="s">
        <v>188</v>
      </c>
      <c r="M1477" s="2"/>
    </row>
    <row r="1478" spans="1:13" x14ac:dyDescent="0.25">
      <c r="A1478" s="2" t="s">
        <v>2764</v>
      </c>
      <c r="B1478" s="2" t="s">
        <v>2765</v>
      </c>
      <c r="C1478" s="2" t="s">
        <v>162</v>
      </c>
      <c r="D1478" s="2" t="s">
        <v>33</v>
      </c>
      <c r="E1478" s="2" t="s">
        <v>59</v>
      </c>
      <c r="F1478" s="2" t="s">
        <v>167</v>
      </c>
      <c r="G1478" s="2">
        <v>9</v>
      </c>
      <c r="H1478" s="2">
        <v>4960</v>
      </c>
      <c r="I1478" s="2">
        <v>5</v>
      </c>
      <c r="J1478" s="2">
        <v>42408</v>
      </c>
      <c r="K1478" s="2" t="s">
        <v>152</v>
      </c>
      <c r="L1478" s="2" t="s">
        <v>188</v>
      </c>
      <c r="M1478" s="2" t="s">
        <v>21</v>
      </c>
    </row>
    <row r="1479" spans="1:13" x14ac:dyDescent="0.25">
      <c r="A1479" s="2" t="s">
        <v>2766</v>
      </c>
      <c r="B1479" s="2" t="s">
        <v>2767</v>
      </c>
      <c r="C1479" s="2" t="s">
        <v>416</v>
      </c>
      <c r="D1479" s="2" t="s">
        <v>33</v>
      </c>
      <c r="E1479" s="2" t="s">
        <v>284</v>
      </c>
      <c r="F1479" s="2" t="s">
        <v>149</v>
      </c>
      <c r="G1479" s="2">
        <v>2</v>
      </c>
      <c r="H1479" s="2">
        <v>3660</v>
      </c>
      <c r="I1479" s="2">
        <v>0</v>
      </c>
      <c r="J1479" s="2">
        <v>7320</v>
      </c>
      <c r="K1479" s="2" t="s">
        <v>133</v>
      </c>
      <c r="L1479" s="2" t="s">
        <v>344</v>
      </c>
      <c r="M1479" s="2" t="s">
        <v>128</v>
      </c>
    </row>
    <row r="1480" spans="1:13" x14ac:dyDescent="0.25">
      <c r="A1480" s="2" t="s">
        <v>2768</v>
      </c>
      <c r="B1480" s="2" t="s">
        <v>1364</v>
      </c>
      <c r="C1480" s="2" t="s">
        <v>238</v>
      </c>
      <c r="D1480" s="2" t="s">
        <v>51</v>
      </c>
      <c r="E1480" s="2"/>
      <c r="F1480" s="2" t="s">
        <v>314</v>
      </c>
      <c r="G1480" s="2">
        <v>8</v>
      </c>
      <c r="H1480" s="2">
        <v>22730</v>
      </c>
      <c r="I1480" s="2">
        <v>0</v>
      </c>
      <c r="J1480" s="2">
        <v>181840</v>
      </c>
      <c r="K1480" s="2" t="s">
        <v>94</v>
      </c>
      <c r="L1480" s="2" t="s">
        <v>962</v>
      </c>
      <c r="M1480" s="2" t="s">
        <v>21</v>
      </c>
    </row>
    <row r="1481" spans="1:13" x14ac:dyDescent="0.25">
      <c r="A1481" s="2" t="s">
        <v>2769</v>
      </c>
      <c r="B1481" s="2" t="s">
        <v>2770</v>
      </c>
      <c r="C1481" s="2" t="s">
        <v>557</v>
      </c>
      <c r="D1481" s="2" t="s">
        <v>16</v>
      </c>
      <c r="E1481" s="2" t="s">
        <v>195</v>
      </c>
      <c r="F1481" s="2" t="s">
        <v>71</v>
      </c>
      <c r="G1481" s="2">
        <v>2</v>
      </c>
      <c r="H1481" s="2">
        <v>3420</v>
      </c>
      <c r="I1481" s="2">
        <v>0</v>
      </c>
      <c r="J1481" s="2">
        <v>6840</v>
      </c>
      <c r="K1481" s="2" t="s">
        <v>53</v>
      </c>
      <c r="L1481" s="2" t="s">
        <v>776</v>
      </c>
      <c r="M1481" s="2" t="s">
        <v>29</v>
      </c>
    </row>
    <row r="1482" spans="1:13" x14ac:dyDescent="0.25">
      <c r="A1482" s="2" t="s">
        <v>2771</v>
      </c>
      <c r="B1482" s="2" t="s">
        <v>2772</v>
      </c>
      <c r="C1482" s="2" t="s">
        <v>213</v>
      </c>
      <c r="D1482" s="2" t="s">
        <v>58</v>
      </c>
      <c r="E1482" s="2" t="s">
        <v>179</v>
      </c>
      <c r="F1482" s="2" t="s">
        <v>184</v>
      </c>
      <c r="G1482" s="2">
        <v>11</v>
      </c>
      <c r="H1482" s="2">
        <v>2390</v>
      </c>
      <c r="I1482" s="2">
        <v>0</v>
      </c>
      <c r="J1482" s="2" t="s">
        <v>107</v>
      </c>
      <c r="K1482" s="2" t="s">
        <v>127</v>
      </c>
      <c r="L1482" s="2" t="s">
        <v>200</v>
      </c>
      <c r="M1482" s="2" t="s">
        <v>47</v>
      </c>
    </row>
    <row r="1483" spans="1:13" x14ac:dyDescent="0.25">
      <c r="A1483" s="2" t="s">
        <v>2773</v>
      </c>
      <c r="B1483" s="2" t="s">
        <v>2774</v>
      </c>
      <c r="C1483" s="2" t="s">
        <v>238</v>
      </c>
      <c r="D1483" s="2" t="s">
        <v>51</v>
      </c>
      <c r="E1483" s="2" t="s">
        <v>59</v>
      </c>
      <c r="F1483" s="2" t="s">
        <v>252</v>
      </c>
      <c r="G1483" s="2">
        <v>3</v>
      </c>
      <c r="H1483" s="2">
        <v>8420</v>
      </c>
      <c r="I1483" s="2">
        <v>0</v>
      </c>
      <c r="J1483" s="2">
        <v>25260</v>
      </c>
      <c r="K1483" s="2" t="s">
        <v>139</v>
      </c>
      <c r="L1483" s="2" t="s">
        <v>188</v>
      </c>
      <c r="M1483" s="2" t="s">
        <v>29</v>
      </c>
    </row>
    <row r="1484" spans="1:13" x14ac:dyDescent="0.25">
      <c r="A1484" s="2" t="s">
        <v>2775</v>
      </c>
      <c r="B1484" s="2" t="s">
        <v>2776</v>
      </c>
      <c r="C1484" s="2" t="s">
        <v>204</v>
      </c>
      <c r="D1484" s="2" t="s">
        <v>33</v>
      </c>
      <c r="E1484" s="2" t="s">
        <v>25</v>
      </c>
      <c r="F1484" s="2" t="s">
        <v>44</v>
      </c>
      <c r="G1484" s="2">
        <v>6</v>
      </c>
      <c r="H1484" s="2" t="s">
        <v>107</v>
      </c>
      <c r="I1484" s="2">
        <v>0</v>
      </c>
      <c r="J1484" s="2">
        <v>297900</v>
      </c>
      <c r="K1484" s="2" t="s">
        <v>133</v>
      </c>
      <c r="L1484" s="2" t="s">
        <v>37</v>
      </c>
      <c r="M1484" s="2" t="s">
        <v>140</v>
      </c>
    </row>
    <row r="1485" spans="1:13" x14ac:dyDescent="0.25">
      <c r="A1485" s="2" t="s">
        <v>2777</v>
      </c>
      <c r="B1485" s="2" t="s">
        <v>1511</v>
      </c>
      <c r="C1485" s="2" t="s">
        <v>238</v>
      </c>
      <c r="D1485" s="2" t="s">
        <v>51</v>
      </c>
      <c r="E1485" s="2" t="s">
        <v>137</v>
      </c>
      <c r="F1485" s="2" t="s">
        <v>18</v>
      </c>
      <c r="G1485" s="2">
        <v>4</v>
      </c>
      <c r="H1485" s="2">
        <v>9700</v>
      </c>
      <c r="I1485" s="2" t="s">
        <v>107</v>
      </c>
      <c r="J1485" s="2">
        <v>36860</v>
      </c>
      <c r="K1485" s="2" t="s">
        <v>102</v>
      </c>
      <c r="L1485" s="2" t="s">
        <v>1933</v>
      </c>
      <c r="M1485" s="2" t="s">
        <v>128</v>
      </c>
    </row>
    <row r="1486" spans="1:13" x14ac:dyDescent="0.25">
      <c r="A1486" s="2" t="s">
        <v>2778</v>
      </c>
      <c r="B1486" s="2" t="s">
        <v>2779</v>
      </c>
      <c r="C1486" s="2" t="s">
        <v>41</v>
      </c>
      <c r="D1486" s="2" t="s">
        <v>42</v>
      </c>
      <c r="E1486" s="2" t="s">
        <v>65</v>
      </c>
      <c r="F1486" s="2" t="s">
        <v>132</v>
      </c>
      <c r="G1486" s="2">
        <v>10</v>
      </c>
      <c r="H1486" s="2">
        <v>19010</v>
      </c>
      <c r="I1486" s="2">
        <v>0</v>
      </c>
      <c r="J1486" s="2">
        <v>190100</v>
      </c>
      <c r="K1486" s="2" t="s">
        <v>139</v>
      </c>
      <c r="L1486" s="2" t="s">
        <v>95</v>
      </c>
      <c r="M1486" s="2" t="s">
        <v>140</v>
      </c>
    </row>
    <row r="1487" spans="1:13" x14ac:dyDescent="0.25">
      <c r="A1487" s="2" t="s">
        <v>2780</v>
      </c>
      <c r="B1487" s="2" t="s">
        <v>217</v>
      </c>
      <c r="C1487" s="2" t="s">
        <v>135</v>
      </c>
      <c r="D1487" s="2" t="s">
        <v>58</v>
      </c>
      <c r="E1487" s="2" t="s">
        <v>119</v>
      </c>
      <c r="F1487" s="2" t="s">
        <v>44</v>
      </c>
      <c r="G1487" s="2">
        <v>9</v>
      </c>
      <c r="H1487" s="2">
        <v>9630</v>
      </c>
      <c r="I1487" s="2">
        <v>0</v>
      </c>
      <c r="J1487" s="2">
        <v>86670</v>
      </c>
      <c r="K1487" s="2" t="s">
        <v>120</v>
      </c>
      <c r="L1487" s="2" t="s">
        <v>349</v>
      </c>
      <c r="M1487" s="2" t="s">
        <v>38</v>
      </c>
    </row>
    <row r="1488" spans="1:13" x14ac:dyDescent="0.25">
      <c r="A1488" s="2" t="s">
        <v>2781</v>
      </c>
      <c r="B1488" s="2" t="s">
        <v>1352</v>
      </c>
      <c r="C1488" s="2" t="s">
        <v>41</v>
      </c>
      <c r="D1488" s="2" t="s">
        <v>42</v>
      </c>
      <c r="E1488" s="2" t="s">
        <v>100</v>
      </c>
      <c r="F1488" s="2" t="s">
        <v>219</v>
      </c>
      <c r="G1488" s="2">
        <v>12</v>
      </c>
      <c r="H1488" s="2">
        <v>530</v>
      </c>
      <c r="I1488" s="2">
        <v>5</v>
      </c>
      <c r="J1488" s="2">
        <v>6042</v>
      </c>
      <c r="K1488" s="2" t="s">
        <v>102</v>
      </c>
      <c r="L1488" s="2" t="s">
        <v>79</v>
      </c>
      <c r="M1488" s="2" t="s">
        <v>21</v>
      </c>
    </row>
    <row r="1489" spans="1:13" x14ac:dyDescent="0.25">
      <c r="A1489" s="2" t="s">
        <v>2626</v>
      </c>
      <c r="B1489" s="2" t="s">
        <v>1837</v>
      </c>
      <c r="C1489" s="2" t="s">
        <v>118</v>
      </c>
      <c r="D1489" s="2" t="s">
        <v>51</v>
      </c>
      <c r="E1489" s="2" t="s">
        <v>119</v>
      </c>
      <c r="F1489" s="2" t="s">
        <v>115</v>
      </c>
      <c r="G1489" s="2">
        <v>1</v>
      </c>
      <c r="H1489" s="2">
        <v>480</v>
      </c>
      <c r="I1489" s="2">
        <v>0</v>
      </c>
      <c r="J1489" s="2">
        <v>480</v>
      </c>
      <c r="K1489" s="2" t="s">
        <v>45</v>
      </c>
      <c r="L1489" s="2" t="s">
        <v>220</v>
      </c>
      <c r="M1489" s="2" t="s">
        <v>21</v>
      </c>
    </row>
    <row r="1490" spans="1:13" x14ac:dyDescent="0.25">
      <c r="A1490" s="2" t="s">
        <v>2782</v>
      </c>
      <c r="B1490" s="2" t="s">
        <v>2783</v>
      </c>
      <c r="C1490" s="2" t="s">
        <v>64</v>
      </c>
      <c r="D1490" s="2" t="s">
        <v>51</v>
      </c>
      <c r="E1490" s="2" t="s">
        <v>111</v>
      </c>
      <c r="F1490" s="2" t="s">
        <v>184</v>
      </c>
      <c r="G1490" s="2">
        <v>1</v>
      </c>
      <c r="H1490" s="2">
        <v>13780</v>
      </c>
      <c r="I1490" s="2">
        <v>5</v>
      </c>
      <c r="J1490" s="2"/>
      <c r="K1490" s="2" t="s">
        <v>144</v>
      </c>
      <c r="L1490" s="2" t="s">
        <v>587</v>
      </c>
      <c r="M1490" s="2"/>
    </row>
    <row r="1491" spans="1:13" x14ac:dyDescent="0.25">
      <c r="A1491" s="2" t="s">
        <v>2784</v>
      </c>
      <c r="B1491" s="2" t="s">
        <v>2785</v>
      </c>
      <c r="C1491" s="2" t="s">
        <v>156</v>
      </c>
      <c r="D1491" s="2" t="s">
        <v>51</v>
      </c>
      <c r="E1491" s="2" t="s">
        <v>17</v>
      </c>
      <c r="F1491" s="2" t="s">
        <v>18</v>
      </c>
      <c r="G1491" s="2">
        <v>2</v>
      </c>
      <c r="H1491" s="2">
        <v>26310</v>
      </c>
      <c r="I1491" s="2">
        <v>10</v>
      </c>
      <c r="J1491" s="2">
        <v>47358</v>
      </c>
      <c r="K1491" s="2" t="s">
        <v>45</v>
      </c>
      <c r="L1491" s="2" t="s">
        <v>206</v>
      </c>
      <c r="M1491" s="2" t="s">
        <v>21</v>
      </c>
    </row>
    <row r="1492" spans="1:13" x14ac:dyDescent="0.25">
      <c r="A1492" s="2" t="s">
        <v>2786</v>
      </c>
      <c r="B1492" s="2" t="s">
        <v>2787</v>
      </c>
      <c r="C1492" s="2" t="s">
        <v>135</v>
      </c>
      <c r="D1492" s="2" t="s">
        <v>58</v>
      </c>
      <c r="E1492" s="2" t="s">
        <v>322</v>
      </c>
      <c r="F1492" s="2" t="s">
        <v>232</v>
      </c>
      <c r="G1492" s="2">
        <v>12</v>
      </c>
      <c r="H1492" s="2">
        <v>480</v>
      </c>
      <c r="I1492" s="2">
        <v>0</v>
      </c>
      <c r="J1492" s="2">
        <v>5760</v>
      </c>
      <c r="K1492" s="2" t="s">
        <v>172</v>
      </c>
      <c r="L1492" s="2" t="s">
        <v>68</v>
      </c>
      <c r="M1492" s="2" t="s">
        <v>47</v>
      </c>
    </row>
    <row r="1493" spans="1:13" x14ac:dyDescent="0.25">
      <c r="A1493" s="2" t="s">
        <v>2788</v>
      </c>
      <c r="B1493" s="2" t="s">
        <v>2789</v>
      </c>
      <c r="C1493" s="2" t="s">
        <v>162</v>
      </c>
      <c r="D1493" s="2" t="s">
        <v>33</v>
      </c>
      <c r="E1493" s="2" t="s">
        <v>59</v>
      </c>
      <c r="F1493" s="2" t="s">
        <v>60</v>
      </c>
      <c r="G1493" s="2">
        <v>1</v>
      </c>
      <c r="H1493" s="2">
        <v>2660</v>
      </c>
      <c r="I1493" s="2">
        <v>0</v>
      </c>
      <c r="J1493" s="2">
        <v>2660</v>
      </c>
      <c r="K1493" s="2" t="s">
        <v>36</v>
      </c>
      <c r="L1493" s="2" t="s">
        <v>37</v>
      </c>
      <c r="M1493" s="2" t="s">
        <v>47</v>
      </c>
    </row>
    <row r="1494" spans="1:13" x14ac:dyDescent="0.25">
      <c r="A1494" s="2" t="s">
        <v>1934</v>
      </c>
      <c r="B1494" s="2" t="s">
        <v>1935</v>
      </c>
      <c r="C1494" s="2" t="s">
        <v>99</v>
      </c>
      <c r="D1494" s="2" t="s">
        <v>16</v>
      </c>
      <c r="E1494" s="2" t="s">
        <v>111</v>
      </c>
      <c r="F1494" s="2" t="s">
        <v>224</v>
      </c>
      <c r="G1494" s="2">
        <v>4</v>
      </c>
      <c r="H1494" s="2">
        <v>17200</v>
      </c>
      <c r="I1494" s="2">
        <v>0</v>
      </c>
      <c r="J1494" s="2">
        <v>68800</v>
      </c>
      <c r="K1494" s="2" t="s">
        <v>67</v>
      </c>
      <c r="L1494" s="2" t="s">
        <v>776</v>
      </c>
      <c r="M1494" s="2" t="s">
        <v>29</v>
      </c>
    </row>
    <row r="1495" spans="1:13" x14ac:dyDescent="0.25">
      <c r="A1495" s="2" t="s">
        <v>2790</v>
      </c>
      <c r="B1495" s="2" t="s">
        <v>2791</v>
      </c>
      <c r="C1495" s="2" t="s">
        <v>576</v>
      </c>
      <c r="D1495" s="2" t="s">
        <v>33</v>
      </c>
      <c r="E1495" s="2" t="s">
        <v>148</v>
      </c>
      <c r="F1495" s="2" t="s">
        <v>435</v>
      </c>
      <c r="G1495" s="2">
        <v>3</v>
      </c>
      <c r="H1495" s="2">
        <v>73820</v>
      </c>
      <c r="I1495" s="2">
        <v>0</v>
      </c>
      <c r="J1495" s="2">
        <v>221460</v>
      </c>
      <c r="K1495" s="2" t="s">
        <v>67</v>
      </c>
      <c r="L1495" s="2" t="s">
        <v>266</v>
      </c>
      <c r="M1495" s="2" t="s">
        <v>21</v>
      </c>
    </row>
    <row r="1496" spans="1:13" x14ac:dyDescent="0.25">
      <c r="A1496" s="2" t="s">
        <v>2792</v>
      </c>
      <c r="B1496" s="2" t="s">
        <v>430</v>
      </c>
      <c r="C1496" s="2" t="s">
        <v>449</v>
      </c>
      <c r="D1496" s="2" t="s">
        <v>42</v>
      </c>
      <c r="E1496" s="2" t="s">
        <v>131</v>
      </c>
      <c r="F1496" s="2" t="s">
        <v>296</v>
      </c>
      <c r="G1496" s="2" t="s">
        <v>138</v>
      </c>
      <c r="H1496" s="2">
        <v>3640</v>
      </c>
      <c r="I1496" s="2">
        <v>0</v>
      </c>
      <c r="J1496" s="2">
        <v>25480</v>
      </c>
      <c r="K1496" s="2" t="s">
        <v>36</v>
      </c>
      <c r="L1496" s="2" t="s">
        <v>188</v>
      </c>
      <c r="M1496" s="2"/>
    </row>
    <row r="1497" spans="1:13" x14ac:dyDescent="0.25">
      <c r="A1497" s="2" t="s">
        <v>2793</v>
      </c>
      <c r="B1497" s="2" t="s">
        <v>2794</v>
      </c>
      <c r="C1497" s="2" t="s">
        <v>156</v>
      </c>
      <c r="D1497" s="2" t="s">
        <v>51</v>
      </c>
      <c r="E1497" s="2" t="s">
        <v>504</v>
      </c>
      <c r="F1497" s="2" t="s">
        <v>435</v>
      </c>
      <c r="G1497" s="2">
        <v>8</v>
      </c>
      <c r="H1497" s="2">
        <v>9720</v>
      </c>
      <c r="I1497" s="2">
        <v>0</v>
      </c>
      <c r="J1497" s="2">
        <v>77760</v>
      </c>
      <c r="K1497" s="2" t="s">
        <v>120</v>
      </c>
      <c r="L1497" s="2" t="s">
        <v>37</v>
      </c>
      <c r="M1497" s="2" t="s">
        <v>140</v>
      </c>
    </row>
    <row r="1498" spans="1:13" x14ac:dyDescent="0.25">
      <c r="A1498" s="2" t="s">
        <v>2795</v>
      </c>
      <c r="B1498" s="2" t="s">
        <v>2796</v>
      </c>
      <c r="C1498" s="2" t="s">
        <v>156</v>
      </c>
      <c r="D1498" s="2" t="s">
        <v>51</v>
      </c>
      <c r="E1498" s="2" t="s">
        <v>179</v>
      </c>
      <c r="F1498" s="2" t="s">
        <v>143</v>
      </c>
      <c r="G1498" s="2">
        <v>9</v>
      </c>
      <c r="H1498" s="2">
        <v>27550</v>
      </c>
      <c r="I1498" s="2">
        <v>15</v>
      </c>
      <c r="J1498" s="2">
        <v>210757.5</v>
      </c>
      <c r="K1498" s="2" t="s">
        <v>87</v>
      </c>
      <c r="L1498" s="2"/>
      <c r="M1498" s="2" t="s">
        <v>47</v>
      </c>
    </row>
    <row r="1499" spans="1:13" x14ac:dyDescent="0.25">
      <c r="A1499" s="2" t="s">
        <v>2797</v>
      </c>
      <c r="B1499" s="2" t="s">
        <v>1139</v>
      </c>
      <c r="C1499" s="2" t="s">
        <v>32</v>
      </c>
      <c r="D1499" s="2" t="s">
        <v>33</v>
      </c>
      <c r="E1499" s="2" t="s">
        <v>137</v>
      </c>
      <c r="F1499" s="2" t="s">
        <v>171</v>
      </c>
      <c r="G1499" s="2">
        <v>8</v>
      </c>
      <c r="H1499" s="2">
        <v>1110</v>
      </c>
      <c r="I1499" s="2">
        <v>0</v>
      </c>
      <c r="J1499" s="2">
        <v>8880</v>
      </c>
      <c r="K1499" s="2" t="s">
        <v>102</v>
      </c>
      <c r="L1499" s="2" t="s">
        <v>341</v>
      </c>
      <c r="M1499" s="2" t="s">
        <v>21</v>
      </c>
    </row>
    <row r="1500" spans="1:13" x14ac:dyDescent="0.25">
      <c r="A1500" s="2" t="s">
        <v>2798</v>
      </c>
      <c r="B1500" s="2" t="s">
        <v>2799</v>
      </c>
      <c r="C1500" s="2" t="s">
        <v>24</v>
      </c>
      <c r="D1500" s="2" t="s">
        <v>16</v>
      </c>
      <c r="E1500" s="2" t="s">
        <v>179</v>
      </c>
      <c r="F1500" s="2" t="s">
        <v>143</v>
      </c>
      <c r="G1500" s="2">
        <v>8</v>
      </c>
      <c r="H1500" s="2">
        <v>1280</v>
      </c>
      <c r="I1500" s="2">
        <v>5</v>
      </c>
      <c r="J1500" s="2">
        <v>9728</v>
      </c>
      <c r="K1500" s="2" t="s">
        <v>87</v>
      </c>
      <c r="L1500" s="2" t="s">
        <v>54</v>
      </c>
      <c r="M1500" s="2" t="s">
        <v>140</v>
      </c>
    </row>
    <row r="1501" spans="1:13" x14ac:dyDescent="0.25">
      <c r="A1501" s="2" t="s">
        <v>2800</v>
      </c>
      <c r="B1501" s="2" t="s">
        <v>1186</v>
      </c>
      <c r="C1501" s="2" t="s">
        <v>156</v>
      </c>
      <c r="D1501" s="2" t="s">
        <v>51</v>
      </c>
      <c r="E1501" s="2" t="s">
        <v>284</v>
      </c>
      <c r="F1501" s="2" t="s">
        <v>435</v>
      </c>
      <c r="G1501" s="2">
        <v>11</v>
      </c>
      <c r="H1501" s="2">
        <v>17120</v>
      </c>
      <c r="I1501" s="2">
        <v>10</v>
      </c>
      <c r="J1501" s="2" t="s">
        <v>223</v>
      </c>
      <c r="K1501" s="2" t="s">
        <v>157</v>
      </c>
      <c r="L1501" s="2" t="s">
        <v>883</v>
      </c>
      <c r="M1501" s="2" t="s">
        <v>21</v>
      </c>
    </row>
    <row r="1502" spans="1:13" x14ac:dyDescent="0.25">
      <c r="A1502" s="2" t="s">
        <v>2801</v>
      </c>
      <c r="B1502" s="2" t="s">
        <v>2802</v>
      </c>
      <c r="C1502" s="2" t="s">
        <v>76</v>
      </c>
      <c r="D1502" s="2" t="s">
        <v>33</v>
      </c>
      <c r="E1502" s="2" t="s">
        <v>65</v>
      </c>
      <c r="F1502" s="2" t="s">
        <v>314</v>
      </c>
      <c r="G1502" s="2">
        <v>6</v>
      </c>
      <c r="H1502" s="2">
        <v>8110</v>
      </c>
      <c r="I1502" s="2">
        <v>0</v>
      </c>
      <c r="J1502" s="2">
        <v>48660</v>
      </c>
      <c r="K1502" s="2" t="s">
        <v>139</v>
      </c>
      <c r="L1502" s="2" t="s">
        <v>344</v>
      </c>
      <c r="M1502" s="2" t="s">
        <v>21</v>
      </c>
    </row>
    <row r="1503" spans="1:13" x14ac:dyDescent="0.25">
      <c r="A1503" s="2" t="s">
        <v>2803</v>
      </c>
      <c r="B1503" s="2" t="s">
        <v>2804</v>
      </c>
      <c r="C1503" s="2" t="s">
        <v>227</v>
      </c>
      <c r="D1503" s="2" t="s">
        <v>33</v>
      </c>
      <c r="E1503" s="2" t="s">
        <v>111</v>
      </c>
      <c r="F1503" s="2" t="s">
        <v>143</v>
      </c>
      <c r="G1503" s="2">
        <v>1</v>
      </c>
      <c r="H1503" s="2">
        <v>7580</v>
      </c>
      <c r="I1503" s="2">
        <v>0</v>
      </c>
      <c r="J1503" s="2"/>
      <c r="K1503" s="2" t="s">
        <v>94</v>
      </c>
      <c r="L1503" s="2" t="s">
        <v>473</v>
      </c>
      <c r="M1503" s="2" t="s">
        <v>128</v>
      </c>
    </row>
    <row r="1504" spans="1:13" x14ac:dyDescent="0.25">
      <c r="A1504" s="2" t="s">
        <v>2805</v>
      </c>
      <c r="B1504" s="2" t="s">
        <v>2806</v>
      </c>
      <c r="C1504" s="2" t="s">
        <v>227</v>
      </c>
      <c r="D1504" s="2" t="s">
        <v>33</v>
      </c>
      <c r="E1504" s="2" t="s">
        <v>82</v>
      </c>
      <c r="F1504" s="2" t="s">
        <v>149</v>
      </c>
      <c r="G1504" s="2">
        <v>9</v>
      </c>
      <c r="H1504" s="2">
        <v>10160</v>
      </c>
      <c r="I1504" s="2">
        <v>0</v>
      </c>
      <c r="J1504" s="2">
        <v>91440</v>
      </c>
      <c r="K1504" s="2" t="s">
        <v>67</v>
      </c>
      <c r="L1504" s="2" t="s">
        <v>491</v>
      </c>
      <c r="M1504" s="2" t="s">
        <v>38</v>
      </c>
    </row>
    <row r="1505" spans="1:13" x14ac:dyDescent="0.25">
      <c r="A1505" s="2" t="s">
        <v>2807</v>
      </c>
      <c r="B1505" s="2" t="s">
        <v>2808</v>
      </c>
      <c r="C1505" s="2"/>
      <c r="D1505" s="2" t="s">
        <v>51</v>
      </c>
      <c r="E1505" s="2" t="s">
        <v>322</v>
      </c>
      <c r="F1505" s="2" t="s">
        <v>543</v>
      </c>
      <c r="G1505" s="2">
        <v>1</v>
      </c>
      <c r="H1505" s="2">
        <v>20690</v>
      </c>
      <c r="I1505" s="2">
        <v>5</v>
      </c>
      <c r="J1505" s="2" t="s">
        <v>107</v>
      </c>
      <c r="K1505" s="2" t="s">
        <v>127</v>
      </c>
      <c r="L1505" s="2" t="s">
        <v>2809</v>
      </c>
      <c r="M1505" s="2" t="s">
        <v>47</v>
      </c>
    </row>
    <row r="1506" spans="1:13" x14ac:dyDescent="0.25">
      <c r="A1506" s="2" t="s">
        <v>2810</v>
      </c>
      <c r="B1506" s="2" t="s">
        <v>2811</v>
      </c>
      <c r="C1506" s="2" t="s">
        <v>50</v>
      </c>
      <c r="D1506" s="2" t="s">
        <v>51</v>
      </c>
      <c r="E1506" s="2" t="s">
        <v>77</v>
      </c>
      <c r="F1506" s="2" t="s">
        <v>184</v>
      </c>
      <c r="G1506" s="2">
        <v>9</v>
      </c>
      <c r="H1506" s="2">
        <v>1080</v>
      </c>
      <c r="I1506" s="2">
        <v>0</v>
      </c>
      <c r="J1506" s="2">
        <v>9720</v>
      </c>
      <c r="K1506" s="2" t="s">
        <v>36</v>
      </c>
      <c r="L1506" s="2" t="s">
        <v>658</v>
      </c>
      <c r="M1506" s="2" t="s">
        <v>821</v>
      </c>
    </row>
    <row r="1507" spans="1:13" x14ac:dyDescent="0.25">
      <c r="A1507" s="2" t="s">
        <v>2812</v>
      </c>
      <c r="B1507" s="2" t="s">
        <v>2813</v>
      </c>
      <c r="C1507" s="2" t="s">
        <v>50</v>
      </c>
      <c r="D1507" s="2" t="s">
        <v>51</v>
      </c>
      <c r="E1507" s="2" t="s">
        <v>82</v>
      </c>
      <c r="F1507" s="2" t="s">
        <v>60</v>
      </c>
      <c r="G1507" s="2">
        <v>2</v>
      </c>
      <c r="H1507" s="2">
        <v>48970</v>
      </c>
      <c r="I1507" s="2">
        <v>0</v>
      </c>
      <c r="J1507" s="2">
        <v>97940</v>
      </c>
      <c r="K1507" s="2" t="s">
        <v>27</v>
      </c>
      <c r="L1507" s="2" t="s">
        <v>168</v>
      </c>
      <c r="M1507" s="2" t="s">
        <v>47</v>
      </c>
    </row>
    <row r="1508" spans="1:13" x14ac:dyDescent="0.25">
      <c r="A1508" s="2" t="s">
        <v>2814</v>
      </c>
      <c r="B1508" s="2" t="s">
        <v>1705</v>
      </c>
      <c r="C1508" s="2" t="s">
        <v>57</v>
      </c>
      <c r="D1508" s="2" t="s">
        <v>58</v>
      </c>
      <c r="E1508" s="2" t="s">
        <v>504</v>
      </c>
      <c r="F1508" s="2" t="s">
        <v>252</v>
      </c>
      <c r="G1508" s="2">
        <v>2</v>
      </c>
      <c r="H1508" s="2">
        <v>4710</v>
      </c>
      <c r="I1508" s="2">
        <v>5</v>
      </c>
      <c r="J1508" s="2">
        <v>8949</v>
      </c>
      <c r="K1508" s="2" t="s">
        <v>205</v>
      </c>
      <c r="L1508" s="2" t="s">
        <v>136</v>
      </c>
      <c r="M1508" s="2" t="s">
        <v>253</v>
      </c>
    </row>
    <row r="1509" spans="1:13" x14ac:dyDescent="0.25">
      <c r="A1509" s="2" t="s">
        <v>2815</v>
      </c>
      <c r="B1509" s="2" t="s">
        <v>2816</v>
      </c>
      <c r="C1509" s="2" t="s">
        <v>135</v>
      </c>
      <c r="D1509" s="2" t="s">
        <v>58</v>
      </c>
      <c r="E1509" s="2" t="s">
        <v>137</v>
      </c>
      <c r="F1509" s="2" t="s">
        <v>164</v>
      </c>
      <c r="G1509" s="2">
        <v>9</v>
      </c>
      <c r="H1509" s="2">
        <v>4900</v>
      </c>
      <c r="I1509" s="2">
        <v>5</v>
      </c>
      <c r="J1509" s="2">
        <v>41895</v>
      </c>
      <c r="K1509" s="2" t="s">
        <v>19</v>
      </c>
      <c r="L1509" s="2" t="s">
        <v>220</v>
      </c>
      <c r="M1509" s="2" t="s">
        <v>215</v>
      </c>
    </row>
    <row r="1510" spans="1:13" x14ac:dyDescent="0.25">
      <c r="A1510" s="2" t="s">
        <v>2817</v>
      </c>
      <c r="B1510" s="2" t="s">
        <v>2818</v>
      </c>
      <c r="C1510" s="2" t="s">
        <v>57</v>
      </c>
      <c r="D1510" s="2" t="s">
        <v>58</v>
      </c>
      <c r="E1510" s="2" t="s">
        <v>504</v>
      </c>
      <c r="F1510" s="2" t="s">
        <v>379</v>
      </c>
      <c r="G1510" s="2">
        <v>7</v>
      </c>
      <c r="H1510" s="2">
        <v>9640</v>
      </c>
      <c r="I1510" s="2">
        <v>10</v>
      </c>
      <c r="J1510" s="2">
        <v>60732</v>
      </c>
      <c r="K1510" s="2" t="s">
        <v>139</v>
      </c>
      <c r="L1510" s="2" t="s">
        <v>46</v>
      </c>
      <c r="M1510" s="2" t="s">
        <v>47</v>
      </c>
    </row>
    <row r="1511" spans="1:13" x14ac:dyDescent="0.25">
      <c r="A1511" s="2" t="s">
        <v>2819</v>
      </c>
      <c r="B1511" s="2" t="s">
        <v>1275</v>
      </c>
      <c r="C1511" s="2" t="s">
        <v>135</v>
      </c>
      <c r="D1511" s="2" t="s">
        <v>58</v>
      </c>
      <c r="E1511" s="2" t="s">
        <v>148</v>
      </c>
      <c r="F1511" s="2" t="s">
        <v>83</v>
      </c>
      <c r="G1511" s="2">
        <v>5</v>
      </c>
      <c r="H1511" s="2">
        <v>3980</v>
      </c>
      <c r="I1511" s="2">
        <v>0</v>
      </c>
      <c r="J1511" s="2">
        <v>19900</v>
      </c>
      <c r="K1511" s="2" t="s">
        <v>87</v>
      </c>
      <c r="L1511" s="2" t="s">
        <v>440</v>
      </c>
      <c r="M1511" s="2" t="s">
        <v>29</v>
      </c>
    </row>
    <row r="1512" spans="1:13" x14ac:dyDescent="0.25">
      <c r="A1512" s="2" t="s">
        <v>2820</v>
      </c>
      <c r="B1512" s="2" t="s">
        <v>836</v>
      </c>
      <c r="C1512" s="2" t="s">
        <v>663</v>
      </c>
      <c r="D1512" s="2" t="s">
        <v>51</v>
      </c>
      <c r="E1512" s="2" t="s">
        <v>77</v>
      </c>
      <c r="F1512" s="2" t="s">
        <v>143</v>
      </c>
      <c r="G1512" s="2">
        <v>10</v>
      </c>
      <c r="H1512" s="2">
        <v>500</v>
      </c>
      <c r="I1512" s="2">
        <v>0</v>
      </c>
      <c r="J1512" s="2">
        <v>5000</v>
      </c>
      <c r="K1512" s="2" t="s">
        <v>19</v>
      </c>
      <c r="L1512" s="2" t="s">
        <v>112</v>
      </c>
      <c r="M1512" s="2" t="s">
        <v>21</v>
      </c>
    </row>
    <row r="1513" spans="1:13" x14ac:dyDescent="0.25">
      <c r="A1513" s="2" t="s">
        <v>2821</v>
      </c>
      <c r="B1513" s="2" t="s">
        <v>714</v>
      </c>
      <c r="C1513" s="2" t="s">
        <v>204</v>
      </c>
      <c r="D1513" s="2" t="s">
        <v>33</v>
      </c>
      <c r="E1513" s="2" t="s">
        <v>148</v>
      </c>
      <c r="F1513" s="2" t="s">
        <v>83</v>
      </c>
      <c r="G1513" s="2">
        <v>7</v>
      </c>
      <c r="H1513" s="2">
        <v>65610</v>
      </c>
      <c r="I1513" s="2">
        <v>5</v>
      </c>
      <c r="J1513" s="2"/>
      <c r="K1513" s="2" t="s">
        <v>45</v>
      </c>
      <c r="L1513" s="2" t="s">
        <v>73</v>
      </c>
      <c r="M1513" s="2" t="s">
        <v>21</v>
      </c>
    </row>
    <row r="1514" spans="1:13" x14ac:dyDescent="0.25">
      <c r="A1514" s="2" t="s">
        <v>2822</v>
      </c>
      <c r="B1514" s="2" t="s">
        <v>2823</v>
      </c>
      <c r="C1514" s="2" t="s">
        <v>41</v>
      </c>
      <c r="D1514" s="2" t="s">
        <v>42</v>
      </c>
      <c r="E1514" s="2" t="s">
        <v>65</v>
      </c>
      <c r="F1514" s="2" t="s">
        <v>219</v>
      </c>
      <c r="G1514" s="2">
        <v>6</v>
      </c>
      <c r="H1514" s="2">
        <v>3340</v>
      </c>
      <c r="I1514" s="2">
        <v>0</v>
      </c>
      <c r="J1514" s="2">
        <v>20040</v>
      </c>
      <c r="K1514" s="2" t="s">
        <v>94</v>
      </c>
      <c r="L1514" s="2" t="s">
        <v>176</v>
      </c>
      <c r="M1514" s="2" t="s">
        <v>215</v>
      </c>
    </row>
    <row r="1515" spans="1:13" x14ac:dyDescent="0.25">
      <c r="A1515" s="2" t="s">
        <v>2824</v>
      </c>
      <c r="B1515" s="2" t="s">
        <v>988</v>
      </c>
      <c r="C1515" s="2" t="s">
        <v>32</v>
      </c>
      <c r="D1515" s="2" t="s">
        <v>138</v>
      </c>
      <c r="E1515" s="2" t="s">
        <v>195</v>
      </c>
      <c r="F1515" s="2" t="s">
        <v>374</v>
      </c>
      <c r="G1515" s="2">
        <v>4</v>
      </c>
      <c r="H1515" s="2">
        <v>13450</v>
      </c>
      <c r="I1515" s="2">
        <v>0</v>
      </c>
      <c r="J1515" s="2">
        <v>53800</v>
      </c>
      <c r="K1515" s="2" t="s">
        <v>144</v>
      </c>
      <c r="L1515" s="2" t="s">
        <v>440</v>
      </c>
      <c r="M1515" s="2" t="s">
        <v>47</v>
      </c>
    </row>
    <row r="1516" spans="1:13" x14ac:dyDescent="0.25">
      <c r="A1516" s="2" t="s">
        <v>2825</v>
      </c>
      <c r="B1516" s="2" t="s">
        <v>2826</v>
      </c>
      <c r="C1516" s="2" t="s">
        <v>32</v>
      </c>
      <c r="D1516" s="2" t="s">
        <v>138</v>
      </c>
      <c r="E1516" s="2" t="s">
        <v>195</v>
      </c>
      <c r="F1516" s="2" t="s">
        <v>374</v>
      </c>
      <c r="G1516" s="2">
        <v>0</v>
      </c>
      <c r="H1516" s="2">
        <v>11160</v>
      </c>
      <c r="I1516" s="2">
        <v>0</v>
      </c>
      <c r="J1516" s="2">
        <v>33480</v>
      </c>
      <c r="K1516" s="2" t="s">
        <v>94</v>
      </c>
      <c r="L1516" s="2" t="s">
        <v>344</v>
      </c>
      <c r="M1516" s="2" t="s">
        <v>29</v>
      </c>
    </row>
    <row r="1517" spans="1:13" x14ac:dyDescent="0.25">
      <c r="A1517" s="2" t="s">
        <v>2827</v>
      </c>
      <c r="B1517" s="2" t="s">
        <v>1162</v>
      </c>
      <c r="C1517" s="2" t="s">
        <v>281</v>
      </c>
      <c r="D1517" s="2" t="s">
        <v>51</v>
      </c>
      <c r="E1517" s="2" t="s">
        <v>59</v>
      </c>
      <c r="F1517" s="2" t="s">
        <v>83</v>
      </c>
      <c r="G1517" s="2">
        <v>10</v>
      </c>
      <c r="H1517" s="2">
        <v>50070</v>
      </c>
      <c r="I1517" s="2">
        <v>0</v>
      </c>
      <c r="J1517" s="2">
        <v>500700</v>
      </c>
      <c r="K1517" s="2" t="s">
        <v>102</v>
      </c>
      <c r="L1517" s="2" t="s">
        <v>73</v>
      </c>
      <c r="M1517" s="2" t="s">
        <v>47</v>
      </c>
    </row>
    <row r="1518" spans="1:13" x14ac:dyDescent="0.25">
      <c r="A1518" s="2" t="s">
        <v>2828</v>
      </c>
      <c r="B1518" s="2" t="s">
        <v>2094</v>
      </c>
      <c r="C1518" s="2" t="s">
        <v>198</v>
      </c>
      <c r="D1518" s="2" t="s">
        <v>42</v>
      </c>
      <c r="E1518" s="2" t="s">
        <v>163</v>
      </c>
      <c r="F1518" s="2" t="s">
        <v>290</v>
      </c>
      <c r="G1518" s="2">
        <v>4</v>
      </c>
      <c r="H1518" s="2">
        <v>1170</v>
      </c>
      <c r="I1518" s="2">
        <v>0</v>
      </c>
      <c r="J1518" s="2">
        <v>4680</v>
      </c>
      <c r="K1518" s="2" t="s">
        <v>19</v>
      </c>
      <c r="L1518" s="2" t="s">
        <v>68</v>
      </c>
      <c r="M1518" s="2" t="s">
        <v>21</v>
      </c>
    </row>
    <row r="1519" spans="1:13" x14ac:dyDescent="0.25">
      <c r="A1519" s="2" t="s">
        <v>2829</v>
      </c>
      <c r="B1519" s="2" t="s">
        <v>2830</v>
      </c>
      <c r="C1519" s="2" t="s">
        <v>118</v>
      </c>
      <c r="D1519" s="2" t="s">
        <v>51</v>
      </c>
      <c r="E1519" s="2" t="s">
        <v>105</v>
      </c>
      <c r="F1519" s="2" t="s">
        <v>106</v>
      </c>
      <c r="G1519" s="2">
        <v>7</v>
      </c>
      <c r="H1519" s="2">
        <v>5470</v>
      </c>
      <c r="I1519" s="2">
        <v>15</v>
      </c>
      <c r="J1519" s="2">
        <v>32546.5</v>
      </c>
      <c r="K1519" s="2" t="s">
        <v>67</v>
      </c>
      <c r="L1519" s="2" t="s">
        <v>54</v>
      </c>
      <c r="M1519" s="2" t="s">
        <v>821</v>
      </c>
    </row>
    <row r="1520" spans="1:13" x14ac:dyDescent="0.25">
      <c r="A1520" s="2" t="s">
        <v>2831</v>
      </c>
      <c r="B1520" s="2" t="s">
        <v>1259</v>
      </c>
      <c r="C1520" s="2" t="s">
        <v>57</v>
      </c>
      <c r="D1520" s="2" t="s">
        <v>58</v>
      </c>
      <c r="E1520" s="2" t="s">
        <v>77</v>
      </c>
      <c r="F1520" s="2" t="s">
        <v>184</v>
      </c>
      <c r="G1520" s="2">
        <v>8</v>
      </c>
      <c r="H1520" s="2">
        <v>4980</v>
      </c>
      <c r="I1520" s="2">
        <v>0</v>
      </c>
      <c r="J1520" s="2">
        <v>39840</v>
      </c>
      <c r="K1520" s="2" t="s">
        <v>67</v>
      </c>
      <c r="L1520" s="2" t="s">
        <v>266</v>
      </c>
      <c r="M1520" s="2" t="s">
        <v>47</v>
      </c>
    </row>
    <row r="1521" spans="1:13" x14ac:dyDescent="0.25">
      <c r="A1521" s="2" t="s">
        <v>2832</v>
      </c>
      <c r="B1521" s="2" t="s">
        <v>386</v>
      </c>
      <c r="C1521" s="2" t="s">
        <v>238</v>
      </c>
      <c r="D1521" s="2" t="s">
        <v>51</v>
      </c>
      <c r="E1521" s="2" t="s">
        <v>92</v>
      </c>
      <c r="F1521" s="2" t="s">
        <v>248</v>
      </c>
      <c r="G1521" s="2">
        <v>9</v>
      </c>
      <c r="H1521" s="2">
        <v>9090</v>
      </c>
      <c r="I1521" s="2">
        <v>5</v>
      </c>
      <c r="J1521" s="2">
        <v>77719.5</v>
      </c>
      <c r="K1521" s="2" t="s">
        <v>205</v>
      </c>
      <c r="L1521" s="2" t="s">
        <v>883</v>
      </c>
      <c r="M1521" s="2" t="s">
        <v>140</v>
      </c>
    </row>
    <row r="1522" spans="1:13" x14ac:dyDescent="0.25">
      <c r="A1522" s="2" t="s">
        <v>2833</v>
      </c>
      <c r="B1522" s="2" t="s">
        <v>2491</v>
      </c>
      <c r="C1522" s="2" t="s">
        <v>156</v>
      </c>
      <c r="D1522" s="2" t="s">
        <v>51</v>
      </c>
      <c r="E1522" s="2" t="s">
        <v>195</v>
      </c>
      <c r="F1522" s="2" t="s">
        <v>71</v>
      </c>
      <c r="G1522" s="2">
        <v>5</v>
      </c>
      <c r="H1522" s="2">
        <v>2540</v>
      </c>
      <c r="I1522" s="2">
        <v>5</v>
      </c>
      <c r="J1522" s="2">
        <v>12065</v>
      </c>
      <c r="K1522" s="2" t="s">
        <v>172</v>
      </c>
      <c r="L1522" s="2" t="s">
        <v>2809</v>
      </c>
      <c r="M1522" s="2" t="s">
        <v>21</v>
      </c>
    </row>
    <row r="1523" spans="1:13" x14ac:dyDescent="0.25">
      <c r="A1523" s="2" t="s">
        <v>2834</v>
      </c>
      <c r="B1523" s="2" t="s">
        <v>1143</v>
      </c>
      <c r="C1523" s="2" t="s">
        <v>24</v>
      </c>
      <c r="D1523" s="2" t="s">
        <v>16</v>
      </c>
      <c r="E1523" s="2" t="s">
        <v>223</v>
      </c>
      <c r="F1523" s="2" t="s">
        <v>60</v>
      </c>
      <c r="G1523" s="2">
        <v>1</v>
      </c>
      <c r="H1523" s="2">
        <v>19440</v>
      </c>
      <c r="I1523" s="2">
        <v>0</v>
      </c>
      <c r="J1523" s="2">
        <v>19440</v>
      </c>
      <c r="K1523" s="2" t="s">
        <v>120</v>
      </c>
      <c r="L1523" s="2" t="s">
        <v>473</v>
      </c>
      <c r="M1523" s="2" t="s">
        <v>201</v>
      </c>
    </row>
    <row r="1524" spans="1:13" x14ac:dyDescent="0.25">
      <c r="A1524" s="2" t="s">
        <v>2835</v>
      </c>
      <c r="B1524" s="2" t="s">
        <v>2836</v>
      </c>
      <c r="C1524" s="2" t="s">
        <v>135</v>
      </c>
      <c r="D1524" s="2" t="s">
        <v>58</v>
      </c>
      <c r="E1524" s="2" t="s">
        <v>17</v>
      </c>
      <c r="F1524" s="2" t="s">
        <v>290</v>
      </c>
      <c r="G1524" s="2">
        <v>4</v>
      </c>
      <c r="H1524" s="2">
        <v>19080</v>
      </c>
      <c r="I1524" s="2">
        <v>0</v>
      </c>
      <c r="J1524" s="2">
        <v>76320</v>
      </c>
      <c r="K1524" s="2" t="s">
        <v>27</v>
      </c>
      <c r="L1524" s="2" t="s">
        <v>2837</v>
      </c>
      <c r="M1524" s="2" t="s">
        <v>38</v>
      </c>
    </row>
    <row r="1525" spans="1:13" x14ac:dyDescent="0.25">
      <c r="A1525" s="2" t="s">
        <v>2838</v>
      </c>
      <c r="B1525" s="2" t="s">
        <v>2220</v>
      </c>
      <c r="C1525" s="2" t="s">
        <v>156</v>
      </c>
      <c r="D1525" s="2" t="s">
        <v>51</v>
      </c>
      <c r="E1525" s="2" t="s">
        <v>179</v>
      </c>
      <c r="F1525" s="2" t="s">
        <v>224</v>
      </c>
      <c r="G1525" s="2">
        <v>6</v>
      </c>
      <c r="H1525" s="2">
        <v>520</v>
      </c>
      <c r="I1525" s="2">
        <v>0</v>
      </c>
      <c r="J1525" s="2">
        <v>3120</v>
      </c>
      <c r="K1525" s="2" t="s">
        <v>53</v>
      </c>
      <c r="L1525" s="2" t="s">
        <v>2839</v>
      </c>
      <c r="M1525" s="2" t="s">
        <v>140</v>
      </c>
    </row>
    <row r="1526" spans="1:13" x14ac:dyDescent="0.25">
      <c r="A1526" s="2" t="s">
        <v>2840</v>
      </c>
      <c r="B1526" s="2" t="s">
        <v>1447</v>
      </c>
      <c r="C1526" s="2" t="s">
        <v>41</v>
      </c>
      <c r="D1526" s="2" t="s">
        <v>42</v>
      </c>
      <c r="E1526" s="2" t="s">
        <v>125</v>
      </c>
      <c r="F1526" s="2" t="s">
        <v>314</v>
      </c>
      <c r="G1526" s="2">
        <v>11</v>
      </c>
      <c r="H1526" s="2">
        <v>17680</v>
      </c>
      <c r="I1526" s="2">
        <v>15</v>
      </c>
      <c r="J1526" s="2">
        <v>165308</v>
      </c>
      <c r="K1526" s="2" t="s">
        <v>139</v>
      </c>
      <c r="L1526" s="2" t="s">
        <v>73</v>
      </c>
      <c r="M1526" s="2" t="s">
        <v>128</v>
      </c>
    </row>
    <row r="1527" spans="1:13" x14ac:dyDescent="0.25">
      <c r="A1527" s="2" t="s">
        <v>2841</v>
      </c>
      <c r="B1527" s="2" t="s">
        <v>226</v>
      </c>
      <c r="C1527" s="2" t="s">
        <v>32</v>
      </c>
      <c r="D1527" s="2" t="s">
        <v>33</v>
      </c>
      <c r="E1527" s="2" t="s">
        <v>295</v>
      </c>
      <c r="F1527" s="2" t="s">
        <v>296</v>
      </c>
      <c r="G1527" s="2">
        <v>1</v>
      </c>
      <c r="H1527" s="2">
        <v>43250</v>
      </c>
      <c r="I1527" s="2">
        <v>5</v>
      </c>
      <c r="J1527" s="2"/>
      <c r="K1527" s="2" t="s">
        <v>27</v>
      </c>
      <c r="L1527" s="2" t="s">
        <v>68</v>
      </c>
      <c r="M1527" s="2" t="s">
        <v>47</v>
      </c>
    </row>
    <row r="1528" spans="1:13" x14ac:dyDescent="0.25">
      <c r="A1528" s="2" t="s">
        <v>2842</v>
      </c>
      <c r="B1528" s="2" t="s">
        <v>2843</v>
      </c>
      <c r="C1528" s="2" t="s">
        <v>41</v>
      </c>
      <c r="D1528" s="2" t="s">
        <v>42</v>
      </c>
      <c r="E1528" s="2" t="s">
        <v>59</v>
      </c>
      <c r="F1528" s="2" t="s">
        <v>209</v>
      </c>
      <c r="G1528" s="2" t="s">
        <v>152</v>
      </c>
      <c r="H1528" s="2">
        <v>10880</v>
      </c>
      <c r="I1528" s="2">
        <v>15</v>
      </c>
      <c r="J1528" s="2">
        <v>83232</v>
      </c>
      <c r="K1528" s="2" t="s">
        <v>87</v>
      </c>
      <c r="L1528" s="2" t="s">
        <v>1504</v>
      </c>
      <c r="M1528" s="2" t="s">
        <v>29</v>
      </c>
    </row>
    <row r="1529" spans="1:13" x14ac:dyDescent="0.25">
      <c r="A1529" s="2" t="s">
        <v>2844</v>
      </c>
      <c r="B1529" s="2" t="s">
        <v>1212</v>
      </c>
      <c r="C1529" s="2" t="s">
        <v>213</v>
      </c>
      <c r="D1529" s="2" t="s">
        <v>58</v>
      </c>
      <c r="E1529" s="2" t="s">
        <v>92</v>
      </c>
      <c r="F1529" s="2" t="s">
        <v>93</v>
      </c>
      <c r="G1529" s="2">
        <v>8</v>
      </c>
      <c r="H1529" s="2">
        <v>6930</v>
      </c>
      <c r="I1529" s="2" t="s">
        <v>223</v>
      </c>
      <c r="J1529" s="2">
        <v>49896</v>
      </c>
      <c r="K1529" s="2" t="s">
        <v>94</v>
      </c>
      <c r="L1529" s="2" t="s">
        <v>406</v>
      </c>
      <c r="M1529" s="2" t="s">
        <v>21</v>
      </c>
    </row>
    <row r="1530" spans="1:13" x14ac:dyDescent="0.25">
      <c r="A1530" s="2" t="s">
        <v>2845</v>
      </c>
      <c r="B1530" s="2" t="s">
        <v>2846</v>
      </c>
      <c r="C1530" s="2" t="s">
        <v>135</v>
      </c>
      <c r="D1530" s="2" t="s">
        <v>58</v>
      </c>
      <c r="E1530" s="2" t="s">
        <v>179</v>
      </c>
      <c r="F1530" s="2" t="s">
        <v>232</v>
      </c>
      <c r="G1530" s="2">
        <v>10</v>
      </c>
      <c r="H1530" s="2">
        <v>8080</v>
      </c>
      <c r="I1530" s="2">
        <v>15</v>
      </c>
      <c r="J1530" s="2" t="s">
        <v>136</v>
      </c>
      <c r="K1530" s="2" t="s">
        <v>102</v>
      </c>
      <c r="L1530" s="2" t="s">
        <v>79</v>
      </c>
      <c r="M1530" s="2" t="s">
        <v>21</v>
      </c>
    </row>
    <row r="1531" spans="1:13" x14ac:dyDescent="0.25">
      <c r="A1531" s="2" t="s">
        <v>2847</v>
      </c>
      <c r="B1531" s="2" t="s">
        <v>996</v>
      </c>
      <c r="C1531" s="2" t="s">
        <v>76</v>
      </c>
      <c r="D1531" s="2" t="s">
        <v>33</v>
      </c>
      <c r="E1531" s="2" t="s">
        <v>131</v>
      </c>
      <c r="F1531" s="2" t="s">
        <v>296</v>
      </c>
      <c r="G1531" s="2">
        <v>5</v>
      </c>
      <c r="H1531" s="2">
        <v>11500</v>
      </c>
      <c r="I1531" s="2">
        <v>15</v>
      </c>
      <c r="J1531" s="2">
        <v>48875</v>
      </c>
      <c r="K1531" s="2" t="s">
        <v>45</v>
      </c>
      <c r="L1531" s="2"/>
      <c r="M1531" s="2" t="s">
        <v>29</v>
      </c>
    </row>
    <row r="1532" spans="1:13" x14ac:dyDescent="0.25">
      <c r="A1532" s="2" t="s">
        <v>2848</v>
      </c>
      <c r="B1532" s="2" t="s">
        <v>2849</v>
      </c>
      <c r="C1532" s="2" t="s">
        <v>32</v>
      </c>
      <c r="D1532" s="2" t="s">
        <v>33</v>
      </c>
      <c r="E1532" s="2" t="s">
        <v>284</v>
      </c>
      <c r="F1532" s="2" t="s">
        <v>209</v>
      </c>
      <c r="G1532" s="2">
        <v>3</v>
      </c>
      <c r="H1532" s="2">
        <v>68330</v>
      </c>
      <c r="I1532" s="2" t="s">
        <v>152</v>
      </c>
      <c r="J1532" s="2" t="s">
        <v>136</v>
      </c>
      <c r="K1532" s="2" t="s">
        <v>127</v>
      </c>
      <c r="L1532" s="2" t="s">
        <v>2347</v>
      </c>
      <c r="M1532" s="2" t="s">
        <v>140</v>
      </c>
    </row>
    <row r="1533" spans="1:13" x14ac:dyDescent="0.25">
      <c r="A1533" s="2" t="s">
        <v>2850</v>
      </c>
      <c r="B1533" s="2" t="s">
        <v>542</v>
      </c>
      <c r="C1533" s="2" t="s">
        <v>152</v>
      </c>
      <c r="D1533" s="2" t="s">
        <v>51</v>
      </c>
      <c r="E1533" s="2" t="s">
        <v>295</v>
      </c>
      <c r="F1533" s="2" t="s">
        <v>219</v>
      </c>
      <c r="G1533" s="2">
        <v>9</v>
      </c>
      <c r="H1533" s="2">
        <v>1220</v>
      </c>
      <c r="I1533" s="2" t="s">
        <v>223</v>
      </c>
      <c r="J1533" s="2">
        <v>10431</v>
      </c>
      <c r="K1533" s="2" t="s">
        <v>67</v>
      </c>
      <c r="L1533" s="2" t="s">
        <v>599</v>
      </c>
      <c r="M1533" s="2" t="s">
        <v>47</v>
      </c>
    </row>
    <row r="1534" spans="1:13" x14ac:dyDescent="0.25">
      <c r="A1534" s="2" t="s">
        <v>2851</v>
      </c>
      <c r="B1534" s="2" t="s">
        <v>702</v>
      </c>
      <c r="C1534" s="2" t="s">
        <v>213</v>
      </c>
      <c r="D1534" s="2" t="s">
        <v>58</v>
      </c>
      <c r="E1534" s="2"/>
      <c r="F1534" s="2" t="s">
        <v>232</v>
      </c>
      <c r="G1534" s="2">
        <v>2</v>
      </c>
      <c r="H1534" s="2">
        <v>3720</v>
      </c>
      <c r="I1534" s="2">
        <v>0</v>
      </c>
      <c r="J1534" s="2">
        <v>7440</v>
      </c>
      <c r="K1534" s="2" t="s">
        <v>67</v>
      </c>
      <c r="L1534" s="2" t="s">
        <v>1281</v>
      </c>
      <c r="M1534" s="2" t="s">
        <v>47</v>
      </c>
    </row>
    <row r="1535" spans="1:13" x14ac:dyDescent="0.25">
      <c r="A1535" s="2" t="s">
        <v>2852</v>
      </c>
      <c r="B1535" s="2" t="s">
        <v>1648</v>
      </c>
      <c r="C1535" s="2" t="s">
        <v>156</v>
      </c>
      <c r="D1535" s="2" t="s">
        <v>51</v>
      </c>
      <c r="E1535" s="2" t="s">
        <v>34</v>
      </c>
      <c r="F1535" s="2" t="s">
        <v>290</v>
      </c>
      <c r="G1535" s="2">
        <v>7</v>
      </c>
      <c r="H1535" s="2">
        <v>7140</v>
      </c>
      <c r="I1535" s="2">
        <v>0</v>
      </c>
      <c r="J1535" s="2">
        <v>49980</v>
      </c>
      <c r="K1535" s="2"/>
      <c r="L1535" s="2" t="s">
        <v>339</v>
      </c>
      <c r="M1535" s="2" t="s">
        <v>47</v>
      </c>
    </row>
    <row r="1536" spans="1:13" x14ac:dyDescent="0.25">
      <c r="A1536" s="2" t="s">
        <v>2853</v>
      </c>
      <c r="B1536" s="2" t="s">
        <v>1238</v>
      </c>
      <c r="C1536" s="2" t="s">
        <v>118</v>
      </c>
      <c r="D1536" s="2" t="s">
        <v>51</v>
      </c>
      <c r="E1536" s="2" t="s">
        <v>195</v>
      </c>
      <c r="F1536" s="2" t="s">
        <v>18</v>
      </c>
      <c r="G1536" s="2">
        <v>6</v>
      </c>
      <c r="H1536" s="2">
        <v>62750</v>
      </c>
      <c r="I1536" s="2">
        <v>10</v>
      </c>
      <c r="J1536" s="2" t="s">
        <v>136</v>
      </c>
      <c r="K1536" s="2" t="s">
        <v>205</v>
      </c>
      <c r="L1536" s="2" t="s">
        <v>214</v>
      </c>
      <c r="M1536" s="2" t="s">
        <v>128</v>
      </c>
    </row>
    <row r="1537" spans="1:13" x14ac:dyDescent="0.25">
      <c r="A1537" s="2" t="s">
        <v>2854</v>
      </c>
      <c r="B1537" s="2" t="s">
        <v>2323</v>
      </c>
      <c r="C1537" s="2" t="s">
        <v>124</v>
      </c>
      <c r="D1537" s="2" t="s">
        <v>51</v>
      </c>
      <c r="E1537" s="2" t="s">
        <v>231</v>
      </c>
      <c r="F1537" s="2" t="s">
        <v>239</v>
      </c>
      <c r="G1537" s="2">
        <v>8</v>
      </c>
      <c r="H1537" s="2">
        <v>1180</v>
      </c>
      <c r="I1537" s="2">
        <v>15</v>
      </c>
      <c r="J1537" s="2">
        <v>8024</v>
      </c>
      <c r="K1537" s="2" t="s">
        <v>36</v>
      </c>
      <c r="L1537" s="2" t="s">
        <v>176</v>
      </c>
      <c r="M1537" s="2" t="s">
        <v>253</v>
      </c>
    </row>
    <row r="1538" spans="1:13" x14ac:dyDescent="0.25">
      <c r="A1538" s="2" t="s">
        <v>2855</v>
      </c>
      <c r="B1538" s="2" t="s">
        <v>2856</v>
      </c>
      <c r="C1538" s="2" t="s">
        <v>32</v>
      </c>
      <c r="D1538" s="2" t="s">
        <v>33</v>
      </c>
      <c r="E1538" s="2" t="s">
        <v>163</v>
      </c>
      <c r="F1538" s="2" t="s">
        <v>71</v>
      </c>
      <c r="G1538" s="2">
        <v>5</v>
      </c>
      <c r="H1538" s="2">
        <v>64530</v>
      </c>
      <c r="I1538" s="2">
        <v>0</v>
      </c>
      <c r="J1538" s="2">
        <v>322650</v>
      </c>
      <c r="K1538" s="2" t="s">
        <v>102</v>
      </c>
      <c r="L1538" s="2" t="s">
        <v>73</v>
      </c>
      <c r="M1538" s="2" t="s">
        <v>128</v>
      </c>
    </row>
  </sheetData>
  <autoFilter ref="A1:M1538"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zoomScaleNormal="100" workbookViewId="0"/>
  </sheetViews>
  <sheetFormatPr defaultColWidth="8.7109375" defaultRowHeight="15" x14ac:dyDescent="0.25"/>
  <cols>
    <col min="1" max="1" width="20" customWidth="1"/>
    <col min="2" max="2" width="70" customWidth="1"/>
  </cols>
  <sheetData>
    <row r="1" spans="1:2" x14ac:dyDescent="0.25">
      <c r="A1" s="3" t="s">
        <v>2857</v>
      </c>
      <c r="B1" s="3" t="s">
        <v>2858</v>
      </c>
    </row>
    <row r="2" spans="1:2" x14ac:dyDescent="0.25">
      <c r="A2" s="2" t="s">
        <v>0</v>
      </c>
      <c r="B2" s="2" t="s">
        <v>2859</v>
      </c>
    </row>
    <row r="3" spans="1:2" x14ac:dyDescent="0.25">
      <c r="A3" s="2" t="s">
        <v>1</v>
      </c>
      <c r="B3" s="2" t="s">
        <v>2860</v>
      </c>
    </row>
    <row r="4" spans="1:2" x14ac:dyDescent="0.25">
      <c r="A4" s="2" t="s">
        <v>2</v>
      </c>
      <c r="B4" s="2" t="s">
        <v>2861</v>
      </c>
    </row>
    <row r="5" spans="1:2" x14ac:dyDescent="0.25">
      <c r="A5" s="2" t="s">
        <v>3</v>
      </c>
      <c r="B5" s="2" t="s">
        <v>2862</v>
      </c>
    </row>
    <row r="6" spans="1:2" x14ac:dyDescent="0.25">
      <c r="A6" s="2" t="s">
        <v>4</v>
      </c>
      <c r="B6" s="2" t="s">
        <v>2863</v>
      </c>
    </row>
    <row r="7" spans="1:2" x14ac:dyDescent="0.25">
      <c r="A7" s="2" t="s">
        <v>5</v>
      </c>
      <c r="B7" s="2" t="s">
        <v>2864</v>
      </c>
    </row>
    <row r="8" spans="1:2" x14ac:dyDescent="0.25">
      <c r="A8" s="2" t="s">
        <v>6</v>
      </c>
      <c r="B8" s="2" t="s">
        <v>2865</v>
      </c>
    </row>
    <row r="9" spans="1:2" x14ac:dyDescent="0.25">
      <c r="A9" s="2" t="s">
        <v>7</v>
      </c>
      <c r="B9" s="2" t="s">
        <v>2866</v>
      </c>
    </row>
    <row r="10" spans="1:2" x14ac:dyDescent="0.25">
      <c r="A10" s="2" t="s">
        <v>8</v>
      </c>
      <c r="B10" s="2" t="s">
        <v>2867</v>
      </c>
    </row>
    <row r="11" spans="1:2" x14ac:dyDescent="0.25">
      <c r="A11" s="2" t="s">
        <v>9</v>
      </c>
      <c r="B11" s="2" t="s">
        <v>2868</v>
      </c>
    </row>
    <row r="12" spans="1:2" x14ac:dyDescent="0.25">
      <c r="A12" s="2" t="s">
        <v>10</v>
      </c>
      <c r="B12" s="2" t="s">
        <v>2869</v>
      </c>
    </row>
    <row r="13" spans="1:2" x14ac:dyDescent="0.25">
      <c r="A13" s="2" t="s">
        <v>11</v>
      </c>
      <c r="B13" s="2" t="s">
        <v>2870</v>
      </c>
    </row>
    <row r="14" spans="1:2" x14ac:dyDescent="0.25">
      <c r="A14" s="2" t="s">
        <v>12</v>
      </c>
      <c r="B14" s="2" t="s">
        <v>2871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C1E85-E1B4-4752-93A5-4A0E4FB09331}">
  <dimension ref="A1:Q1501"/>
  <sheetViews>
    <sheetView topLeftCell="F1" workbookViewId="0">
      <selection activeCell="L2" sqref="L2"/>
    </sheetView>
  </sheetViews>
  <sheetFormatPr defaultRowHeight="15" x14ac:dyDescent="0.25"/>
  <cols>
    <col min="1" max="1" width="15.85546875" bestFit="1" customWidth="1"/>
    <col min="2" max="2" width="17.42578125" bestFit="1" customWidth="1"/>
    <col min="3" max="3" width="20.42578125" style="6" customWidth="1"/>
    <col min="4" max="4" width="11.85546875" style="6" customWidth="1"/>
    <col min="5" max="5" width="27.28515625" style="6" customWidth="1"/>
    <col min="6" max="6" width="20.7109375" bestFit="1" customWidth="1"/>
    <col min="7" max="7" width="9.42578125" bestFit="1" customWidth="1"/>
    <col min="8" max="8" width="18.140625" bestFit="1" customWidth="1"/>
    <col min="9" max="9" width="14" bestFit="1" customWidth="1"/>
    <col min="10" max="10" width="19.42578125" bestFit="1" customWidth="1"/>
    <col min="11" max="11" width="24.28515625" customWidth="1"/>
    <col min="12" max="12" width="26.140625" customWidth="1"/>
    <col min="13" max="13" width="18.140625" customWidth="1"/>
    <col min="14" max="17" width="21.5703125" customWidth="1"/>
  </cols>
  <sheetData>
    <row r="1" spans="1:17" x14ac:dyDescent="0.25">
      <c r="A1" s="1" t="s">
        <v>0</v>
      </c>
      <c r="B1" s="1" t="s">
        <v>1</v>
      </c>
      <c r="C1" s="4" t="s">
        <v>2</v>
      </c>
      <c r="D1" s="4" t="s">
        <v>3</v>
      </c>
      <c r="E1" s="4" t="s">
        <v>4</v>
      </c>
      <c r="F1" s="1" t="s">
        <v>5</v>
      </c>
      <c r="G1" s="1" t="s">
        <v>6</v>
      </c>
      <c r="H1" s="1" t="s">
        <v>7</v>
      </c>
      <c r="I1" s="1" t="s">
        <v>8</v>
      </c>
      <c r="J1" s="1" t="s">
        <v>9</v>
      </c>
      <c r="K1" s="1" t="s">
        <v>2872</v>
      </c>
      <c r="L1" s="1" t="s">
        <v>2873</v>
      </c>
      <c r="M1" s="1" t="s">
        <v>10</v>
      </c>
      <c r="N1" s="1" t="s">
        <v>11</v>
      </c>
      <c r="O1" s="1" t="s">
        <v>2893</v>
      </c>
      <c r="P1" s="1" t="s">
        <v>2892</v>
      </c>
      <c r="Q1" s="1" t="s">
        <v>12</v>
      </c>
    </row>
    <row r="2" spans="1:17" x14ac:dyDescent="0.25">
      <c r="A2" s="2" t="s">
        <v>13</v>
      </c>
      <c r="B2" s="7">
        <v>45924</v>
      </c>
      <c r="C2" s="5" t="s">
        <v>24</v>
      </c>
      <c r="D2" s="5" t="s">
        <v>16</v>
      </c>
      <c r="E2" s="5" t="s">
        <v>34</v>
      </c>
      <c r="F2" s="2" t="s">
        <v>18</v>
      </c>
      <c r="G2" s="2">
        <v>1</v>
      </c>
      <c r="H2" s="25">
        <v>540</v>
      </c>
      <c r="I2" s="8">
        <v>0</v>
      </c>
      <c r="J2" s="25">
        <v>540</v>
      </c>
      <c r="K2" s="25">
        <f>G2*H2</f>
        <v>540</v>
      </c>
      <c r="L2" s="8">
        <f>K2*I2/100</f>
        <v>0</v>
      </c>
      <c r="M2" s="2" t="s">
        <v>94</v>
      </c>
      <c r="N2" s="2" t="s">
        <v>188</v>
      </c>
      <c r="O2" s="2" cm="1">
        <f t="array" ref="O2:O1501">YEAR(B2:B1501)</f>
        <v>2025</v>
      </c>
      <c r="P2" s="2" t="str" cm="1">
        <f t="array" ref="P2:P1501" xml:space="preserve"> TEXT(B2:B1501,"mmmm")</f>
        <v>September</v>
      </c>
      <c r="Q2" s="2" t="s">
        <v>21</v>
      </c>
    </row>
    <row r="3" spans="1:17" x14ac:dyDescent="0.25">
      <c r="A3" s="2" t="s">
        <v>22</v>
      </c>
      <c r="B3" s="7">
        <v>45833</v>
      </c>
      <c r="C3" s="5" t="s">
        <v>24</v>
      </c>
      <c r="D3" s="5" t="s">
        <v>16</v>
      </c>
      <c r="E3" s="5" t="s">
        <v>25</v>
      </c>
      <c r="F3" s="2" t="s">
        <v>26</v>
      </c>
      <c r="G3" s="2">
        <v>1</v>
      </c>
      <c r="H3" s="25">
        <v>69830</v>
      </c>
      <c r="I3" s="8">
        <v>10</v>
      </c>
      <c r="J3" s="25">
        <v>62847</v>
      </c>
      <c r="K3" s="25">
        <f>G3*H3</f>
        <v>69830</v>
      </c>
      <c r="L3" s="8">
        <f>K3*I3/100</f>
        <v>6983</v>
      </c>
      <c r="M3" s="2" t="s">
        <v>53</v>
      </c>
      <c r="N3" s="2" t="s">
        <v>37</v>
      </c>
      <c r="O3" s="2">
        <v>2025</v>
      </c>
      <c r="P3" s="2" t="str">
        <v>June</v>
      </c>
      <c r="Q3" s="2" t="s">
        <v>21</v>
      </c>
    </row>
    <row r="4" spans="1:17" x14ac:dyDescent="0.25">
      <c r="A4" s="2" t="s">
        <v>30</v>
      </c>
      <c r="B4" s="7">
        <v>45878</v>
      </c>
      <c r="C4" s="5" t="s">
        <v>32</v>
      </c>
      <c r="D4" s="5" t="s">
        <v>33</v>
      </c>
      <c r="E4" s="5" t="s">
        <v>34</v>
      </c>
      <c r="F4" s="2" t="s">
        <v>35</v>
      </c>
      <c r="G4" s="2">
        <v>3</v>
      </c>
      <c r="H4" s="25">
        <v>63000</v>
      </c>
      <c r="I4" s="8">
        <v>0</v>
      </c>
      <c r="J4" s="25">
        <v>189000</v>
      </c>
      <c r="K4" s="25">
        <f>G4*H4</f>
        <v>189000</v>
      </c>
      <c r="L4" s="8">
        <f>K4*I4/100</f>
        <v>0</v>
      </c>
      <c r="M4" s="2" t="s">
        <v>102</v>
      </c>
      <c r="N4" s="2" t="s">
        <v>37</v>
      </c>
      <c r="O4" s="2">
        <v>2025</v>
      </c>
      <c r="P4" s="2" t="str">
        <v>August</v>
      </c>
      <c r="Q4" s="2" t="s">
        <v>47</v>
      </c>
    </row>
    <row r="5" spans="1:17" x14ac:dyDescent="0.25">
      <c r="A5" s="2" t="s">
        <v>39</v>
      </c>
      <c r="B5" s="7">
        <v>45985</v>
      </c>
      <c r="C5" s="5" t="s">
        <v>41</v>
      </c>
      <c r="D5" s="5" t="s">
        <v>42</v>
      </c>
      <c r="E5" s="5" t="s">
        <v>25</v>
      </c>
      <c r="F5" s="2" t="s">
        <v>44</v>
      </c>
      <c r="G5" s="2">
        <v>10</v>
      </c>
      <c r="H5" s="25">
        <v>64980</v>
      </c>
      <c r="I5" s="8">
        <v>0</v>
      </c>
      <c r="J5" s="25">
        <v>649800</v>
      </c>
      <c r="K5" s="25">
        <f>G5*H5</f>
        <v>649800</v>
      </c>
      <c r="L5" s="8">
        <f>K5*I5/100</f>
        <v>0</v>
      </c>
      <c r="M5" s="2" t="s">
        <v>94</v>
      </c>
      <c r="N5" s="2" t="s">
        <v>46</v>
      </c>
      <c r="O5" s="2">
        <v>2025</v>
      </c>
      <c r="P5" s="2" t="str">
        <v>November</v>
      </c>
      <c r="Q5" s="2" t="s">
        <v>47</v>
      </c>
    </row>
    <row r="6" spans="1:17" x14ac:dyDescent="0.25">
      <c r="A6" s="2" t="s">
        <v>48</v>
      </c>
      <c r="B6" s="7">
        <v>45758</v>
      </c>
      <c r="C6" s="5" t="s">
        <v>156</v>
      </c>
      <c r="D6" s="5" t="s">
        <v>51</v>
      </c>
      <c r="E6" s="5" t="s">
        <v>25</v>
      </c>
      <c r="F6" s="2" t="s">
        <v>44</v>
      </c>
      <c r="G6" s="2">
        <v>12</v>
      </c>
      <c r="H6" s="25">
        <v>510</v>
      </c>
      <c r="I6" s="8">
        <v>10</v>
      </c>
      <c r="J6" s="25">
        <v>5508</v>
      </c>
      <c r="K6" s="25">
        <f>G6*H6</f>
        <v>6120</v>
      </c>
      <c r="L6" s="8">
        <f>K6*I6/100</f>
        <v>612</v>
      </c>
      <c r="M6" s="2" t="s">
        <v>53</v>
      </c>
      <c r="N6" s="2" t="s">
        <v>54</v>
      </c>
      <c r="O6" s="2">
        <v>2025</v>
      </c>
      <c r="P6" s="2" t="str">
        <v>April</v>
      </c>
      <c r="Q6" s="2" t="s">
        <v>47</v>
      </c>
    </row>
    <row r="7" spans="1:17" x14ac:dyDescent="0.25">
      <c r="A7" s="2" t="s">
        <v>55</v>
      </c>
      <c r="B7" s="7">
        <v>45774</v>
      </c>
      <c r="C7" s="5" t="s">
        <v>135</v>
      </c>
      <c r="D7" s="5" t="s">
        <v>58</v>
      </c>
      <c r="E7" s="5" t="s">
        <v>148</v>
      </c>
      <c r="F7" s="2" t="s">
        <v>60</v>
      </c>
      <c r="G7" s="2">
        <v>12</v>
      </c>
      <c r="H7" s="25">
        <v>7770</v>
      </c>
      <c r="I7" s="8">
        <v>5</v>
      </c>
      <c r="J7" s="25">
        <v>88578</v>
      </c>
      <c r="K7" s="25">
        <f>G7*H7</f>
        <v>93240</v>
      </c>
      <c r="L7" s="8">
        <f>K7*I7/100</f>
        <v>4662</v>
      </c>
      <c r="M7" s="2" t="s">
        <v>94</v>
      </c>
      <c r="N7" s="2" t="s">
        <v>188</v>
      </c>
      <c r="O7" s="2">
        <v>2025</v>
      </c>
      <c r="P7" s="2" t="str">
        <v>April</v>
      </c>
      <c r="Q7" s="2" t="s">
        <v>47</v>
      </c>
    </row>
    <row r="8" spans="1:17" x14ac:dyDescent="0.25">
      <c r="A8" s="2" t="s">
        <v>62</v>
      </c>
      <c r="B8" s="7">
        <v>45803</v>
      </c>
      <c r="C8" s="5" t="s">
        <v>156</v>
      </c>
      <c r="D8" s="5" t="s">
        <v>51</v>
      </c>
      <c r="E8" s="5" t="s">
        <v>295</v>
      </c>
      <c r="F8" s="2" t="s">
        <v>66</v>
      </c>
      <c r="G8" s="2">
        <v>11</v>
      </c>
      <c r="H8" s="25">
        <v>26100</v>
      </c>
      <c r="I8" s="8">
        <v>0</v>
      </c>
      <c r="J8" s="25">
        <v>287100</v>
      </c>
      <c r="K8" s="25">
        <f>G8*H8</f>
        <v>287100</v>
      </c>
      <c r="L8" s="8">
        <f>K8*I8/100</f>
        <v>0</v>
      </c>
      <c r="M8" s="2" t="s">
        <v>102</v>
      </c>
      <c r="N8" s="2" t="s">
        <v>68</v>
      </c>
      <c r="O8" s="2">
        <v>2025</v>
      </c>
      <c r="P8" s="2" t="str">
        <v>May</v>
      </c>
      <c r="Q8" s="2" t="s">
        <v>21</v>
      </c>
    </row>
    <row r="9" spans="1:17" x14ac:dyDescent="0.25">
      <c r="A9" s="2" t="s">
        <v>69</v>
      </c>
      <c r="B9" s="7">
        <v>45798</v>
      </c>
      <c r="C9" s="5" t="s">
        <v>156</v>
      </c>
      <c r="D9" s="5" t="s">
        <v>51</v>
      </c>
      <c r="E9" s="5" t="s">
        <v>34</v>
      </c>
      <c r="F9" s="2" t="s">
        <v>71</v>
      </c>
      <c r="G9" s="2">
        <v>7</v>
      </c>
      <c r="H9" s="25">
        <v>28530</v>
      </c>
      <c r="I9" s="8">
        <v>15</v>
      </c>
      <c r="J9" s="25">
        <v>169753.5</v>
      </c>
      <c r="K9" s="25">
        <f>G9*H9</f>
        <v>199710</v>
      </c>
      <c r="L9" s="8">
        <f>K9*I9/100</f>
        <v>29956.5</v>
      </c>
      <c r="M9" s="2" t="s">
        <v>139</v>
      </c>
      <c r="N9" s="2" t="s">
        <v>73</v>
      </c>
      <c r="O9" s="2">
        <v>2025</v>
      </c>
      <c r="P9" s="2" t="str">
        <v>May</v>
      </c>
      <c r="Q9" s="2" t="s">
        <v>21</v>
      </c>
    </row>
    <row r="10" spans="1:17" x14ac:dyDescent="0.25">
      <c r="A10" s="2" t="s">
        <v>74</v>
      </c>
      <c r="B10" s="7">
        <v>45944</v>
      </c>
      <c r="C10" s="5" t="s">
        <v>76</v>
      </c>
      <c r="D10" s="5" t="s">
        <v>33</v>
      </c>
      <c r="E10" s="5" t="s">
        <v>179</v>
      </c>
      <c r="F10" s="2" t="s">
        <v>78</v>
      </c>
      <c r="G10" s="2">
        <v>3</v>
      </c>
      <c r="H10" s="25">
        <v>490</v>
      </c>
      <c r="I10" s="8">
        <v>0</v>
      </c>
      <c r="J10" s="25">
        <v>1470</v>
      </c>
      <c r="K10" s="25">
        <f>G10*H10</f>
        <v>1470</v>
      </c>
      <c r="L10" s="8">
        <f>K10*I10/100</f>
        <v>0</v>
      </c>
      <c r="M10" s="2" t="s">
        <v>102</v>
      </c>
      <c r="N10" s="2" t="s">
        <v>79</v>
      </c>
      <c r="O10" s="2">
        <v>2025</v>
      </c>
      <c r="P10" s="2" t="str">
        <v>October</v>
      </c>
      <c r="Q10" s="2" t="s">
        <v>21</v>
      </c>
    </row>
    <row r="11" spans="1:17" x14ac:dyDescent="0.25">
      <c r="A11" s="2" t="s">
        <v>80</v>
      </c>
      <c r="B11" s="7">
        <v>45661</v>
      </c>
      <c r="C11" s="5" t="s">
        <v>135</v>
      </c>
      <c r="D11" s="5" t="s">
        <v>58</v>
      </c>
      <c r="E11" s="5" t="s">
        <v>148</v>
      </c>
      <c r="F11" s="2" t="s">
        <v>83</v>
      </c>
      <c r="G11" s="2">
        <v>5</v>
      </c>
      <c r="H11" s="25">
        <v>3870</v>
      </c>
      <c r="I11" s="8">
        <v>0</v>
      </c>
      <c r="J11" s="25">
        <v>19350</v>
      </c>
      <c r="K11" s="25">
        <f>G11*H11</f>
        <v>19350</v>
      </c>
      <c r="L11" s="8">
        <f>K11*I11/100</f>
        <v>0</v>
      </c>
      <c r="M11" s="2" t="s">
        <v>53</v>
      </c>
      <c r="N11" s="2" t="s">
        <v>79</v>
      </c>
      <c r="O11" s="2">
        <v>2025</v>
      </c>
      <c r="P11" s="2" t="str">
        <v>January</v>
      </c>
      <c r="Q11" s="2" t="s">
        <v>21</v>
      </c>
    </row>
    <row r="12" spans="1:17" x14ac:dyDescent="0.25">
      <c r="A12" s="2" t="s">
        <v>85</v>
      </c>
      <c r="B12" s="7">
        <v>45913</v>
      </c>
      <c r="C12" s="5" t="s">
        <v>76</v>
      </c>
      <c r="D12" s="5" t="s">
        <v>33</v>
      </c>
      <c r="E12" s="5" t="s">
        <v>148</v>
      </c>
      <c r="F12" s="2" t="s">
        <v>60</v>
      </c>
      <c r="G12" s="2">
        <v>1</v>
      </c>
      <c r="H12" s="25">
        <v>2630</v>
      </c>
      <c r="I12" s="8">
        <v>0</v>
      </c>
      <c r="J12" s="25">
        <v>2630</v>
      </c>
      <c r="K12" s="25">
        <f>G12*H12</f>
        <v>2630</v>
      </c>
      <c r="L12" s="8">
        <f>K12*I12/100</f>
        <v>0</v>
      </c>
      <c r="M12" s="2" t="s">
        <v>53</v>
      </c>
      <c r="N12" s="2" t="s">
        <v>411</v>
      </c>
      <c r="O12" s="2">
        <v>2025</v>
      </c>
      <c r="P12" s="2" t="str">
        <v>September</v>
      </c>
      <c r="Q12" s="2" t="s">
        <v>21</v>
      </c>
    </row>
    <row r="13" spans="1:17" x14ac:dyDescent="0.25">
      <c r="A13" s="2" t="s">
        <v>89</v>
      </c>
      <c r="B13" s="7">
        <v>45984</v>
      </c>
      <c r="C13" s="5" t="s">
        <v>238</v>
      </c>
      <c r="D13" s="5" t="s">
        <v>51</v>
      </c>
      <c r="E13" s="5" t="s">
        <v>25</v>
      </c>
      <c r="F13" s="2" t="s">
        <v>93</v>
      </c>
      <c r="G13" s="2">
        <v>6</v>
      </c>
      <c r="H13" s="25">
        <v>4560</v>
      </c>
      <c r="I13" s="8">
        <v>0</v>
      </c>
      <c r="J13" s="25">
        <v>27360</v>
      </c>
      <c r="K13" s="25">
        <f>G13*H13</f>
        <v>27360</v>
      </c>
      <c r="L13" s="8">
        <f>K13*I13/100</f>
        <v>0</v>
      </c>
      <c r="M13" s="2" t="s">
        <v>94</v>
      </c>
      <c r="N13" s="2" t="s">
        <v>344</v>
      </c>
      <c r="O13" s="2">
        <v>2025</v>
      </c>
      <c r="P13" s="2" t="str">
        <v>November</v>
      </c>
      <c r="Q13" s="2" t="s">
        <v>47</v>
      </c>
    </row>
    <row r="14" spans="1:17" x14ac:dyDescent="0.25">
      <c r="A14" s="2" t="s">
        <v>97</v>
      </c>
      <c r="B14" s="7">
        <v>45989</v>
      </c>
      <c r="C14" s="5" t="s">
        <v>24</v>
      </c>
      <c r="D14" s="5" t="s">
        <v>16</v>
      </c>
      <c r="E14" s="5" t="s">
        <v>295</v>
      </c>
      <c r="F14" s="2" t="s">
        <v>101</v>
      </c>
      <c r="G14" s="2">
        <v>1</v>
      </c>
      <c r="H14" s="25">
        <v>9580</v>
      </c>
      <c r="I14" s="8">
        <v>0</v>
      </c>
      <c r="J14" s="25">
        <v>9580</v>
      </c>
      <c r="K14" s="25">
        <f>G14*H14</f>
        <v>9580</v>
      </c>
      <c r="L14" s="8">
        <f>K14*I14/100</f>
        <v>0</v>
      </c>
      <c r="M14" s="2" t="s">
        <v>102</v>
      </c>
      <c r="N14" s="2" t="s">
        <v>73</v>
      </c>
      <c r="O14" s="2">
        <v>2025</v>
      </c>
      <c r="P14" s="2" t="str">
        <v>November</v>
      </c>
      <c r="Q14" s="2" t="s">
        <v>21</v>
      </c>
    </row>
    <row r="15" spans="1:17" x14ac:dyDescent="0.25">
      <c r="A15" s="2" t="s">
        <v>103</v>
      </c>
      <c r="B15" s="7">
        <v>45704</v>
      </c>
      <c r="C15" s="5" t="s">
        <v>24</v>
      </c>
      <c r="D15" s="5" t="s">
        <v>16</v>
      </c>
      <c r="E15" s="5" t="s">
        <v>25</v>
      </c>
      <c r="F15" s="2" t="s">
        <v>106</v>
      </c>
      <c r="G15" s="2">
        <v>1</v>
      </c>
      <c r="H15" s="25">
        <v>1200</v>
      </c>
      <c r="I15" s="8">
        <v>0</v>
      </c>
      <c r="J15" s="25">
        <v>1200</v>
      </c>
      <c r="K15" s="25">
        <f>G15*H15</f>
        <v>1200</v>
      </c>
      <c r="L15" s="8">
        <f>K15*I15/100</f>
        <v>0</v>
      </c>
      <c r="M15" s="2" t="s">
        <v>102</v>
      </c>
      <c r="N15" s="2" t="s">
        <v>176</v>
      </c>
      <c r="O15" s="2">
        <v>2025</v>
      </c>
      <c r="P15" s="2" t="str">
        <v>February</v>
      </c>
      <c r="Q15" s="2" t="s">
        <v>21</v>
      </c>
    </row>
    <row r="16" spans="1:17" x14ac:dyDescent="0.25">
      <c r="A16" s="2" t="s">
        <v>108</v>
      </c>
      <c r="B16" s="7">
        <v>45939</v>
      </c>
      <c r="C16" s="5" t="s">
        <v>32</v>
      </c>
      <c r="D16" s="5" t="s">
        <v>33</v>
      </c>
      <c r="E16" s="5" t="s">
        <v>179</v>
      </c>
      <c r="F16" s="2" t="s">
        <v>78</v>
      </c>
      <c r="G16" s="2">
        <v>8</v>
      </c>
      <c r="H16" s="25">
        <v>5020</v>
      </c>
      <c r="I16" s="8">
        <v>0</v>
      </c>
      <c r="J16" s="25">
        <v>40160</v>
      </c>
      <c r="K16" s="25">
        <f>G16*H16</f>
        <v>40160</v>
      </c>
      <c r="L16" s="8">
        <f>K16*I16/100</f>
        <v>0</v>
      </c>
      <c r="M16" s="2" t="s">
        <v>102</v>
      </c>
      <c r="N16" s="2" t="s">
        <v>54</v>
      </c>
      <c r="O16" s="2">
        <v>2025</v>
      </c>
      <c r="P16" s="2" t="str">
        <v>October</v>
      </c>
      <c r="Q16" s="2" t="s">
        <v>47</v>
      </c>
    </row>
    <row r="17" spans="1:17" x14ac:dyDescent="0.25">
      <c r="A17" s="2" t="s">
        <v>113</v>
      </c>
      <c r="B17" s="7">
        <v>45693</v>
      </c>
      <c r="C17" s="5" t="s">
        <v>41</v>
      </c>
      <c r="D17" s="5" t="s">
        <v>42</v>
      </c>
      <c r="E17" s="5" t="s">
        <v>25</v>
      </c>
      <c r="F17" s="2" t="s">
        <v>115</v>
      </c>
      <c r="G17" s="2">
        <v>10</v>
      </c>
      <c r="H17" s="25">
        <v>560</v>
      </c>
      <c r="I17" s="8">
        <v>0</v>
      </c>
      <c r="J17" s="25">
        <v>5600</v>
      </c>
      <c r="K17" s="25">
        <f>G17*H17</f>
        <v>5600</v>
      </c>
      <c r="L17" s="8">
        <f>K17*I17/100</f>
        <v>0</v>
      </c>
      <c r="M17" s="2" t="s">
        <v>53</v>
      </c>
      <c r="N17" s="2" t="s">
        <v>188</v>
      </c>
      <c r="O17" s="2">
        <v>2025</v>
      </c>
      <c r="P17" s="2" t="str">
        <v>February</v>
      </c>
      <c r="Q17" s="2" t="s">
        <v>47</v>
      </c>
    </row>
    <row r="18" spans="1:17" x14ac:dyDescent="0.25">
      <c r="A18" s="2" t="s">
        <v>116</v>
      </c>
      <c r="B18" s="7">
        <v>45874</v>
      </c>
      <c r="C18" s="5" t="s">
        <v>238</v>
      </c>
      <c r="D18" s="5" t="s">
        <v>51</v>
      </c>
      <c r="E18" s="5" t="s">
        <v>25</v>
      </c>
      <c r="F18" s="2" t="s">
        <v>26</v>
      </c>
      <c r="G18" s="2">
        <v>8</v>
      </c>
      <c r="H18" s="25">
        <v>24200</v>
      </c>
      <c r="I18" s="8">
        <v>0</v>
      </c>
      <c r="J18" s="25">
        <v>193600</v>
      </c>
      <c r="K18" s="25">
        <f>G18*H18</f>
        <v>193600</v>
      </c>
      <c r="L18" s="8">
        <f>K18*I18/100</f>
        <v>0</v>
      </c>
      <c r="M18" s="2" t="s">
        <v>53</v>
      </c>
      <c r="N18" s="2" t="s">
        <v>266</v>
      </c>
      <c r="O18" s="2">
        <v>2025</v>
      </c>
      <c r="P18" s="2" t="str">
        <v>August</v>
      </c>
      <c r="Q18" s="2" t="s">
        <v>47</v>
      </c>
    </row>
    <row r="19" spans="1:17" x14ac:dyDescent="0.25">
      <c r="A19" s="2" t="s">
        <v>122</v>
      </c>
      <c r="B19" s="7">
        <v>45988</v>
      </c>
      <c r="C19" s="5" t="s">
        <v>156</v>
      </c>
      <c r="D19" s="5" t="s">
        <v>51</v>
      </c>
      <c r="E19" s="5" t="s">
        <v>295</v>
      </c>
      <c r="F19" s="2" t="s">
        <v>126</v>
      </c>
      <c r="G19" s="2">
        <v>9</v>
      </c>
      <c r="H19" s="25">
        <v>43420</v>
      </c>
      <c r="I19" s="8">
        <v>0</v>
      </c>
      <c r="J19" s="25">
        <v>390780</v>
      </c>
      <c r="K19" s="25">
        <f>G19*H19</f>
        <v>390780</v>
      </c>
      <c r="L19" s="8">
        <f>K19*I19/100</f>
        <v>0</v>
      </c>
      <c r="M19" s="2" t="s">
        <v>102</v>
      </c>
      <c r="N19" s="2" t="s">
        <v>73</v>
      </c>
      <c r="O19" s="2">
        <v>2025</v>
      </c>
      <c r="P19" s="2" t="str">
        <v>November</v>
      </c>
      <c r="Q19" s="2" t="s">
        <v>47</v>
      </c>
    </row>
    <row r="20" spans="1:17" x14ac:dyDescent="0.25">
      <c r="A20" s="2" t="s">
        <v>129</v>
      </c>
      <c r="B20" s="7">
        <v>45728</v>
      </c>
      <c r="C20" s="5" t="s">
        <v>135</v>
      </c>
      <c r="D20" s="5" t="s">
        <v>58</v>
      </c>
      <c r="E20" s="5" t="s">
        <v>295</v>
      </c>
      <c r="F20" s="2" t="s">
        <v>132</v>
      </c>
      <c r="G20" s="2">
        <v>6</v>
      </c>
      <c r="H20" s="25">
        <v>11890</v>
      </c>
      <c r="I20" s="8">
        <v>0</v>
      </c>
      <c r="J20" s="25">
        <v>71340</v>
      </c>
      <c r="K20" s="25">
        <f>G20*H20</f>
        <v>71340</v>
      </c>
      <c r="L20" s="8">
        <f>K20*I20/100</f>
        <v>0</v>
      </c>
      <c r="M20" s="2" t="s">
        <v>139</v>
      </c>
      <c r="N20" s="2" t="s">
        <v>188</v>
      </c>
      <c r="O20" s="2">
        <v>2025</v>
      </c>
      <c r="P20" s="2" t="str">
        <v>March</v>
      </c>
      <c r="Q20" s="2" t="s">
        <v>47</v>
      </c>
    </row>
    <row r="21" spans="1:17" x14ac:dyDescent="0.25">
      <c r="A21" s="2" t="s">
        <v>134</v>
      </c>
      <c r="B21" s="7">
        <v>45988</v>
      </c>
      <c r="C21" s="5" t="s">
        <v>135</v>
      </c>
      <c r="D21" s="5" t="s">
        <v>33</v>
      </c>
      <c r="E21" s="5" t="s">
        <v>34</v>
      </c>
      <c r="F21" s="2" t="s">
        <v>71</v>
      </c>
      <c r="G21" s="2">
        <v>3</v>
      </c>
      <c r="H21" s="25">
        <v>7640</v>
      </c>
      <c r="I21" s="8">
        <v>0</v>
      </c>
      <c r="J21" s="25">
        <v>22920</v>
      </c>
      <c r="K21" s="25">
        <f>G21*H21</f>
        <v>22920</v>
      </c>
      <c r="L21" s="8">
        <f>K21*I21/100</f>
        <v>0</v>
      </c>
      <c r="M21" s="2" t="s">
        <v>139</v>
      </c>
      <c r="N21" s="2" t="s">
        <v>188</v>
      </c>
      <c r="O21" s="2">
        <v>2025</v>
      </c>
      <c r="P21" s="2" t="str">
        <v>November</v>
      </c>
      <c r="Q21" s="2" t="s">
        <v>21</v>
      </c>
    </row>
    <row r="22" spans="1:17" x14ac:dyDescent="0.25">
      <c r="A22" s="2" t="s">
        <v>141</v>
      </c>
      <c r="B22" s="7">
        <v>45989</v>
      </c>
      <c r="C22" s="5" t="s">
        <v>135</v>
      </c>
      <c r="D22" s="5" t="s">
        <v>58</v>
      </c>
      <c r="E22" s="5" t="s">
        <v>179</v>
      </c>
      <c r="F22" s="2" t="s">
        <v>143</v>
      </c>
      <c r="G22" s="2">
        <v>12</v>
      </c>
      <c r="H22" s="25">
        <v>3650</v>
      </c>
      <c r="I22" s="8">
        <v>0</v>
      </c>
      <c r="J22" s="25">
        <v>43800</v>
      </c>
      <c r="K22" s="25">
        <f>G22*H22</f>
        <v>43800</v>
      </c>
      <c r="L22" s="8">
        <f>K22*I22/100</f>
        <v>0</v>
      </c>
      <c r="M22" s="2" t="s">
        <v>94</v>
      </c>
      <c r="N22" s="2" t="s">
        <v>266</v>
      </c>
      <c r="O22" s="2">
        <v>2025</v>
      </c>
      <c r="P22" s="2" t="str">
        <v>November</v>
      </c>
      <c r="Q22" s="2" t="s">
        <v>21</v>
      </c>
    </row>
    <row r="23" spans="1:17" x14ac:dyDescent="0.25">
      <c r="A23" s="2" t="s">
        <v>146</v>
      </c>
      <c r="B23" s="7">
        <v>45933</v>
      </c>
      <c r="C23" s="5" t="s">
        <v>156</v>
      </c>
      <c r="D23" s="5" t="s">
        <v>51</v>
      </c>
      <c r="E23" s="5" t="s">
        <v>148</v>
      </c>
      <c r="F23" s="2" t="s">
        <v>149</v>
      </c>
      <c r="G23" s="2">
        <v>3</v>
      </c>
      <c r="H23" s="25">
        <v>470</v>
      </c>
      <c r="I23" s="8">
        <v>0</v>
      </c>
      <c r="J23" s="25">
        <v>1410</v>
      </c>
      <c r="K23" s="25">
        <f>G23*H23</f>
        <v>1410</v>
      </c>
      <c r="L23" s="8">
        <f>K23*I23/100</f>
        <v>0</v>
      </c>
      <c r="M23" s="2" t="s">
        <v>53</v>
      </c>
      <c r="N23" s="2" t="s">
        <v>54</v>
      </c>
      <c r="O23" s="2">
        <v>2025</v>
      </c>
      <c r="P23" s="2" t="str">
        <v>October</v>
      </c>
      <c r="Q23" s="2" t="s">
        <v>47</v>
      </c>
    </row>
    <row r="24" spans="1:17" x14ac:dyDescent="0.25">
      <c r="A24" s="2" t="s">
        <v>150</v>
      </c>
      <c r="B24" s="7">
        <v>45957</v>
      </c>
      <c r="C24" s="5" t="s">
        <v>41</v>
      </c>
      <c r="D24" s="5" t="s">
        <v>42</v>
      </c>
      <c r="E24" s="5" t="s">
        <v>25</v>
      </c>
      <c r="F24" s="2" t="s">
        <v>26</v>
      </c>
      <c r="G24" s="2">
        <v>6</v>
      </c>
      <c r="H24" s="25">
        <v>12170</v>
      </c>
      <c r="I24" s="8">
        <v>0</v>
      </c>
      <c r="J24" s="25">
        <v>73020</v>
      </c>
      <c r="K24" s="25">
        <f>G24*H24</f>
        <v>73020</v>
      </c>
      <c r="L24" s="8">
        <f>K24*I24/100</f>
        <v>0</v>
      </c>
      <c r="M24" s="2" t="s">
        <v>102</v>
      </c>
      <c r="N24" s="2" t="s">
        <v>883</v>
      </c>
      <c r="O24" s="2">
        <v>2025</v>
      </c>
      <c r="P24" s="2" t="str">
        <v>October</v>
      </c>
      <c r="Q24" s="2" t="s">
        <v>21</v>
      </c>
    </row>
    <row r="25" spans="1:17" x14ac:dyDescent="0.25">
      <c r="A25" s="2" t="s">
        <v>154</v>
      </c>
      <c r="B25" s="7">
        <v>45729</v>
      </c>
      <c r="C25" s="5" t="s">
        <v>156</v>
      </c>
      <c r="D25" s="5" t="s">
        <v>51</v>
      </c>
      <c r="E25" s="5" t="s">
        <v>179</v>
      </c>
      <c r="F25" s="2" t="s">
        <v>18</v>
      </c>
      <c r="G25" s="2">
        <v>9</v>
      </c>
      <c r="H25" s="25">
        <v>25300</v>
      </c>
      <c r="I25" s="8">
        <v>10</v>
      </c>
      <c r="J25" s="25">
        <v>204930</v>
      </c>
      <c r="K25" s="25">
        <f>G25*H25</f>
        <v>227700</v>
      </c>
      <c r="L25" s="8">
        <f>K25*I25/100</f>
        <v>22770</v>
      </c>
      <c r="M25" s="2" t="s">
        <v>139</v>
      </c>
      <c r="N25" s="2" t="s">
        <v>79</v>
      </c>
      <c r="O25" s="2">
        <v>2025</v>
      </c>
      <c r="P25" s="2" t="str">
        <v>March</v>
      </c>
      <c r="Q25" s="2" t="s">
        <v>21</v>
      </c>
    </row>
    <row r="26" spans="1:17" x14ac:dyDescent="0.25">
      <c r="A26" s="2" t="s">
        <v>158</v>
      </c>
      <c r="B26" s="7">
        <v>45826</v>
      </c>
      <c r="C26" s="5" t="s">
        <v>135</v>
      </c>
      <c r="D26" s="5" t="s">
        <v>58</v>
      </c>
      <c r="E26" s="5" t="s">
        <v>295</v>
      </c>
      <c r="F26" s="2" t="s">
        <v>101</v>
      </c>
      <c r="G26" s="2">
        <v>8</v>
      </c>
      <c r="H26" s="25">
        <v>17940</v>
      </c>
      <c r="I26" s="8">
        <v>0</v>
      </c>
      <c r="J26" s="25">
        <v>143520</v>
      </c>
      <c r="K26" s="25">
        <f>G26*H26</f>
        <v>143520</v>
      </c>
      <c r="L26" s="8">
        <f>K26*I26/100</f>
        <v>0</v>
      </c>
      <c r="M26" s="2" t="s">
        <v>102</v>
      </c>
      <c r="N26" s="2" t="s">
        <v>411</v>
      </c>
      <c r="O26" s="2">
        <v>2025</v>
      </c>
      <c r="P26" s="2" t="str">
        <v>June</v>
      </c>
      <c r="Q26" s="2" t="s">
        <v>21</v>
      </c>
    </row>
    <row r="27" spans="1:17" x14ac:dyDescent="0.25">
      <c r="A27" s="2" t="s">
        <v>160</v>
      </c>
      <c r="B27" s="7">
        <v>45687</v>
      </c>
      <c r="C27" s="5" t="s">
        <v>32</v>
      </c>
      <c r="D27" s="5" t="s">
        <v>33</v>
      </c>
      <c r="E27" s="5" t="s">
        <v>34</v>
      </c>
      <c r="F27" s="2" t="s">
        <v>164</v>
      </c>
      <c r="G27" s="2">
        <v>11</v>
      </c>
      <c r="H27" s="25">
        <v>1280</v>
      </c>
      <c r="I27" s="8">
        <v>0</v>
      </c>
      <c r="J27" s="25">
        <v>14080</v>
      </c>
      <c r="K27" s="25">
        <f>G27*H27</f>
        <v>14080</v>
      </c>
      <c r="L27" s="8">
        <f>K27*I27/100</f>
        <v>0</v>
      </c>
      <c r="M27" s="2" t="s">
        <v>53</v>
      </c>
      <c r="N27" s="2" t="s">
        <v>188</v>
      </c>
      <c r="O27" s="2">
        <v>2025</v>
      </c>
      <c r="P27" s="2" t="str">
        <v>January</v>
      </c>
      <c r="Q27" s="2" t="s">
        <v>47</v>
      </c>
    </row>
    <row r="28" spans="1:17" x14ac:dyDescent="0.25">
      <c r="A28" s="2" t="s">
        <v>165</v>
      </c>
      <c r="B28" s="7">
        <v>45706</v>
      </c>
      <c r="C28" s="5" t="s">
        <v>24</v>
      </c>
      <c r="D28" s="5" t="s">
        <v>16</v>
      </c>
      <c r="E28" s="5" t="s">
        <v>148</v>
      </c>
      <c r="F28" s="2" t="s">
        <v>167</v>
      </c>
      <c r="G28" s="2">
        <v>12</v>
      </c>
      <c r="H28" s="25">
        <v>9090</v>
      </c>
      <c r="I28" s="8">
        <v>0</v>
      </c>
      <c r="J28" s="25">
        <v>109080</v>
      </c>
      <c r="K28" s="25">
        <f>G28*H28</f>
        <v>109080</v>
      </c>
      <c r="L28" s="8">
        <f>K28*I28/100</f>
        <v>0</v>
      </c>
      <c r="M28" s="2" t="s">
        <v>139</v>
      </c>
      <c r="N28" s="2" t="s">
        <v>168</v>
      </c>
      <c r="O28" s="2">
        <v>2025</v>
      </c>
      <c r="P28" s="2" t="str">
        <v>February</v>
      </c>
      <c r="Q28" s="2" t="s">
        <v>47</v>
      </c>
    </row>
    <row r="29" spans="1:17" x14ac:dyDescent="0.25">
      <c r="A29" s="2" t="s">
        <v>169</v>
      </c>
      <c r="B29" s="7">
        <v>45877</v>
      </c>
      <c r="C29" s="5" t="s">
        <v>238</v>
      </c>
      <c r="D29" s="5" t="s">
        <v>51</v>
      </c>
      <c r="E29" s="5" t="s">
        <v>34</v>
      </c>
      <c r="F29" s="2" t="s">
        <v>171</v>
      </c>
      <c r="G29" s="2">
        <v>6</v>
      </c>
      <c r="H29" s="25">
        <v>8230</v>
      </c>
      <c r="I29" s="8">
        <v>5</v>
      </c>
      <c r="J29" s="25">
        <v>46911</v>
      </c>
      <c r="K29" s="25">
        <f>G29*H29</f>
        <v>49380</v>
      </c>
      <c r="L29" s="8">
        <f>K29*I29/100</f>
        <v>2469</v>
      </c>
      <c r="M29" s="2" t="s">
        <v>102</v>
      </c>
      <c r="N29" s="2" t="s">
        <v>883</v>
      </c>
      <c r="O29" s="2">
        <v>2025</v>
      </c>
      <c r="P29" s="2" t="str">
        <v>August</v>
      </c>
      <c r="Q29" s="2" t="s">
        <v>47</v>
      </c>
    </row>
    <row r="30" spans="1:17" x14ac:dyDescent="0.25">
      <c r="A30" s="2" t="s">
        <v>174</v>
      </c>
      <c r="B30" s="7">
        <v>45867</v>
      </c>
      <c r="C30" s="5" t="s">
        <v>24</v>
      </c>
      <c r="D30" s="5" t="s">
        <v>16</v>
      </c>
      <c r="E30" s="5" t="s">
        <v>295</v>
      </c>
      <c r="F30" s="2" t="s">
        <v>126</v>
      </c>
      <c r="G30" s="2">
        <v>7</v>
      </c>
      <c r="H30" s="25">
        <v>550</v>
      </c>
      <c r="I30" s="8">
        <v>0</v>
      </c>
      <c r="J30" s="25">
        <v>3850</v>
      </c>
      <c r="K30" s="25">
        <f>G30*H30</f>
        <v>3850</v>
      </c>
      <c r="L30" s="8">
        <f>K30*I30/100</f>
        <v>0</v>
      </c>
      <c r="M30" s="2" t="s">
        <v>53</v>
      </c>
      <c r="N30" s="2" t="s">
        <v>176</v>
      </c>
      <c r="O30" s="2">
        <v>2025</v>
      </c>
      <c r="P30" s="2" t="str">
        <v>July</v>
      </c>
      <c r="Q30" s="2" t="s">
        <v>47</v>
      </c>
    </row>
    <row r="31" spans="1:17" x14ac:dyDescent="0.25">
      <c r="A31" s="2" t="s">
        <v>177</v>
      </c>
      <c r="B31" s="7">
        <v>45902</v>
      </c>
      <c r="C31" s="5" t="s">
        <v>41</v>
      </c>
      <c r="D31" s="5" t="s">
        <v>42</v>
      </c>
      <c r="E31" s="5" t="s">
        <v>179</v>
      </c>
      <c r="F31" s="2" t="s">
        <v>180</v>
      </c>
      <c r="G31" s="2">
        <v>9</v>
      </c>
      <c r="H31" s="25">
        <v>11910</v>
      </c>
      <c r="I31" s="8">
        <v>0</v>
      </c>
      <c r="J31" s="25">
        <v>107190</v>
      </c>
      <c r="K31" s="25">
        <f>G31*H31</f>
        <v>107190</v>
      </c>
      <c r="L31" s="8">
        <f>K31*I31/100</f>
        <v>0</v>
      </c>
      <c r="M31" s="2" t="s">
        <v>139</v>
      </c>
      <c r="N31" s="2" t="s">
        <v>341</v>
      </c>
      <c r="O31" s="2">
        <v>2025</v>
      </c>
      <c r="P31" s="2" t="str">
        <v>September</v>
      </c>
      <c r="Q31" s="2" t="s">
        <v>21</v>
      </c>
    </row>
    <row r="32" spans="1:17" x14ac:dyDescent="0.25">
      <c r="A32" s="2" t="s">
        <v>182</v>
      </c>
      <c r="B32" s="7">
        <v>46016</v>
      </c>
      <c r="C32" s="5" t="s">
        <v>76</v>
      </c>
      <c r="D32" s="5" t="s">
        <v>33</v>
      </c>
      <c r="E32" s="5" t="s">
        <v>179</v>
      </c>
      <c r="F32" s="2" t="s">
        <v>184</v>
      </c>
      <c r="G32" s="2">
        <v>11</v>
      </c>
      <c r="H32" s="25">
        <v>2600</v>
      </c>
      <c r="I32" s="8">
        <v>0</v>
      </c>
      <c r="J32" s="25">
        <v>28600</v>
      </c>
      <c r="K32" s="25">
        <f>G32*H32</f>
        <v>28600</v>
      </c>
      <c r="L32" s="8">
        <f>K32*I32/100</f>
        <v>0</v>
      </c>
      <c r="M32" s="2" t="s">
        <v>139</v>
      </c>
      <c r="N32" s="2" t="s">
        <v>73</v>
      </c>
      <c r="O32" s="2">
        <v>2025</v>
      </c>
      <c r="P32" s="2" t="str">
        <v>December</v>
      </c>
      <c r="Q32" s="2" t="s">
        <v>47</v>
      </c>
    </row>
    <row r="33" spans="1:17" x14ac:dyDescent="0.25">
      <c r="A33" s="2" t="s">
        <v>186</v>
      </c>
      <c r="B33" s="7">
        <v>45945</v>
      </c>
      <c r="C33" s="5" t="s">
        <v>156</v>
      </c>
      <c r="D33" s="5" t="s">
        <v>51</v>
      </c>
      <c r="E33" s="5" t="s">
        <v>34</v>
      </c>
      <c r="F33" s="2" t="s">
        <v>71</v>
      </c>
      <c r="G33" s="2">
        <v>3</v>
      </c>
      <c r="H33" s="25">
        <v>26900</v>
      </c>
      <c r="I33" s="8">
        <v>0</v>
      </c>
      <c r="J33" s="25">
        <v>80700</v>
      </c>
      <c r="K33" s="25">
        <f>G33*H33</f>
        <v>80700</v>
      </c>
      <c r="L33" s="8">
        <f>K33*I33/100</f>
        <v>0</v>
      </c>
      <c r="M33" s="2" t="s">
        <v>139</v>
      </c>
      <c r="N33" s="2" t="s">
        <v>188</v>
      </c>
      <c r="O33" s="2">
        <v>2025</v>
      </c>
      <c r="P33" s="2" t="str">
        <v>October</v>
      </c>
      <c r="Q33" s="2" t="s">
        <v>47</v>
      </c>
    </row>
    <row r="34" spans="1:17" x14ac:dyDescent="0.25">
      <c r="A34" s="2" t="s">
        <v>190</v>
      </c>
      <c r="B34" s="7">
        <v>45810</v>
      </c>
      <c r="C34" s="5" t="s">
        <v>156</v>
      </c>
      <c r="D34" s="5" t="s">
        <v>51</v>
      </c>
      <c r="E34" s="5" t="s">
        <v>179</v>
      </c>
      <c r="F34" s="2" t="s">
        <v>180</v>
      </c>
      <c r="G34" s="2">
        <v>11</v>
      </c>
      <c r="H34" s="25">
        <v>10300</v>
      </c>
      <c r="I34" s="8">
        <v>0</v>
      </c>
      <c r="J34" s="25">
        <v>113300</v>
      </c>
      <c r="K34" s="25">
        <f>G34*H34</f>
        <v>113300</v>
      </c>
      <c r="L34" s="8">
        <f>K34*I34/100</f>
        <v>0</v>
      </c>
      <c r="M34" s="2" t="s">
        <v>102</v>
      </c>
      <c r="N34" s="2" t="s">
        <v>188</v>
      </c>
      <c r="O34" s="2">
        <v>2025</v>
      </c>
      <c r="P34" s="2" t="str">
        <v>June</v>
      </c>
      <c r="Q34" s="2" t="s">
        <v>21</v>
      </c>
    </row>
    <row r="35" spans="1:17" x14ac:dyDescent="0.25">
      <c r="A35" s="2" t="s">
        <v>192</v>
      </c>
      <c r="B35" s="7">
        <v>45710</v>
      </c>
      <c r="C35" s="5" t="s">
        <v>238</v>
      </c>
      <c r="D35" s="5" t="s">
        <v>51</v>
      </c>
      <c r="E35" s="5" t="s">
        <v>34</v>
      </c>
      <c r="F35" s="2" t="s">
        <v>35</v>
      </c>
      <c r="G35" s="2">
        <v>1</v>
      </c>
      <c r="H35" s="25">
        <v>16880</v>
      </c>
      <c r="I35" s="8">
        <v>0</v>
      </c>
      <c r="J35" s="25">
        <v>16880</v>
      </c>
      <c r="K35" s="25">
        <f>G35*H35</f>
        <v>16880</v>
      </c>
      <c r="L35" s="8">
        <f>K35*I35/100</f>
        <v>0</v>
      </c>
      <c r="M35" s="2" t="s">
        <v>102</v>
      </c>
      <c r="N35" s="2" t="s">
        <v>68</v>
      </c>
      <c r="O35" s="2">
        <v>2025</v>
      </c>
      <c r="P35" s="2" t="str">
        <v>February</v>
      </c>
      <c r="Q35" s="2" t="s">
        <v>47</v>
      </c>
    </row>
    <row r="36" spans="1:17" x14ac:dyDescent="0.25">
      <c r="A36" s="2" t="s">
        <v>196</v>
      </c>
      <c r="B36" s="7">
        <v>45792</v>
      </c>
      <c r="C36" s="5" t="s">
        <v>41</v>
      </c>
      <c r="D36" s="5" t="s">
        <v>42</v>
      </c>
      <c r="E36" s="5" t="s">
        <v>34</v>
      </c>
      <c r="F36" s="2" t="s">
        <v>199</v>
      </c>
      <c r="G36" s="2">
        <v>3</v>
      </c>
      <c r="H36" s="25">
        <v>3320.0000000000005</v>
      </c>
      <c r="I36" s="8">
        <v>5</v>
      </c>
      <c r="J36" s="25">
        <v>9462</v>
      </c>
      <c r="K36" s="25">
        <f>G36*H36</f>
        <v>9960.0000000000018</v>
      </c>
      <c r="L36" s="8">
        <f>K36*I36/100</f>
        <v>498.00000000000006</v>
      </c>
      <c r="M36" s="2" t="s">
        <v>139</v>
      </c>
      <c r="N36" s="2" t="s">
        <v>37</v>
      </c>
      <c r="O36" s="2">
        <v>2025</v>
      </c>
      <c r="P36" s="2" t="str">
        <v>May</v>
      </c>
      <c r="Q36" s="2" t="s">
        <v>21</v>
      </c>
    </row>
    <row r="37" spans="1:17" x14ac:dyDescent="0.25">
      <c r="A37" s="2" t="s">
        <v>202</v>
      </c>
      <c r="B37" s="7">
        <v>45706</v>
      </c>
      <c r="C37" s="5" t="s">
        <v>76</v>
      </c>
      <c r="D37" s="5" t="s">
        <v>33</v>
      </c>
      <c r="E37" s="5" t="s">
        <v>295</v>
      </c>
      <c r="F37" s="2" t="s">
        <v>66</v>
      </c>
      <c r="G37" s="2">
        <v>5</v>
      </c>
      <c r="H37" s="25">
        <v>2580</v>
      </c>
      <c r="I37" s="8">
        <v>0</v>
      </c>
      <c r="J37" s="25">
        <v>12900</v>
      </c>
      <c r="K37" s="25">
        <f>G37*H37</f>
        <v>12900</v>
      </c>
      <c r="L37" s="8">
        <f>K37*I37/100</f>
        <v>0</v>
      </c>
      <c r="M37" s="2" t="s">
        <v>53</v>
      </c>
      <c r="N37" s="2" t="s">
        <v>176</v>
      </c>
      <c r="O37" s="2">
        <v>2025</v>
      </c>
      <c r="P37" s="2" t="str">
        <v>February</v>
      </c>
      <c r="Q37" s="2" t="s">
        <v>21</v>
      </c>
    </row>
    <row r="38" spans="1:17" x14ac:dyDescent="0.25">
      <c r="A38" s="2" t="s">
        <v>207</v>
      </c>
      <c r="B38" s="7">
        <v>45870</v>
      </c>
      <c r="C38" s="5" t="s">
        <v>32</v>
      </c>
      <c r="D38" s="5" t="s">
        <v>33</v>
      </c>
      <c r="E38" s="5" t="s">
        <v>148</v>
      </c>
      <c r="F38" s="2" t="s">
        <v>209</v>
      </c>
      <c r="G38" s="2">
        <v>3</v>
      </c>
      <c r="H38" s="25">
        <v>4780</v>
      </c>
      <c r="I38" s="8">
        <v>10</v>
      </c>
      <c r="J38" s="25">
        <v>12906</v>
      </c>
      <c r="K38" s="25">
        <f>G38*H38</f>
        <v>14340</v>
      </c>
      <c r="L38" s="8">
        <f>K38*I38/100</f>
        <v>1434</v>
      </c>
      <c r="M38" s="2" t="s">
        <v>53</v>
      </c>
      <c r="N38" s="2" t="s">
        <v>168</v>
      </c>
      <c r="O38" s="2">
        <v>2025</v>
      </c>
      <c r="P38" s="2" t="str">
        <v>August</v>
      </c>
      <c r="Q38" s="2" t="s">
        <v>21</v>
      </c>
    </row>
    <row r="39" spans="1:17" x14ac:dyDescent="0.25">
      <c r="A39" s="2" t="s">
        <v>211</v>
      </c>
      <c r="B39" s="7">
        <v>45901</v>
      </c>
      <c r="C39" s="5" t="s">
        <v>135</v>
      </c>
      <c r="D39" s="5" t="s">
        <v>58</v>
      </c>
      <c r="E39" s="5" t="s">
        <v>179</v>
      </c>
      <c r="F39" s="2" t="s">
        <v>143</v>
      </c>
      <c r="G39" s="2">
        <v>12</v>
      </c>
      <c r="H39" s="25">
        <v>8240</v>
      </c>
      <c r="I39" s="8">
        <v>10</v>
      </c>
      <c r="J39" s="25">
        <v>88992</v>
      </c>
      <c r="K39" s="25">
        <f>G39*H39</f>
        <v>98880</v>
      </c>
      <c r="L39" s="8">
        <f>K39*I39/100</f>
        <v>9888</v>
      </c>
      <c r="M39" s="2" t="s">
        <v>139</v>
      </c>
      <c r="N39" s="2" t="s">
        <v>344</v>
      </c>
      <c r="O39" s="2">
        <v>2025</v>
      </c>
      <c r="P39" s="2" t="str">
        <v>September</v>
      </c>
      <c r="Q39" s="2" t="s">
        <v>47</v>
      </c>
    </row>
    <row r="40" spans="1:17" x14ac:dyDescent="0.25">
      <c r="A40" s="2" t="s">
        <v>216</v>
      </c>
      <c r="B40" s="7">
        <v>45707</v>
      </c>
      <c r="C40" s="5" t="s">
        <v>32</v>
      </c>
      <c r="D40" s="5" t="s">
        <v>33</v>
      </c>
      <c r="E40" s="5" t="s">
        <v>295</v>
      </c>
      <c r="F40" s="2" t="s">
        <v>219</v>
      </c>
      <c r="G40" s="2">
        <v>6</v>
      </c>
      <c r="H40" s="25">
        <v>7520</v>
      </c>
      <c r="I40" s="8">
        <v>0</v>
      </c>
      <c r="J40" s="25">
        <v>45120</v>
      </c>
      <c r="K40" s="25">
        <f>G40*H40</f>
        <v>45120</v>
      </c>
      <c r="L40" s="8">
        <f>K40*I40/100</f>
        <v>0</v>
      </c>
      <c r="M40" s="2" t="s">
        <v>139</v>
      </c>
      <c r="N40" s="2" t="s">
        <v>406</v>
      </c>
      <c r="O40" s="2">
        <v>2025</v>
      </c>
      <c r="P40" s="2" t="str">
        <v>February</v>
      </c>
      <c r="Q40" s="2" t="s">
        <v>47</v>
      </c>
    </row>
    <row r="41" spans="1:17" x14ac:dyDescent="0.25">
      <c r="A41" s="2" t="s">
        <v>221</v>
      </c>
      <c r="B41" s="7">
        <v>45925</v>
      </c>
      <c r="C41" s="5" t="s">
        <v>76</v>
      </c>
      <c r="D41" s="5" t="s">
        <v>33</v>
      </c>
      <c r="E41" s="5" t="s">
        <v>179</v>
      </c>
      <c r="F41" s="2" t="s">
        <v>224</v>
      </c>
      <c r="G41" s="2">
        <v>12</v>
      </c>
      <c r="H41" s="25">
        <v>26740</v>
      </c>
      <c r="I41" s="8">
        <v>0</v>
      </c>
      <c r="J41" s="25">
        <v>320880</v>
      </c>
      <c r="K41" s="25">
        <f>G41*H41</f>
        <v>320880</v>
      </c>
      <c r="L41" s="8">
        <f>K41*I41/100</f>
        <v>0</v>
      </c>
      <c r="M41" s="2" t="s">
        <v>94</v>
      </c>
      <c r="N41" s="2" t="s">
        <v>266</v>
      </c>
      <c r="O41" s="2">
        <v>2025</v>
      </c>
      <c r="P41" s="2" t="str">
        <v>September</v>
      </c>
      <c r="Q41" s="2" t="s">
        <v>47</v>
      </c>
    </row>
    <row r="42" spans="1:17" x14ac:dyDescent="0.25">
      <c r="A42" s="2" t="s">
        <v>225</v>
      </c>
      <c r="B42" s="7">
        <v>45698</v>
      </c>
      <c r="C42" s="5" t="s">
        <v>76</v>
      </c>
      <c r="D42" s="5" t="s">
        <v>33</v>
      </c>
      <c r="E42" s="5" t="s">
        <v>148</v>
      </c>
      <c r="F42" s="2" t="s">
        <v>149</v>
      </c>
      <c r="G42" s="2">
        <v>7</v>
      </c>
      <c r="H42" s="25">
        <v>7310</v>
      </c>
      <c r="I42" s="8">
        <v>0</v>
      </c>
      <c r="J42" s="25">
        <v>51170</v>
      </c>
      <c r="K42" s="25">
        <f>G42*H42</f>
        <v>51170</v>
      </c>
      <c r="L42" s="8">
        <f>K42*I42/100</f>
        <v>0</v>
      </c>
      <c r="M42" s="2" t="s">
        <v>139</v>
      </c>
      <c r="N42" s="2" t="s">
        <v>79</v>
      </c>
      <c r="O42" s="2">
        <v>2025</v>
      </c>
      <c r="P42" s="2" t="str">
        <v>February</v>
      </c>
      <c r="Q42" s="2" t="s">
        <v>47</v>
      </c>
    </row>
    <row r="43" spans="1:17" x14ac:dyDescent="0.25">
      <c r="A43" s="2" t="s">
        <v>229</v>
      </c>
      <c r="B43" s="7">
        <v>45872</v>
      </c>
      <c r="C43" s="5" t="s">
        <v>32</v>
      </c>
      <c r="D43" s="5" t="s">
        <v>33</v>
      </c>
      <c r="E43" s="5" t="s">
        <v>179</v>
      </c>
      <c r="F43" s="2" t="s">
        <v>232</v>
      </c>
      <c r="G43" s="2">
        <v>2</v>
      </c>
      <c r="H43" s="25">
        <v>65860</v>
      </c>
      <c r="I43" s="8">
        <v>0</v>
      </c>
      <c r="J43" s="25">
        <v>131720</v>
      </c>
      <c r="K43" s="25">
        <f>G43*H43</f>
        <v>131720</v>
      </c>
      <c r="L43" s="8">
        <f>K43*I43/100</f>
        <v>0</v>
      </c>
      <c r="M43" s="2" t="s">
        <v>102</v>
      </c>
      <c r="N43" s="2" t="s">
        <v>883</v>
      </c>
      <c r="O43" s="2">
        <v>2025</v>
      </c>
      <c r="P43" s="2" t="str">
        <v>August</v>
      </c>
      <c r="Q43" s="2" t="s">
        <v>47</v>
      </c>
    </row>
    <row r="44" spans="1:17" x14ac:dyDescent="0.25">
      <c r="A44" s="2" t="s">
        <v>233</v>
      </c>
      <c r="B44" s="7">
        <v>45775</v>
      </c>
      <c r="C44" s="5" t="s">
        <v>32</v>
      </c>
      <c r="D44" s="5" t="s">
        <v>33</v>
      </c>
      <c r="E44" s="5" t="s">
        <v>25</v>
      </c>
      <c r="F44" s="2" t="s">
        <v>93</v>
      </c>
      <c r="G44" s="2">
        <v>7</v>
      </c>
      <c r="H44" s="25">
        <v>1280</v>
      </c>
      <c r="I44" s="8">
        <v>10</v>
      </c>
      <c r="J44" s="25">
        <v>8064</v>
      </c>
      <c r="K44" s="25">
        <f>G44*H44</f>
        <v>8960</v>
      </c>
      <c r="L44" s="8">
        <f>K44*I44/100</f>
        <v>896</v>
      </c>
      <c r="M44" s="2" t="s">
        <v>139</v>
      </c>
      <c r="N44" s="2" t="s">
        <v>188</v>
      </c>
      <c r="O44" s="2">
        <v>2025</v>
      </c>
      <c r="P44" s="2" t="str">
        <v>April</v>
      </c>
      <c r="Q44" s="2" t="s">
        <v>21</v>
      </c>
    </row>
    <row r="45" spans="1:17" x14ac:dyDescent="0.25">
      <c r="A45" s="2" t="s">
        <v>235</v>
      </c>
      <c r="B45" s="7">
        <v>45774</v>
      </c>
      <c r="C45" s="5" t="s">
        <v>156</v>
      </c>
      <c r="D45" s="5" t="s">
        <v>51</v>
      </c>
      <c r="E45" s="5" t="s">
        <v>148</v>
      </c>
      <c r="F45" s="2" t="s">
        <v>209</v>
      </c>
      <c r="G45" s="2">
        <v>12</v>
      </c>
      <c r="H45" s="25">
        <v>1210</v>
      </c>
      <c r="I45" s="8">
        <v>0</v>
      </c>
      <c r="J45" s="25">
        <v>14520</v>
      </c>
      <c r="K45" s="25">
        <f>G45*H45</f>
        <v>14520</v>
      </c>
      <c r="L45" s="8">
        <f>K45*I45/100</f>
        <v>0</v>
      </c>
      <c r="M45" s="2" t="s">
        <v>139</v>
      </c>
      <c r="N45" s="2" t="s">
        <v>176</v>
      </c>
      <c r="O45" s="2">
        <v>2025</v>
      </c>
      <c r="P45" s="2" t="str">
        <v>April</v>
      </c>
      <c r="Q45" s="2" t="s">
        <v>47</v>
      </c>
    </row>
    <row r="46" spans="1:17" x14ac:dyDescent="0.25">
      <c r="A46" s="2" t="s">
        <v>236</v>
      </c>
      <c r="B46" s="7">
        <v>45970</v>
      </c>
      <c r="C46" s="5" t="s">
        <v>238</v>
      </c>
      <c r="D46" s="5" t="s">
        <v>51</v>
      </c>
      <c r="E46" s="5" t="s">
        <v>179</v>
      </c>
      <c r="F46" s="2" t="s">
        <v>239</v>
      </c>
      <c r="G46" s="2">
        <v>4</v>
      </c>
      <c r="H46" s="25">
        <v>2270</v>
      </c>
      <c r="I46" s="8">
        <v>0</v>
      </c>
      <c r="J46" s="25">
        <v>9080</v>
      </c>
      <c r="K46" s="25">
        <f>G46*H46</f>
        <v>9080</v>
      </c>
      <c r="L46" s="8">
        <f>K46*I46/100</f>
        <v>0</v>
      </c>
      <c r="M46" s="2" t="s">
        <v>139</v>
      </c>
      <c r="N46" s="2" t="s">
        <v>46</v>
      </c>
      <c r="O46" s="2">
        <v>2025</v>
      </c>
      <c r="P46" s="2" t="str">
        <v>November</v>
      </c>
      <c r="Q46" s="2" t="s">
        <v>21</v>
      </c>
    </row>
    <row r="47" spans="1:17" x14ac:dyDescent="0.25">
      <c r="A47" s="2" t="s">
        <v>240</v>
      </c>
      <c r="B47" s="7">
        <v>45902</v>
      </c>
      <c r="C47" s="5" t="s">
        <v>32</v>
      </c>
      <c r="D47" s="5" t="s">
        <v>33</v>
      </c>
      <c r="E47" s="5" t="s">
        <v>25</v>
      </c>
      <c r="F47" s="2" t="s">
        <v>106</v>
      </c>
      <c r="G47" s="2">
        <v>4</v>
      </c>
      <c r="H47" s="25">
        <v>43020</v>
      </c>
      <c r="I47" s="8">
        <v>10</v>
      </c>
      <c r="J47" s="25">
        <v>154872</v>
      </c>
      <c r="K47" s="25">
        <f>G47*H47</f>
        <v>172080</v>
      </c>
      <c r="L47" s="8">
        <f>K47*I47/100</f>
        <v>17208</v>
      </c>
      <c r="M47" s="2" t="s">
        <v>139</v>
      </c>
      <c r="N47" s="2" t="s">
        <v>68</v>
      </c>
      <c r="O47" s="2">
        <v>2025</v>
      </c>
      <c r="P47" s="2" t="str">
        <v>September</v>
      </c>
      <c r="Q47" s="2" t="s">
        <v>47</v>
      </c>
    </row>
    <row r="48" spans="1:17" x14ac:dyDescent="0.25">
      <c r="A48" s="2" t="s">
        <v>242</v>
      </c>
      <c r="B48" s="7">
        <v>46017</v>
      </c>
      <c r="C48" s="5" t="s">
        <v>41</v>
      </c>
      <c r="D48" s="5" t="s">
        <v>33</v>
      </c>
      <c r="E48" s="5" t="s">
        <v>179</v>
      </c>
      <c r="F48" s="2" t="s">
        <v>184</v>
      </c>
      <c r="G48" s="2">
        <v>6</v>
      </c>
      <c r="H48" s="25">
        <v>74180</v>
      </c>
      <c r="I48" s="8">
        <v>0</v>
      </c>
      <c r="J48" s="25">
        <v>445080</v>
      </c>
      <c r="K48" s="25">
        <f>G48*H48</f>
        <v>445080</v>
      </c>
      <c r="L48" s="8">
        <f>K48*I48/100</f>
        <v>0</v>
      </c>
      <c r="M48" s="2" t="s">
        <v>139</v>
      </c>
      <c r="N48" s="2" t="s">
        <v>883</v>
      </c>
      <c r="O48" s="2">
        <v>2025</v>
      </c>
      <c r="P48" s="2" t="str">
        <v>December</v>
      </c>
      <c r="Q48" s="2" t="s">
        <v>21</v>
      </c>
    </row>
    <row r="49" spans="1:17" x14ac:dyDescent="0.25">
      <c r="A49" s="2" t="s">
        <v>246</v>
      </c>
      <c r="B49" s="7">
        <v>45666</v>
      </c>
      <c r="C49" s="5" t="s">
        <v>238</v>
      </c>
      <c r="D49" s="5" t="s">
        <v>51</v>
      </c>
      <c r="E49" s="5" t="s">
        <v>25</v>
      </c>
      <c r="F49" s="2" t="s">
        <v>248</v>
      </c>
      <c r="G49" s="2">
        <v>10</v>
      </c>
      <c r="H49" s="25">
        <v>2740</v>
      </c>
      <c r="I49" s="8">
        <v>0</v>
      </c>
      <c r="J49" s="25">
        <v>27400</v>
      </c>
      <c r="K49" s="25">
        <f>G49*H49</f>
        <v>27400</v>
      </c>
      <c r="L49" s="8">
        <f>K49*I49/100</f>
        <v>0</v>
      </c>
      <c r="M49" s="2" t="s">
        <v>53</v>
      </c>
      <c r="N49" s="2" t="s">
        <v>883</v>
      </c>
      <c r="O49" s="2">
        <v>2025</v>
      </c>
      <c r="P49" s="2" t="str">
        <v>January</v>
      </c>
      <c r="Q49" s="2" t="s">
        <v>47</v>
      </c>
    </row>
    <row r="50" spans="1:17" x14ac:dyDescent="0.25">
      <c r="A50" s="2" t="s">
        <v>250</v>
      </c>
      <c r="B50" s="7">
        <v>45953</v>
      </c>
      <c r="C50" s="5" t="s">
        <v>156</v>
      </c>
      <c r="D50" s="5" t="s">
        <v>51</v>
      </c>
      <c r="E50" s="5" t="s">
        <v>148</v>
      </c>
      <c r="F50" s="2" t="s">
        <v>252</v>
      </c>
      <c r="G50" s="2">
        <v>9</v>
      </c>
      <c r="H50" s="25">
        <v>1170</v>
      </c>
      <c r="I50" s="8">
        <v>0</v>
      </c>
      <c r="J50" s="25">
        <v>10530</v>
      </c>
      <c r="K50" s="25">
        <f>G50*H50</f>
        <v>10530</v>
      </c>
      <c r="L50" s="8">
        <f>K50*I50/100</f>
        <v>0</v>
      </c>
      <c r="M50" s="2" t="s">
        <v>94</v>
      </c>
      <c r="N50" s="2" t="s">
        <v>406</v>
      </c>
      <c r="O50" s="2">
        <v>2025</v>
      </c>
      <c r="P50" s="2" t="str">
        <v>October</v>
      </c>
      <c r="Q50" s="2" t="s">
        <v>47</v>
      </c>
    </row>
    <row r="51" spans="1:17" x14ac:dyDescent="0.25">
      <c r="A51" s="2" t="s">
        <v>254</v>
      </c>
      <c r="B51" s="7">
        <v>45989</v>
      </c>
      <c r="C51" s="5" t="s">
        <v>24</v>
      </c>
      <c r="D51" s="5" t="s">
        <v>16</v>
      </c>
      <c r="E51" s="5" t="s">
        <v>25</v>
      </c>
      <c r="F51" s="2" t="s">
        <v>255</v>
      </c>
      <c r="G51" s="2">
        <v>4</v>
      </c>
      <c r="H51" s="25">
        <v>27370</v>
      </c>
      <c r="I51" s="8">
        <v>5</v>
      </c>
      <c r="J51" s="25">
        <v>104006</v>
      </c>
      <c r="K51" s="25">
        <f>G51*H51</f>
        <v>109480</v>
      </c>
      <c r="L51" s="8">
        <f>K51*I51/100</f>
        <v>5474</v>
      </c>
      <c r="M51" s="2" t="s">
        <v>102</v>
      </c>
      <c r="N51" s="2" t="s">
        <v>37</v>
      </c>
      <c r="O51" s="2">
        <v>2025</v>
      </c>
      <c r="P51" s="2" t="str">
        <v>November</v>
      </c>
      <c r="Q51" s="2" t="s">
        <v>47</v>
      </c>
    </row>
    <row r="52" spans="1:17" x14ac:dyDescent="0.25">
      <c r="A52" s="2" t="s">
        <v>257</v>
      </c>
      <c r="B52" s="7">
        <v>45870</v>
      </c>
      <c r="C52" s="5" t="s">
        <v>76</v>
      </c>
      <c r="D52" s="5" t="s">
        <v>33</v>
      </c>
      <c r="E52" s="5" t="s">
        <v>295</v>
      </c>
      <c r="F52" s="2" t="s">
        <v>219</v>
      </c>
      <c r="G52" s="2">
        <v>6</v>
      </c>
      <c r="H52" s="25">
        <v>1200</v>
      </c>
      <c r="I52" s="8">
        <v>0</v>
      </c>
      <c r="J52" s="25">
        <v>7200</v>
      </c>
      <c r="K52" s="25">
        <f>G52*H52</f>
        <v>7200</v>
      </c>
      <c r="L52" s="8">
        <f>K52*I52/100</f>
        <v>0</v>
      </c>
      <c r="M52" s="2" t="s">
        <v>102</v>
      </c>
      <c r="N52" s="2" t="s">
        <v>883</v>
      </c>
      <c r="O52" s="2">
        <v>2025</v>
      </c>
      <c r="P52" s="2" t="str">
        <v>August</v>
      </c>
      <c r="Q52" s="2" t="s">
        <v>47</v>
      </c>
    </row>
    <row r="53" spans="1:17" x14ac:dyDescent="0.25">
      <c r="A53" s="2" t="s">
        <v>260</v>
      </c>
      <c r="B53" s="7">
        <v>45714</v>
      </c>
      <c r="C53" s="5" t="s">
        <v>156</v>
      </c>
      <c r="D53" s="5" t="s">
        <v>51</v>
      </c>
      <c r="E53" s="5" t="s">
        <v>25</v>
      </c>
      <c r="F53" s="2" t="s">
        <v>44</v>
      </c>
      <c r="G53" s="2">
        <v>2</v>
      </c>
      <c r="H53" s="25">
        <v>65120</v>
      </c>
      <c r="I53" s="8">
        <v>0</v>
      </c>
      <c r="J53" s="25">
        <v>130240</v>
      </c>
      <c r="K53" s="25">
        <f>G53*H53</f>
        <v>130240</v>
      </c>
      <c r="L53" s="8">
        <f>K53*I53/100</f>
        <v>0</v>
      </c>
      <c r="M53" s="2" t="s">
        <v>94</v>
      </c>
      <c r="N53" s="2" t="s">
        <v>68</v>
      </c>
      <c r="O53" s="2">
        <v>2025</v>
      </c>
      <c r="P53" s="2" t="str">
        <v>February</v>
      </c>
      <c r="Q53" s="2" t="s">
        <v>47</v>
      </c>
    </row>
    <row r="54" spans="1:17" x14ac:dyDescent="0.25">
      <c r="A54" s="2" t="s">
        <v>262</v>
      </c>
      <c r="B54" s="7">
        <v>45685</v>
      </c>
      <c r="C54" s="5" t="s">
        <v>135</v>
      </c>
      <c r="D54" s="5" t="s">
        <v>58</v>
      </c>
      <c r="E54" s="5" t="s">
        <v>25</v>
      </c>
      <c r="F54" s="2" t="s">
        <v>26</v>
      </c>
      <c r="G54" s="2">
        <v>4</v>
      </c>
      <c r="H54" s="25">
        <v>3240</v>
      </c>
      <c r="I54" s="8">
        <v>15</v>
      </c>
      <c r="J54" s="25">
        <v>11016</v>
      </c>
      <c r="K54" s="25">
        <f>G54*H54</f>
        <v>12960</v>
      </c>
      <c r="L54" s="8">
        <f>K54*I54/100</f>
        <v>1944</v>
      </c>
      <c r="M54" s="2" t="s">
        <v>94</v>
      </c>
      <c r="N54" s="2" t="s">
        <v>168</v>
      </c>
      <c r="O54" s="2">
        <v>2025</v>
      </c>
      <c r="P54" s="2" t="str">
        <v>January</v>
      </c>
      <c r="Q54" s="2" t="s">
        <v>47</v>
      </c>
    </row>
    <row r="55" spans="1:17" x14ac:dyDescent="0.25">
      <c r="A55" s="2" t="s">
        <v>264</v>
      </c>
      <c r="B55" s="7">
        <v>45957</v>
      </c>
      <c r="C55" s="5" t="s">
        <v>135</v>
      </c>
      <c r="D55" s="5" t="s">
        <v>58</v>
      </c>
      <c r="E55" s="5" t="s">
        <v>179</v>
      </c>
      <c r="F55" s="2" t="s">
        <v>132</v>
      </c>
      <c r="G55" s="2">
        <v>1</v>
      </c>
      <c r="H55" s="25">
        <v>63690</v>
      </c>
      <c r="I55" s="8">
        <v>0</v>
      </c>
      <c r="J55" s="25">
        <v>63690</v>
      </c>
      <c r="K55" s="25">
        <f>G55*H55</f>
        <v>63690</v>
      </c>
      <c r="L55" s="8">
        <f>K55*I55/100</f>
        <v>0</v>
      </c>
      <c r="M55" s="2" t="s">
        <v>102</v>
      </c>
      <c r="N55" s="2" t="s">
        <v>266</v>
      </c>
      <c r="O55" s="2">
        <v>2025</v>
      </c>
      <c r="P55" s="2" t="str">
        <v>October</v>
      </c>
      <c r="Q55" s="2" t="s">
        <v>21</v>
      </c>
    </row>
    <row r="56" spans="1:17" x14ac:dyDescent="0.25">
      <c r="A56" s="2" t="s">
        <v>267</v>
      </c>
      <c r="B56" s="7">
        <v>45841</v>
      </c>
      <c r="C56" s="5" t="s">
        <v>238</v>
      </c>
      <c r="D56" s="5" t="s">
        <v>51</v>
      </c>
      <c r="E56" s="5" t="s">
        <v>295</v>
      </c>
      <c r="F56" s="2" t="s">
        <v>66</v>
      </c>
      <c r="G56" s="2">
        <v>2</v>
      </c>
      <c r="H56" s="25">
        <v>63030</v>
      </c>
      <c r="I56" s="8">
        <v>15</v>
      </c>
      <c r="J56" s="25">
        <v>107151</v>
      </c>
      <c r="K56" s="25">
        <f>G56*H56</f>
        <v>126060</v>
      </c>
      <c r="L56" s="8">
        <f>K56*I56/100</f>
        <v>18909</v>
      </c>
      <c r="M56" s="2" t="s">
        <v>94</v>
      </c>
      <c r="N56" s="2" t="s">
        <v>73</v>
      </c>
      <c r="O56" s="2">
        <v>2025</v>
      </c>
      <c r="P56" s="2" t="str">
        <v>July</v>
      </c>
      <c r="Q56" s="2" t="s">
        <v>47</v>
      </c>
    </row>
    <row r="57" spans="1:17" x14ac:dyDescent="0.25">
      <c r="A57" s="2" t="s">
        <v>269</v>
      </c>
      <c r="B57" s="7">
        <v>45820</v>
      </c>
      <c r="C57" s="5" t="s">
        <v>135</v>
      </c>
      <c r="D57" s="5" t="s">
        <v>58</v>
      </c>
      <c r="E57" s="5" t="s">
        <v>179</v>
      </c>
      <c r="F57" s="2" t="s">
        <v>143</v>
      </c>
      <c r="G57" s="2">
        <v>4</v>
      </c>
      <c r="H57" s="25">
        <v>51000</v>
      </c>
      <c r="I57" s="8">
        <v>5</v>
      </c>
      <c r="J57" s="25">
        <v>193800</v>
      </c>
      <c r="K57" s="25">
        <f>G57*H57</f>
        <v>204000</v>
      </c>
      <c r="L57" s="8">
        <f>K57*I57/100</f>
        <v>10200</v>
      </c>
      <c r="M57" s="2" t="s">
        <v>53</v>
      </c>
      <c r="N57" s="2" t="s">
        <v>406</v>
      </c>
      <c r="O57" s="2">
        <v>2025</v>
      </c>
      <c r="P57" s="2" t="str">
        <v>June</v>
      </c>
      <c r="Q57" s="2" t="s">
        <v>21</v>
      </c>
    </row>
    <row r="58" spans="1:17" x14ac:dyDescent="0.25">
      <c r="A58" s="2" t="s">
        <v>272</v>
      </c>
      <c r="B58" s="7">
        <v>45715</v>
      </c>
      <c r="C58" s="5" t="s">
        <v>135</v>
      </c>
      <c r="D58" s="5" t="s">
        <v>58</v>
      </c>
      <c r="E58" s="5" t="s">
        <v>34</v>
      </c>
      <c r="F58" s="2" t="s">
        <v>199</v>
      </c>
      <c r="G58" s="2">
        <v>9</v>
      </c>
      <c r="H58" s="25">
        <v>63940</v>
      </c>
      <c r="I58" s="8">
        <v>15</v>
      </c>
      <c r="J58" s="25">
        <v>489141</v>
      </c>
      <c r="K58" s="25">
        <f>G58*H58</f>
        <v>575460</v>
      </c>
      <c r="L58" s="8">
        <f>K58*I58/100</f>
        <v>86319</v>
      </c>
      <c r="M58" s="2" t="s">
        <v>102</v>
      </c>
      <c r="N58" s="2" t="s">
        <v>176</v>
      </c>
      <c r="O58" s="2">
        <v>2025</v>
      </c>
      <c r="P58" s="2" t="str">
        <v>February</v>
      </c>
      <c r="Q58" s="2" t="s">
        <v>47</v>
      </c>
    </row>
    <row r="59" spans="1:17" x14ac:dyDescent="0.25">
      <c r="A59" s="2" t="s">
        <v>275</v>
      </c>
      <c r="B59" s="7">
        <v>45832</v>
      </c>
      <c r="C59" s="5" t="s">
        <v>238</v>
      </c>
      <c r="D59" s="5" t="s">
        <v>51</v>
      </c>
      <c r="E59" s="5" t="s">
        <v>179</v>
      </c>
      <c r="F59" s="2" t="s">
        <v>184</v>
      </c>
      <c r="G59" s="2">
        <v>7</v>
      </c>
      <c r="H59" s="25">
        <v>3570</v>
      </c>
      <c r="I59" s="8">
        <v>0</v>
      </c>
      <c r="J59" s="25">
        <v>24990</v>
      </c>
      <c r="K59" s="25">
        <f>G59*H59</f>
        <v>24990</v>
      </c>
      <c r="L59" s="8">
        <f>K59*I59/100</f>
        <v>0</v>
      </c>
      <c r="M59" s="2" t="s">
        <v>53</v>
      </c>
      <c r="N59" s="2" t="s">
        <v>73</v>
      </c>
      <c r="O59" s="2">
        <v>2025</v>
      </c>
      <c r="P59" s="2" t="str">
        <v>June</v>
      </c>
      <c r="Q59" s="2" t="s">
        <v>21</v>
      </c>
    </row>
    <row r="60" spans="1:17" x14ac:dyDescent="0.25">
      <c r="A60" s="2" t="s">
        <v>277</v>
      </c>
      <c r="B60" s="7">
        <v>45943</v>
      </c>
      <c r="C60" s="5" t="s">
        <v>41</v>
      </c>
      <c r="D60" s="5" t="s">
        <v>42</v>
      </c>
      <c r="E60" s="5" t="s">
        <v>179</v>
      </c>
      <c r="F60" s="2" t="s">
        <v>184</v>
      </c>
      <c r="G60" s="2">
        <v>5</v>
      </c>
      <c r="H60" s="25">
        <v>12890</v>
      </c>
      <c r="I60" s="8">
        <v>0</v>
      </c>
      <c r="J60" s="25">
        <v>64450</v>
      </c>
      <c r="K60" s="25">
        <f>G60*H60</f>
        <v>64450</v>
      </c>
      <c r="L60" s="8">
        <f>K60*I60/100</f>
        <v>0</v>
      </c>
      <c r="M60" s="2" t="s">
        <v>94</v>
      </c>
      <c r="N60" s="2" t="s">
        <v>54</v>
      </c>
      <c r="O60" s="2">
        <v>2025</v>
      </c>
      <c r="P60" s="2" t="str">
        <v>October</v>
      </c>
      <c r="Q60" s="2" t="s">
        <v>47</v>
      </c>
    </row>
    <row r="61" spans="1:17" x14ac:dyDescent="0.25">
      <c r="A61" s="2" t="s">
        <v>279</v>
      </c>
      <c r="B61" s="7">
        <v>45976</v>
      </c>
      <c r="C61" s="5" t="s">
        <v>156</v>
      </c>
      <c r="D61" s="5" t="s">
        <v>51</v>
      </c>
      <c r="E61" s="5" t="s">
        <v>25</v>
      </c>
      <c r="F61" s="2" t="s">
        <v>26</v>
      </c>
      <c r="G61" s="2">
        <v>4</v>
      </c>
      <c r="H61" s="25">
        <v>3720</v>
      </c>
      <c r="I61" s="8">
        <v>0</v>
      </c>
      <c r="J61" s="25">
        <v>14880</v>
      </c>
      <c r="K61" s="25">
        <f>G61*H61</f>
        <v>14880</v>
      </c>
      <c r="L61" s="8">
        <f>K61*I61/100</f>
        <v>0</v>
      </c>
      <c r="M61" s="2" t="s">
        <v>102</v>
      </c>
      <c r="N61" s="2" t="s">
        <v>176</v>
      </c>
      <c r="O61" s="2">
        <v>2025</v>
      </c>
      <c r="P61" s="2" t="str">
        <v>November</v>
      </c>
      <c r="Q61" s="2" t="s">
        <v>47</v>
      </c>
    </row>
    <row r="62" spans="1:17" x14ac:dyDescent="0.25">
      <c r="A62" s="2" t="s">
        <v>282</v>
      </c>
      <c r="B62" s="7">
        <v>45876</v>
      </c>
      <c r="C62" s="5" t="s">
        <v>41</v>
      </c>
      <c r="D62" s="5" t="s">
        <v>42</v>
      </c>
      <c r="E62" s="5" t="s">
        <v>148</v>
      </c>
      <c r="F62" s="2" t="s">
        <v>83</v>
      </c>
      <c r="G62" s="2">
        <v>6</v>
      </c>
      <c r="H62" s="25">
        <v>2800</v>
      </c>
      <c r="I62" s="8">
        <v>10</v>
      </c>
      <c r="J62" s="25">
        <v>15120</v>
      </c>
      <c r="K62" s="25">
        <f>G62*H62</f>
        <v>16800</v>
      </c>
      <c r="L62" s="8">
        <f>K62*I62/100</f>
        <v>1680</v>
      </c>
      <c r="M62" s="2" t="s">
        <v>94</v>
      </c>
      <c r="N62" s="2" t="s">
        <v>266</v>
      </c>
      <c r="O62" s="2">
        <v>2025</v>
      </c>
      <c r="P62" s="2" t="str">
        <v>August</v>
      </c>
      <c r="Q62" s="2" t="s">
        <v>47</v>
      </c>
    </row>
    <row r="63" spans="1:17" x14ac:dyDescent="0.25">
      <c r="A63" s="2" t="s">
        <v>286</v>
      </c>
      <c r="B63" s="7">
        <v>46013</v>
      </c>
      <c r="C63" s="5" t="s">
        <v>156</v>
      </c>
      <c r="D63" s="5" t="s">
        <v>51</v>
      </c>
      <c r="E63" s="5" t="s">
        <v>179</v>
      </c>
      <c r="F63" s="2" t="s">
        <v>184</v>
      </c>
      <c r="G63" s="2">
        <v>2</v>
      </c>
      <c r="H63" s="25">
        <v>18290</v>
      </c>
      <c r="I63" s="8">
        <v>0</v>
      </c>
      <c r="J63" s="25">
        <v>36580</v>
      </c>
      <c r="K63" s="25">
        <f>G63*H63</f>
        <v>36580</v>
      </c>
      <c r="L63" s="8">
        <f>K63*I63/100</f>
        <v>0</v>
      </c>
      <c r="M63" s="2" t="s">
        <v>102</v>
      </c>
      <c r="N63" s="2" t="s">
        <v>188</v>
      </c>
      <c r="O63" s="2">
        <v>2025</v>
      </c>
      <c r="P63" s="2" t="str">
        <v>December</v>
      </c>
      <c r="Q63" s="2" t="s">
        <v>47</v>
      </c>
    </row>
    <row r="64" spans="1:17" x14ac:dyDescent="0.25">
      <c r="A64" s="2" t="s">
        <v>288</v>
      </c>
      <c r="B64" s="7">
        <v>45770</v>
      </c>
      <c r="C64" s="5" t="s">
        <v>156</v>
      </c>
      <c r="D64" s="5" t="s">
        <v>51</v>
      </c>
      <c r="E64" s="5" t="s">
        <v>34</v>
      </c>
      <c r="F64" s="2" t="s">
        <v>290</v>
      </c>
      <c r="G64" s="2">
        <v>9</v>
      </c>
      <c r="H64" s="25">
        <v>1330</v>
      </c>
      <c r="I64" s="8">
        <v>5</v>
      </c>
      <c r="J64" s="25">
        <v>11371.5</v>
      </c>
      <c r="K64" s="25">
        <f>G64*H64</f>
        <v>11970</v>
      </c>
      <c r="L64" s="8">
        <f>K64*I64/100</f>
        <v>598.5</v>
      </c>
      <c r="M64" s="2" t="s">
        <v>53</v>
      </c>
      <c r="N64" s="2" t="s">
        <v>176</v>
      </c>
      <c r="O64" s="2">
        <v>2025</v>
      </c>
      <c r="P64" s="2" t="str">
        <v>April</v>
      </c>
      <c r="Q64" s="2" t="s">
        <v>47</v>
      </c>
    </row>
    <row r="65" spans="1:17" x14ac:dyDescent="0.25">
      <c r="A65" s="2" t="s">
        <v>292</v>
      </c>
      <c r="B65" s="7">
        <v>45844</v>
      </c>
      <c r="C65" s="5" t="s">
        <v>41</v>
      </c>
      <c r="D65" s="5" t="s">
        <v>33</v>
      </c>
      <c r="E65" s="5" t="s">
        <v>295</v>
      </c>
      <c r="F65" s="2" t="s">
        <v>296</v>
      </c>
      <c r="G65" s="2">
        <v>3</v>
      </c>
      <c r="H65" s="25">
        <v>3730</v>
      </c>
      <c r="I65" s="8">
        <v>0</v>
      </c>
      <c r="J65" s="25">
        <v>11190</v>
      </c>
      <c r="K65" s="25">
        <f>G65*H65</f>
        <v>11190</v>
      </c>
      <c r="L65" s="8">
        <f>K65*I65/100</f>
        <v>0</v>
      </c>
      <c r="M65" s="2" t="s">
        <v>94</v>
      </c>
      <c r="N65" s="2" t="s">
        <v>266</v>
      </c>
      <c r="O65" s="2">
        <v>2025</v>
      </c>
      <c r="P65" s="2" t="str">
        <v>July</v>
      </c>
      <c r="Q65" s="2" t="s">
        <v>47</v>
      </c>
    </row>
    <row r="66" spans="1:17" x14ac:dyDescent="0.25">
      <c r="A66" s="2" t="s">
        <v>297</v>
      </c>
      <c r="B66" s="7">
        <v>45753</v>
      </c>
      <c r="C66" s="5" t="s">
        <v>32</v>
      </c>
      <c r="D66" s="5" t="s">
        <v>33</v>
      </c>
      <c r="E66" s="5" t="s">
        <v>295</v>
      </c>
      <c r="F66" s="2" t="s">
        <v>101</v>
      </c>
      <c r="G66" s="2">
        <v>12</v>
      </c>
      <c r="H66" s="25">
        <v>7550</v>
      </c>
      <c r="I66" s="8">
        <v>0</v>
      </c>
      <c r="J66" s="25">
        <v>90600</v>
      </c>
      <c r="K66" s="25">
        <f>G66*H66</f>
        <v>90600</v>
      </c>
      <c r="L66" s="8">
        <f>K66*I66/100</f>
        <v>0</v>
      </c>
      <c r="M66" s="2" t="s">
        <v>94</v>
      </c>
      <c r="N66" s="2" t="s">
        <v>168</v>
      </c>
      <c r="O66" s="2">
        <v>2025</v>
      </c>
      <c r="P66" s="2" t="str">
        <v>April</v>
      </c>
      <c r="Q66" s="2" t="s">
        <v>47</v>
      </c>
    </row>
    <row r="67" spans="1:17" x14ac:dyDescent="0.25">
      <c r="A67" s="2" t="s">
        <v>300</v>
      </c>
      <c r="B67" s="7">
        <v>45867</v>
      </c>
      <c r="C67" s="5" t="s">
        <v>41</v>
      </c>
      <c r="D67" s="5" t="s">
        <v>42</v>
      </c>
      <c r="E67" s="5" t="s">
        <v>179</v>
      </c>
      <c r="F67" s="2" t="s">
        <v>224</v>
      </c>
      <c r="G67" s="2">
        <v>5</v>
      </c>
      <c r="H67" s="25">
        <v>500</v>
      </c>
      <c r="I67" s="8">
        <v>0</v>
      </c>
      <c r="J67" s="25">
        <v>2500</v>
      </c>
      <c r="K67" s="25">
        <f>G67*H67</f>
        <v>2500</v>
      </c>
      <c r="L67" s="8">
        <f>K67*I67/100</f>
        <v>0</v>
      </c>
      <c r="M67" s="2" t="s">
        <v>53</v>
      </c>
      <c r="N67" s="2" t="s">
        <v>406</v>
      </c>
      <c r="O67" s="2">
        <v>2025</v>
      </c>
      <c r="P67" s="2" t="str">
        <v>July</v>
      </c>
      <c r="Q67" s="2" t="s">
        <v>47</v>
      </c>
    </row>
    <row r="68" spans="1:17" x14ac:dyDescent="0.25">
      <c r="A68" s="2" t="s">
        <v>302</v>
      </c>
      <c r="B68" s="7">
        <v>45716</v>
      </c>
      <c r="C68" s="5" t="s">
        <v>135</v>
      </c>
      <c r="D68" s="5" t="s">
        <v>58</v>
      </c>
      <c r="E68" s="5" t="s">
        <v>34</v>
      </c>
      <c r="F68" s="2" t="s">
        <v>199</v>
      </c>
      <c r="G68" s="2">
        <v>2</v>
      </c>
      <c r="H68" s="25">
        <v>2660</v>
      </c>
      <c r="I68" s="8">
        <v>0</v>
      </c>
      <c r="J68" s="25">
        <v>5320</v>
      </c>
      <c r="K68" s="25">
        <f>G68*H68</f>
        <v>5320</v>
      </c>
      <c r="L68" s="8">
        <f>K68*I68/100</f>
        <v>0</v>
      </c>
      <c r="M68" s="2" t="s">
        <v>94</v>
      </c>
      <c r="N68" s="2" t="s">
        <v>54</v>
      </c>
      <c r="O68" s="2">
        <v>2025</v>
      </c>
      <c r="P68" s="2" t="str">
        <v>February</v>
      </c>
      <c r="Q68" s="2" t="s">
        <v>47</v>
      </c>
    </row>
    <row r="69" spans="1:17" x14ac:dyDescent="0.25">
      <c r="A69" s="2" t="s">
        <v>304</v>
      </c>
      <c r="B69" s="7">
        <v>45880</v>
      </c>
      <c r="C69" s="5" t="s">
        <v>156</v>
      </c>
      <c r="D69" s="5" t="s">
        <v>51</v>
      </c>
      <c r="E69" s="5" t="s">
        <v>179</v>
      </c>
      <c r="F69" s="2" t="s">
        <v>78</v>
      </c>
      <c r="G69" s="2">
        <v>1</v>
      </c>
      <c r="H69" s="25">
        <v>2820</v>
      </c>
      <c r="I69" s="8">
        <v>0</v>
      </c>
      <c r="J69" s="25">
        <v>2820</v>
      </c>
      <c r="K69" s="25">
        <f>G69*H69</f>
        <v>2820</v>
      </c>
      <c r="L69" s="8">
        <f>K69*I69/100</f>
        <v>0</v>
      </c>
      <c r="M69" s="2" t="s">
        <v>53</v>
      </c>
      <c r="N69" s="2" t="s">
        <v>37</v>
      </c>
      <c r="O69" s="2">
        <v>2025</v>
      </c>
      <c r="P69" s="2" t="str">
        <v>August</v>
      </c>
      <c r="Q69" s="2" t="s">
        <v>47</v>
      </c>
    </row>
    <row r="70" spans="1:17" x14ac:dyDescent="0.25">
      <c r="A70" s="2" t="s">
        <v>306</v>
      </c>
      <c r="B70" s="7">
        <v>45695</v>
      </c>
      <c r="C70" s="5" t="s">
        <v>135</v>
      </c>
      <c r="D70" s="5" t="s">
        <v>58</v>
      </c>
      <c r="E70" s="5" t="s">
        <v>295</v>
      </c>
      <c r="F70" s="2" t="s">
        <v>219</v>
      </c>
      <c r="G70" s="2">
        <v>5</v>
      </c>
      <c r="H70" s="25">
        <v>1310</v>
      </c>
      <c r="I70" s="8">
        <v>5</v>
      </c>
      <c r="J70" s="25">
        <v>6222.5</v>
      </c>
      <c r="K70" s="25">
        <f>G70*H70</f>
        <v>6550</v>
      </c>
      <c r="L70" s="8">
        <f>K70*I70/100</f>
        <v>327.5</v>
      </c>
      <c r="M70" s="2" t="s">
        <v>94</v>
      </c>
      <c r="N70" s="2" t="s">
        <v>344</v>
      </c>
      <c r="O70" s="2">
        <v>2025</v>
      </c>
      <c r="P70" s="2" t="str">
        <v>February</v>
      </c>
      <c r="Q70" s="2" t="s">
        <v>47</v>
      </c>
    </row>
    <row r="71" spans="1:17" x14ac:dyDescent="0.25">
      <c r="A71" s="2" t="s">
        <v>309</v>
      </c>
      <c r="B71" s="7">
        <v>45738</v>
      </c>
      <c r="C71" s="5" t="s">
        <v>156</v>
      </c>
      <c r="D71" s="5" t="s">
        <v>51</v>
      </c>
      <c r="E71" s="5" t="s">
        <v>34</v>
      </c>
      <c r="F71" s="2" t="s">
        <v>164</v>
      </c>
      <c r="G71" s="2">
        <v>4</v>
      </c>
      <c r="H71" s="25">
        <v>49540</v>
      </c>
      <c r="I71" s="8">
        <v>0</v>
      </c>
      <c r="J71" s="25">
        <v>198160</v>
      </c>
      <c r="K71" s="25">
        <f>G71*H71</f>
        <v>198160</v>
      </c>
      <c r="L71" s="8">
        <f>K71*I71/100</f>
        <v>0</v>
      </c>
      <c r="M71" s="2" t="s">
        <v>94</v>
      </c>
      <c r="N71" s="2" t="s">
        <v>68</v>
      </c>
      <c r="O71" s="2">
        <v>2025</v>
      </c>
      <c r="P71" s="2" t="str">
        <v>March</v>
      </c>
      <c r="Q71" s="2" t="s">
        <v>21</v>
      </c>
    </row>
    <row r="72" spans="1:17" x14ac:dyDescent="0.25">
      <c r="A72" s="2" t="s">
        <v>312</v>
      </c>
      <c r="B72" s="7">
        <v>45955</v>
      </c>
      <c r="C72" s="5" t="s">
        <v>41</v>
      </c>
      <c r="D72" s="5" t="s">
        <v>42</v>
      </c>
      <c r="E72" s="5" t="s">
        <v>295</v>
      </c>
      <c r="F72" s="2" t="s">
        <v>314</v>
      </c>
      <c r="G72" s="2">
        <v>5</v>
      </c>
      <c r="H72" s="25">
        <v>11460</v>
      </c>
      <c r="I72" s="8">
        <v>5</v>
      </c>
      <c r="J72" s="25">
        <v>54435</v>
      </c>
      <c r="K72" s="25">
        <f>G72*H72</f>
        <v>57300</v>
      </c>
      <c r="L72" s="8">
        <f>K72*I72/100</f>
        <v>2865</v>
      </c>
      <c r="M72" s="2" t="s">
        <v>102</v>
      </c>
      <c r="N72" s="2" t="s">
        <v>168</v>
      </c>
      <c r="O72" s="2">
        <v>2025</v>
      </c>
      <c r="P72" s="2" t="str">
        <v>October</v>
      </c>
      <c r="Q72" s="2" t="s">
        <v>21</v>
      </c>
    </row>
    <row r="73" spans="1:17" x14ac:dyDescent="0.25">
      <c r="A73" s="2" t="s">
        <v>315</v>
      </c>
      <c r="B73" s="7">
        <v>45814</v>
      </c>
      <c r="C73" s="5" t="s">
        <v>156</v>
      </c>
      <c r="D73" s="5" t="s">
        <v>51</v>
      </c>
      <c r="E73" s="5" t="s">
        <v>25</v>
      </c>
      <c r="F73" s="2" t="s">
        <v>255</v>
      </c>
      <c r="G73" s="2">
        <v>6</v>
      </c>
      <c r="H73" s="25">
        <v>7110</v>
      </c>
      <c r="I73" s="8">
        <v>0</v>
      </c>
      <c r="J73" s="25">
        <v>42660</v>
      </c>
      <c r="K73" s="25">
        <f>G73*H73</f>
        <v>42660</v>
      </c>
      <c r="L73" s="8">
        <f>K73*I73/100</f>
        <v>0</v>
      </c>
      <c r="M73" s="2" t="s">
        <v>139</v>
      </c>
      <c r="N73" s="2" t="s">
        <v>411</v>
      </c>
      <c r="O73" s="2">
        <v>2025</v>
      </c>
      <c r="P73" s="2" t="str">
        <v>June</v>
      </c>
      <c r="Q73" s="2" t="s">
        <v>47</v>
      </c>
    </row>
    <row r="74" spans="1:17" x14ac:dyDescent="0.25">
      <c r="A74" s="2" t="s">
        <v>317</v>
      </c>
      <c r="B74" s="7">
        <v>45831</v>
      </c>
      <c r="C74" s="5" t="s">
        <v>76</v>
      </c>
      <c r="D74" s="5" t="s">
        <v>33</v>
      </c>
      <c r="E74" s="5" t="s">
        <v>295</v>
      </c>
      <c r="F74" s="2" t="s">
        <v>319</v>
      </c>
      <c r="G74" s="2">
        <v>12</v>
      </c>
      <c r="H74" s="25">
        <v>470</v>
      </c>
      <c r="I74" s="8">
        <v>10</v>
      </c>
      <c r="J74" s="25">
        <v>5076</v>
      </c>
      <c r="K74" s="25">
        <f>G74*H74</f>
        <v>5640</v>
      </c>
      <c r="L74" s="8">
        <f>K74*I74/100</f>
        <v>564</v>
      </c>
      <c r="M74" s="2" t="s">
        <v>94</v>
      </c>
      <c r="N74" s="2" t="s">
        <v>406</v>
      </c>
      <c r="O74" s="2">
        <v>2025</v>
      </c>
      <c r="P74" s="2" t="str">
        <v>June</v>
      </c>
      <c r="Q74" s="2" t="s">
        <v>47</v>
      </c>
    </row>
    <row r="75" spans="1:17" x14ac:dyDescent="0.25">
      <c r="A75" s="2" t="s">
        <v>320</v>
      </c>
      <c r="B75" s="7">
        <v>45675</v>
      </c>
      <c r="C75" s="5" t="s">
        <v>156</v>
      </c>
      <c r="D75" s="5" t="s">
        <v>51</v>
      </c>
      <c r="E75" s="5" t="s">
        <v>179</v>
      </c>
      <c r="F75" s="2" t="s">
        <v>239</v>
      </c>
      <c r="G75" s="2">
        <v>11</v>
      </c>
      <c r="H75" s="25">
        <v>12690</v>
      </c>
      <c r="I75" s="8">
        <v>0</v>
      </c>
      <c r="J75" s="25">
        <v>139590</v>
      </c>
      <c r="K75" s="25">
        <f>G75*H75</f>
        <v>139590</v>
      </c>
      <c r="L75" s="8">
        <f>K75*I75/100</f>
        <v>0</v>
      </c>
      <c r="M75" s="2" t="s">
        <v>94</v>
      </c>
      <c r="N75" s="2" t="s">
        <v>46</v>
      </c>
      <c r="O75" s="2">
        <v>2025</v>
      </c>
      <c r="P75" s="2" t="str">
        <v>January</v>
      </c>
      <c r="Q75" s="2" t="s">
        <v>21</v>
      </c>
    </row>
    <row r="76" spans="1:17" x14ac:dyDescent="0.25">
      <c r="A76" s="2" t="s">
        <v>323</v>
      </c>
      <c r="B76" s="7">
        <v>45955</v>
      </c>
      <c r="C76" s="5" t="s">
        <v>41</v>
      </c>
      <c r="D76" s="5" t="s">
        <v>42</v>
      </c>
      <c r="E76" s="5" t="s">
        <v>179</v>
      </c>
      <c r="F76" s="2" t="s">
        <v>180</v>
      </c>
      <c r="G76" s="2">
        <v>2</v>
      </c>
      <c r="H76" s="25">
        <v>13780</v>
      </c>
      <c r="I76" s="8">
        <v>15</v>
      </c>
      <c r="J76" s="25">
        <v>23426</v>
      </c>
      <c r="K76" s="25">
        <f>G76*H76</f>
        <v>27560</v>
      </c>
      <c r="L76" s="8">
        <f>K76*I76/100</f>
        <v>4134</v>
      </c>
      <c r="M76" s="2" t="s">
        <v>102</v>
      </c>
      <c r="N76" s="2" t="s">
        <v>73</v>
      </c>
      <c r="O76" s="2">
        <v>2025</v>
      </c>
      <c r="P76" s="2" t="str">
        <v>October</v>
      </c>
      <c r="Q76" s="2" t="s">
        <v>47</v>
      </c>
    </row>
    <row r="77" spans="1:17" x14ac:dyDescent="0.25">
      <c r="A77" s="2" t="s">
        <v>325</v>
      </c>
      <c r="B77" s="7">
        <v>45859</v>
      </c>
      <c r="C77" s="5" t="s">
        <v>135</v>
      </c>
      <c r="D77" s="5" t="s">
        <v>58</v>
      </c>
      <c r="E77" s="5" t="s">
        <v>179</v>
      </c>
      <c r="F77" s="2" t="s">
        <v>83</v>
      </c>
      <c r="G77" s="2">
        <v>9</v>
      </c>
      <c r="H77" s="25">
        <v>27110</v>
      </c>
      <c r="I77" s="8">
        <v>5</v>
      </c>
      <c r="J77" s="25">
        <v>231790.5</v>
      </c>
      <c r="K77" s="25">
        <f>G77*H77</f>
        <v>243990</v>
      </c>
      <c r="L77" s="8">
        <f>K77*I77/100</f>
        <v>12199.5</v>
      </c>
      <c r="M77" s="2" t="s">
        <v>53</v>
      </c>
      <c r="N77" s="2" t="s">
        <v>37</v>
      </c>
      <c r="O77" s="2">
        <v>2025</v>
      </c>
      <c r="P77" s="2" t="str">
        <v>July</v>
      </c>
      <c r="Q77" s="2" t="s">
        <v>47</v>
      </c>
    </row>
    <row r="78" spans="1:17" x14ac:dyDescent="0.25">
      <c r="A78" s="2" t="s">
        <v>327</v>
      </c>
      <c r="B78" s="7">
        <v>45923</v>
      </c>
      <c r="C78" s="5" t="s">
        <v>32</v>
      </c>
      <c r="D78" s="5" t="s">
        <v>33</v>
      </c>
      <c r="E78" s="5" t="s">
        <v>148</v>
      </c>
      <c r="F78" s="2" t="s">
        <v>83</v>
      </c>
      <c r="G78" s="2">
        <v>1</v>
      </c>
      <c r="H78" s="25">
        <v>2500</v>
      </c>
      <c r="I78" s="8">
        <v>0</v>
      </c>
      <c r="J78" s="25">
        <v>2500</v>
      </c>
      <c r="K78" s="25">
        <f>G78*H78</f>
        <v>2500</v>
      </c>
      <c r="L78" s="8">
        <f>K78*I78/100</f>
        <v>0</v>
      </c>
      <c r="M78" s="2" t="s">
        <v>102</v>
      </c>
      <c r="N78" s="2" t="s">
        <v>176</v>
      </c>
      <c r="O78" s="2">
        <v>2025</v>
      </c>
      <c r="P78" s="2" t="str">
        <v>September</v>
      </c>
      <c r="Q78" s="2" t="s">
        <v>47</v>
      </c>
    </row>
    <row r="79" spans="1:17" x14ac:dyDescent="0.25">
      <c r="A79" s="2" t="s">
        <v>329</v>
      </c>
      <c r="B79" s="7">
        <v>45759</v>
      </c>
      <c r="C79" s="5" t="s">
        <v>135</v>
      </c>
      <c r="D79" s="5" t="s">
        <v>58</v>
      </c>
      <c r="E79" s="5" t="s">
        <v>25</v>
      </c>
      <c r="F79" s="2" t="s">
        <v>332</v>
      </c>
      <c r="G79" s="2">
        <v>4</v>
      </c>
      <c r="H79" s="25">
        <v>8740</v>
      </c>
      <c r="I79" s="8">
        <v>10</v>
      </c>
      <c r="J79" s="25">
        <v>31464</v>
      </c>
      <c r="K79" s="25">
        <f>G79*H79</f>
        <v>34960</v>
      </c>
      <c r="L79" s="8">
        <f>K79*I79/100</f>
        <v>3496</v>
      </c>
      <c r="M79" s="2" t="s">
        <v>102</v>
      </c>
      <c r="N79" s="2" t="s">
        <v>176</v>
      </c>
      <c r="O79" s="2">
        <v>2025</v>
      </c>
      <c r="P79" s="2" t="str">
        <v>April</v>
      </c>
      <c r="Q79" s="2" t="s">
        <v>21</v>
      </c>
    </row>
    <row r="80" spans="1:17" x14ac:dyDescent="0.25">
      <c r="A80" s="2" t="s">
        <v>333</v>
      </c>
      <c r="B80" s="7">
        <v>45844</v>
      </c>
      <c r="C80" s="5" t="s">
        <v>32</v>
      </c>
      <c r="D80" s="5" t="s">
        <v>33</v>
      </c>
      <c r="E80" s="5" t="s">
        <v>34</v>
      </c>
      <c r="F80" s="2" t="s">
        <v>199</v>
      </c>
      <c r="G80" s="2">
        <v>2</v>
      </c>
      <c r="H80" s="25">
        <v>3340</v>
      </c>
      <c r="I80" s="8">
        <v>10</v>
      </c>
      <c r="J80" s="25">
        <v>6012</v>
      </c>
      <c r="K80" s="25">
        <f>G80*H80</f>
        <v>6680</v>
      </c>
      <c r="L80" s="8">
        <f>K80*I80/100</f>
        <v>668</v>
      </c>
      <c r="M80" s="2" t="s">
        <v>53</v>
      </c>
      <c r="N80" s="2" t="s">
        <v>411</v>
      </c>
      <c r="O80" s="2">
        <v>2025</v>
      </c>
      <c r="P80" s="2" t="str">
        <v>July</v>
      </c>
      <c r="Q80" s="2" t="s">
        <v>21</v>
      </c>
    </row>
    <row r="81" spans="1:17" x14ac:dyDescent="0.25">
      <c r="A81" s="2" t="s">
        <v>335</v>
      </c>
      <c r="B81" s="7">
        <v>45903</v>
      </c>
      <c r="C81" s="5" t="s">
        <v>156</v>
      </c>
      <c r="D81" s="5" t="s">
        <v>51</v>
      </c>
      <c r="E81" s="5" t="s">
        <v>179</v>
      </c>
      <c r="F81" s="2" t="s">
        <v>78</v>
      </c>
      <c r="G81" s="2">
        <v>5</v>
      </c>
      <c r="H81" s="25">
        <v>73830</v>
      </c>
      <c r="I81" s="8">
        <v>5</v>
      </c>
      <c r="J81" s="25">
        <v>350692.5</v>
      </c>
      <c r="K81" s="25">
        <f>G81*H81</f>
        <v>369150</v>
      </c>
      <c r="L81" s="8">
        <f>K81*I81/100</f>
        <v>18457.5</v>
      </c>
      <c r="M81" s="2" t="s">
        <v>53</v>
      </c>
      <c r="N81" s="2" t="s">
        <v>79</v>
      </c>
      <c r="O81" s="2">
        <v>2025</v>
      </c>
      <c r="P81" s="2" t="str">
        <v>September</v>
      </c>
      <c r="Q81" s="2" t="s">
        <v>21</v>
      </c>
    </row>
    <row r="82" spans="1:17" x14ac:dyDescent="0.25">
      <c r="A82" s="2" t="s">
        <v>337</v>
      </c>
      <c r="B82" s="7">
        <v>45775</v>
      </c>
      <c r="C82" s="5" t="s">
        <v>76</v>
      </c>
      <c r="D82" s="5" t="s">
        <v>33</v>
      </c>
      <c r="E82" s="5" t="s">
        <v>34</v>
      </c>
      <c r="F82" s="2" t="s">
        <v>71</v>
      </c>
      <c r="G82" s="2">
        <v>7</v>
      </c>
      <c r="H82" s="25">
        <v>47200</v>
      </c>
      <c r="I82" s="8">
        <v>10</v>
      </c>
      <c r="J82" s="25">
        <v>297360</v>
      </c>
      <c r="K82" s="25">
        <f>G82*H82</f>
        <v>330400</v>
      </c>
      <c r="L82" s="8">
        <f>K82*I82/100</f>
        <v>33040</v>
      </c>
      <c r="M82" s="2" t="s">
        <v>53</v>
      </c>
      <c r="N82" s="2" t="s">
        <v>68</v>
      </c>
      <c r="O82" s="2">
        <v>2025</v>
      </c>
      <c r="P82" s="2" t="str">
        <v>April</v>
      </c>
      <c r="Q82" s="2" t="s">
        <v>47</v>
      </c>
    </row>
    <row r="83" spans="1:17" x14ac:dyDescent="0.25">
      <c r="A83" s="2" t="s">
        <v>340</v>
      </c>
      <c r="B83" s="7">
        <v>45841</v>
      </c>
      <c r="C83" s="5" t="s">
        <v>156</v>
      </c>
      <c r="D83" s="5" t="s">
        <v>51</v>
      </c>
      <c r="E83" s="5" t="s">
        <v>295</v>
      </c>
      <c r="F83" s="2" t="s">
        <v>126</v>
      </c>
      <c r="G83" s="2">
        <v>9</v>
      </c>
      <c r="H83" s="25">
        <v>3890</v>
      </c>
      <c r="I83" s="8">
        <v>0</v>
      </c>
      <c r="J83" s="25">
        <v>35010</v>
      </c>
      <c r="K83" s="25">
        <f>G83*H83</f>
        <v>35010</v>
      </c>
      <c r="L83" s="8">
        <f>K83*I83/100</f>
        <v>0</v>
      </c>
      <c r="M83" s="2" t="s">
        <v>53</v>
      </c>
      <c r="N83" s="2" t="s">
        <v>341</v>
      </c>
      <c r="O83" s="2">
        <v>2025</v>
      </c>
      <c r="P83" s="2" t="str">
        <v>July</v>
      </c>
      <c r="Q83" s="2" t="s">
        <v>21</v>
      </c>
    </row>
    <row r="84" spans="1:17" x14ac:dyDescent="0.25">
      <c r="A84" s="2" t="s">
        <v>342</v>
      </c>
      <c r="B84" s="7">
        <v>45886</v>
      </c>
      <c r="C84" s="5" t="s">
        <v>32</v>
      </c>
      <c r="D84" s="5" t="s">
        <v>33</v>
      </c>
      <c r="E84" s="5" t="s">
        <v>34</v>
      </c>
      <c r="F84" s="2" t="s">
        <v>290</v>
      </c>
      <c r="G84" s="2">
        <v>2</v>
      </c>
      <c r="H84" s="25">
        <v>3530</v>
      </c>
      <c r="I84" s="8">
        <v>5</v>
      </c>
      <c r="J84" s="25">
        <v>6707</v>
      </c>
      <c r="K84" s="25">
        <f>G84*H84</f>
        <v>7060</v>
      </c>
      <c r="L84" s="8">
        <f>K84*I84/100</f>
        <v>353</v>
      </c>
      <c r="M84" s="2" t="s">
        <v>53</v>
      </c>
      <c r="N84" s="2" t="s">
        <v>344</v>
      </c>
      <c r="O84" s="2">
        <v>2025</v>
      </c>
      <c r="P84" s="2" t="str">
        <v>August</v>
      </c>
      <c r="Q84" s="2" t="s">
        <v>21</v>
      </c>
    </row>
    <row r="85" spans="1:17" x14ac:dyDescent="0.25">
      <c r="A85" s="2" t="s">
        <v>345</v>
      </c>
      <c r="B85" s="7">
        <v>45935</v>
      </c>
      <c r="C85" s="5" t="s">
        <v>41</v>
      </c>
      <c r="D85" s="5" t="s">
        <v>42</v>
      </c>
      <c r="E85" s="5" t="s">
        <v>148</v>
      </c>
      <c r="F85" s="2" t="s">
        <v>83</v>
      </c>
      <c r="G85" s="2">
        <v>2</v>
      </c>
      <c r="H85" s="25">
        <v>1120</v>
      </c>
      <c r="I85" s="8">
        <v>10</v>
      </c>
      <c r="J85" s="25">
        <v>2016</v>
      </c>
      <c r="K85" s="25">
        <f>G85*H85</f>
        <v>2240</v>
      </c>
      <c r="L85" s="8">
        <f>K85*I85/100</f>
        <v>224</v>
      </c>
      <c r="M85" s="2" t="s">
        <v>102</v>
      </c>
      <c r="N85" s="2" t="s">
        <v>188</v>
      </c>
      <c r="O85" s="2">
        <v>2025</v>
      </c>
      <c r="P85" s="2" t="str">
        <v>October</v>
      </c>
      <c r="Q85" s="2" t="s">
        <v>47</v>
      </c>
    </row>
    <row r="86" spans="1:17" x14ac:dyDescent="0.25">
      <c r="A86" s="2" t="s">
        <v>347</v>
      </c>
      <c r="B86" s="7">
        <v>45857</v>
      </c>
      <c r="C86" s="5" t="s">
        <v>41</v>
      </c>
      <c r="D86" s="5" t="s">
        <v>42</v>
      </c>
      <c r="E86" s="5" t="s">
        <v>25</v>
      </c>
      <c r="F86" s="2" t="s">
        <v>332</v>
      </c>
      <c r="G86" s="2">
        <v>2</v>
      </c>
      <c r="H86" s="25">
        <v>1210</v>
      </c>
      <c r="I86" s="8">
        <v>10</v>
      </c>
      <c r="J86" s="25">
        <v>2178</v>
      </c>
      <c r="K86" s="25">
        <f>G86*H86</f>
        <v>2420</v>
      </c>
      <c r="L86" s="8">
        <f>K86*I86/100</f>
        <v>242</v>
      </c>
      <c r="M86" s="2" t="s">
        <v>139</v>
      </c>
      <c r="N86" s="2" t="s">
        <v>341</v>
      </c>
      <c r="O86" s="2">
        <v>2025</v>
      </c>
      <c r="P86" s="2" t="str">
        <v>July</v>
      </c>
      <c r="Q86" s="2" t="s">
        <v>21</v>
      </c>
    </row>
    <row r="87" spans="1:17" x14ac:dyDescent="0.25">
      <c r="A87" s="2" t="s">
        <v>350</v>
      </c>
      <c r="B87" s="7">
        <v>46007</v>
      </c>
      <c r="C87" s="5" t="s">
        <v>238</v>
      </c>
      <c r="D87" s="5" t="s">
        <v>51</v>
      </c>
      <c r="E87" s="5" t="s">
        <v>179</v>
      </c>
      <c r="F87" s="2" t="s">
        <v>180</v>
      </c>
      <c r="G87" s="2">
        <v>4</v>
      </c>
      <c r="H87" s="25">
        <v>550</v>
      </c>
      <c r="I87" s="8">
        <v>0</v>
      </c>
      <c r="J87" s="25">
        <v>2200</v>
      </c>
      <c r="K87" s="25">
        <f>G87*H87</f>
        <v>2200</v>
      </c>
      <c r="L87" s="8">
        <f>K87*I87/100</f>
        <v>0</v>
      </c>
      <c r="M87" s="2" t="s">
        <v>94</v>
      </c>
      <c r="N87" s="2" t="s">
        <v>341</v>
      </c>
      <c r="O87" s="2">
        <v>2025</v>
      </c>
      <c r="P87" s="2" t="str">
        <v>December</v>
      </c>
      <c r="Q87" s="2" t="s">
        <v>21</v>
      </c>
    </row>
    <row r="88" spans="1:17" x14ac:dyDescent="0.25">
      <c r="A88" s="2" t="s">
        <v>353</v>
      </c>
      <c r="B88" s="7">
        <v>45698</v>
      </c>
      <c r="C88" s="5" t="s">
        <v>156</v>
      </c>
      <c r="D88" s="5" t="s">
        <v>51</v>
      </c>
      <c r="E88" s="5" t="s">
        <v>295</v>
      </c>
      <c r="F88" s="2" t="s">
        <v>126</v>
      </c>
      <c r="G88" s="2">
        <v>8</v>
      </c>
      <c r="H88" s="25">
        <v>28010</v>
      </c>
      <c r="I88" s="8">
        <v>10</v>
      </c>
      <c r="J88" s="25">
        <v>201672</v>
      </c>
      <c r="K88" s="25">
        <f>G88*H88</f>
        <v>224080</v>
      </c>
      <c r="L88" s="8">
        <f>K88*I88/100</f>
        <v>22408</v>
      </c>
      <c r="M88" s="2" t="s">
        <v>139</v>
      </c>
      <c r="N88" s="2" t="s">
        <v>54</v>
      </c>
      <c r="O88" s="2">
        <v>2025</v>
      </c>
      <c r="P88" s="2" t="str">
        <v>February</v>
      </c>
      <c r="Q88" s="2" t="s">
        <v>47</v>
      </c>
    </row>
    <row r="89" spans="1:17" x14ac:dyDescent="0.25">
      <c r="A89" s="2" t="s">
        <v>355</v>
      </c>
      <c r="B89" s="7">
        <v>45720</v>
      </c>
      <c r="C89" s="5" t="s">
        <v>24</v>
      </c>
      <c r="D89" s="5" t="s">
        <v>16</v>
      </c>
      <c r="E89" s="5" t="s">
        <v>148</v>
      </c>
      <c r="F89" s="2" t="s">
        <v>149</v>
      </c>
      <c r="G89" s="2">
        <v>3</v>
      </c>
      <c r="H89" s="25">
        <v>3920</v>
      </c>
      <c r="I89" s="8">
        <v>0</v>
      </c>
      <c r="J89" s="25">
        <v>11760</v>
      </c>
      <c r="K89" s="25">
        <f>G89*H89</f>
        <v>11760</v>
      </c>
      <c r="L89" s="8">
        <f>K89*I89/100</f>
        <v>0</v>
      </c>
      <c r="M89" s="2" t="s">
        <v>94</v>
      </c>
      <c r="N89" s="2" t="s">
        <v>176</v>
      </c>
      <c r="O89" s="2">
        <v>2025</v>
      </c>
      <c r="P89" s="2" t="str">
        <v>March</v>
      </c>
      <c r="Q89" s="2" t="s">
        <v>21</v>
      </c>
    </row>
    <row r="90" spans="1:17" x14ac:dyDescent="0.25">
      <c r="A90" s="2" t="s">
        <v>357</v>
      </c>
      <c r="B90" s="7">
        <v>45688</v>
      </c>
      <c r="C90" s="5" t="s">
        <v>76</v>
      </c>
      <c r="D90" s="5" t="s">
        <v>33</v>
      </c>
      <c r="E90" s="5" t="s">
        <v>25</v>
      </c>
      <c r="F90" s="2" t="s">
        <v>115</v>
      </c>
      <c r="G90" s="2">
        <v>5</v>
      </c>
      <c r="H90" s="25">
        <v>1150</v>
      </c>
      <c r="I90" s="8">
        <v>0</v>
      </c>
      <c r="J90" s="25">
        <v>5750</v>
      </c>
      <c r="K90" s="25">
        <f>G90*H90</f>
        <v>5750</v>
      </c>
      <c r="L90" s="8">
        <f>K90*I90/100</f>
        <v>0</v>
      </c>
      <c r="M90" s="2" t="s">
        <v>102</v>
      </c>
      <c r="N90" s="2" t="s">
        <v>176</v>
      </c>
      <c r="O90" s="2">
        <v>2025</v>
      </c>
      <c r="P90" s="2" t="str">
        <v>January</v>
      </c>
      <c r="Q90" s="2" t="s">
        <v>47</v>
      </c>
    </row>
    <row r="91" spans="1:17" x14ac:dyDescent="0.25">
      <c r="A91" s="2" t="s">
        <v>359</v>
      </c>
      <c r="B91" s="7">
        <v>45801</v>
      </c>
      <c r="C91" s="5" t="s">
        <v>76</v>
      </c>
      <c r="D91" s="5" t="s">
        <v>33</v>
      </c>
      <c r="E91" s="5" t="s">
        <v>295</v>
      </c>
      <c r="F91" s="2" t="s">
        <v>296</v>
      </c>
      <c r="G91" s="2">
        <v>6</v>
      </c>
      <c r="H91" s="25">
        <v>27390</v>
      </c>
      <c r="I91" s="8">
        <v>0</v>
      </c>
      <c r="J91" s="25">
        <v>164340</v>
      </c>
      <c r="K91" s="25">
        <f>G91*H91</f>
        <v>164340</v>
      </c>
      <c r="L91" s="8">
        <f>K91*I91/100</f>
        <v>0</v>
      </c>
      <c r="M91" s="2" t="s">
        <v>139</v>
      </c>
      <c r="N91" s="2" t="s">
        <v>188</v>
      </c>
      <c r="O91" s="2">
        <v>2025</v>
      </c>
      <c r="P91" s="2" t="str">
        <v>May</v>
      </c>
      <c r="Q91" s="2" t="s">
        <v>47</v>
      </c>
    </row>
    <row r="92" spans="1:17" x14ac:dyDescent="0.25">
      <c r="A92" s="2" t="s">
        <v>361</v>
      </c>
      <c r="B92" s="7">
        <v>45882</v>
      </c>
      <c r="C92" s="5" t="s">
        <v>238</v>
      </c>
      <c r="D92" s="5" t="s">
        <v>51</v>
      </c>
      <c r="E92" s="5" t="s">
        <v>295</v>
      </c>
      <c r="F92" s="2" t="s">
        <v>219</v>
      </c>
      <c r="G92" s="2">
        <v>12</v>
      </c>
      <c r="H92" s="25">
        <v>5680</v>
      </c>
      <c r="I92" s="8">
        <v>0</v>
      </c>
      <c r="J92" s="25">
        <v>68160</v>
      </c>
      <c r="K92" s="25">
        <f>G92*H92</f>
        <v>68160</v>
      </c>
      <c r="L92" s="8">
        <f>K92*I92/100</f>
        <v>0</v>
      </c>
      <c r="M92" s="2" t="s">
        <v>94</v>
      </c>
      <c r="N92" s="2" t="s">
        <v>37</v>
      </c>
      <c r="O92" s="2">
        <v>2025</v>
      </c>
      <c r="P92" s="2" t="str">
        <v>August</v>
      </c>
      <c r="Q92" s="2" t="s">
        <v>47</v>
      </c>
    </row>
    <row r="93" spans="1:17" x14ac:dyDescent="0.25">
      <c r="A93" s="2" t="s">
        <v>363</v>
      </c>
      <c r="B93" s="7">
        <v>45958</v>
      </c>
      <c r="C93" s="5" t="s">
        <v>135</v>
      </c>
      <c r="D93" s="5" t="s">
        <v>58</v>
      </c>
      <c r="E93" s="5" t="s">
        <v>34</v>
      </c>
      <c r="F93" s="2" t="s">
        <v>171</v>
      </c>
      <c r="G93" s="2">
        <v>7</v>
      </c>
      <c r="H93" s="25">
        <v>7230</v>
      </c>
      <c r="I93" s="8">
        <v>0</v>
      </c>
      <c r="J93" s="25">
        <v>50610</v>
      </c>
      <c r="K93" s="25">
        <f>G93*H93</f>
        <v>50610</v>
      </c>
      <c r="L93" s="8">
        <f>K93*I93/100</f>
        <v>0</v>
      </c>
      <c r="M93" s="2" t="s">
        <v>53</v>
      </c>
      <c r="N93" s="2" t="s">
        <v>79</v>
      </c>
      <c r="O93" s="2">
        <v>2025</v>
      </c>
      <c r="P93" s="2" t="str">
        <v>October</v>
      </c>
      <c r="Q93" s="2" t="s">
        <v>47</v>
      </c>
    </row>
    <row r="94" spans="1:17" x14ac:dyDescent="0.25">
      <c r="A94" s="2" t="s">
        <v>365</v>
      </c>
      <c r="B94" s="7">
        <v>45824</v>
      </c>
      <c r="C94" s="5" t="s">
        <v>24</v>
      </c>
      <c r="D94" s="5" t="s">
        <v>16</v>
      </c>
      <c r="E94" s="5" t="s">
        <v>148</v>
      </c>
      <c r="F94" s="2" t="s">
        <v>167</v>
      </c>
      <c r="G94" s="2">
        <v>10</v>
      </c>
      <c r="H94" s="25">
        <v>8450</v>
      </c>
      <c r="I94" s="8">
        <v>0</v>
      </c>
      <c r="J94" s="25">
        <v>84500</v>
      </c>
      <c r="K94" s="25">
        <f>G94*H94</f>
        <v>84500</v>
      </c>
      <c r="L94" s="8">
        <f>K94*I94/100</f>
        <v>0</v>
      </c>
      <c r="M94" s="2" t="s">
        <v>94</v>
      </c>
      <c r="N94" s="2" t="s">
        <v>79</v>
      </c>
      <c r="O94" s="2">
        <v>2025</v>
      </c>
      <c r="P94" s="2" t="str">
        <v>June</v>
      </c>
      <c r="Q94" s="2" t="s">
        <v>21</v>
      </c>
    </row>
    <row r="95" spans="1:17" x14ac:dyDescent="0.25">
      <c r="A95" s="2" t="s">
        <v>367</v>
      </c>
      <c r="B95" s="7">
        <v>45830</v>
      </c>
      <c r="C95" s="5" t="s">
        <v>41</v>
      </c>
      <c r="D95" s="5" t="s">
        <v>42</v>
      </c>
      <c r="E95" s="5" t="s">
        <v>179</v>
      </c>
      <c r="F95" s="2" t="s">
        <v>252</v>
      </c>
      <c r="G95" s="2">
        <v>6</v>
      </c>
      <c r="H95" s="25">
        <v>59200</v>
      </c>
      <c r="I95" s="8">
        <v>0</v>
      </c>
      <c r="J95" s="25">
        <v>355200</v>
      </c>
      <c r="K95" s="25">
        <f>G95*H95</f>
        <v>355200</v>
      </c>
      <c r="L95" s="8">
        <f>K95*I95/100</f>
        <v>0</v>
      </c>
      <c r="M95" s="2" t="s">
        <v>102</v>
      </c>
      <c r="N95" s="2" t="s">
        <v>54</v>
      </c>
      <c r="O95" s="2">
        <v>2025</v>
      </c>
      <c r="P95" s="2" t="str">
        <v>June</v>
      </c>
      <c r="Q95" s="2" t="s">
        <v>47</v>
      </c>
    </row>
    <row r="96" spans="1:17" x14ac:dyDescent="0.25">
      <c r="A96" s="2" t="s">
        <v>370</v>
      </c>
      <c r="B96" s="7">
        <v>46016</v>
      </c>
      <c r="C96" s="5" t="s">
        <v>41</v>
      </c>
      <c r="D96" s="5" t="s">
        <v>42</v>
      </c>
      <c r="E96" s="5" t="s">
        <v>179</v>
      </c>
      <c r="F96" s="2" t="s">
        <v>232</v>
      </c>
      <c r="G96" s="2">
        <v>6</v>
      </c>
      <c r="H96" s="25">
        <v>1210</v>
      </c>
      <c r="I96" s="8">
        <v>5</v>
      </c>
      <c r="J96" s="25">
        <v>6897</v>
      </c>
      <c r="K96" s="25">
        <f>G96*H96</f>
        <v>7260</v>
      </c>
      <c r="L96" s="8">
        <f>K96*I96/100</f>
        <v>363</v>
      </c>
      <c r="M96" s="2" t="s">
        <v>139</v>
      </c>
      <c r="N96" s="2" t="s">
        <v>341</v>
      </c>
      <c r="O96" s="2">
        <v>2025</v>
      </c>
      <c r="P96" s="2" t="str">
        <v>December</v>
      </c>
      <c r="Q96" s="2" t="s">
        <v>21</v>
      </c>
    </row>
    <row r="97" spans="1:17" x14ac:dyDescent="0.25">
      <c r="A97" s="2" t="s">
        <v>372</v>
      </c>
      <c r="B97" s="7">
        <v>45965</v>
      </c>
      <c r="C97" s="5" t="s">
        <v>24</v>
      </c>
      <c r="D97" s="5" t="s">
        <v>16</v>
      </c>
      <c r="E97" s="5" t="s">
        <v>34</v>
      </c>
      <c r="F97" s="2" t="s">
        <v>374</v>
      </c>
      <c r="G97" s="2">
        <v>2</v>
      </c>
      <c r="H97" s="25">
        <v>490</v>
      </c>
      <c r="I97" s="8">
        <v>0</v>
      </c>
      <c r="J97" s="25">
        <v>980</v>
      </c>
      <c r="K97" s="25">
        <f>G97*H97</f>
        <v>980</v>
      </c>
      <c r="L97" s="8">
        <f>K97*I97/100</f>
        <v>0</v>
      </c>
      <c r="M97" s="2" t="s">
        <v>102</v>
      </c>
      <c r="N97" s="2" t="s">
        <v>46</v>
      </c>
      <c r="O97" s="2">
        <v>2025</v>
      </c>
      <c r="P97" s="2" t="str">
        <v>November</v>
      </c>
      <c r="Q97" s="2" t="s">
        <v>21</v>
      </c>
    </row>
    <row r="98" spans="1:17" x14ac:dyDescent="0.25">
      <c r="A98" s="2" t="s">
        <v>376</v>
      </c>
      <c r="B98" s="7">
        <v>45698</v>
      </c>
      <c r="C98" s="5" t="s">
        <v>238</v>
      </c>
      <c r="D98" s="5" t="s">
        <v>51</v>
      </c>
      <c r="E98" s="5" t="s">
        <v>179</v>
      </c>
      <c r="F98" s="2" t="s">
        <v>379</v>
      </c>
      <c r="G98" s="2">
        <v>3</v>
      </c>
      <c r="H98" s="25">
        <v>11250</v>
      </c>
      <c r="I98" s="8">
        <v>0</v>
      </c>
      <c r="J98" s="25">
        <v>33750</v>
      </c>
      <c r="K98" s="25">
        <f>G98*H98</f>
        <v>33750</v>
      </c>
      <c r="L98" s="8">
        <f>K98*I98/100</f>
        <v>0</v>
      </c>
      <c r="M98" s="2" t="s">
        <v>94</v>
      </c>
      <c r="N98" s="2" t="s">
        <v>46</v>
      </c>
      <c r="O98" s="2">
        <v>2025</v>
      </c>
      <c r="P98" s="2" t="str">
        <v>February</v>
      </c>
      <c r="Q98" s="2" t="s">
        <v>21</v>
      </c>
    </row>
    <row r="99" spans="1:17" x14ac:dyDescent="0.25">
      <c r="A99" s="2" t="s">
        <v>381</v>
      </c>
      <c r="B99" s="7">
        <v>45689</v>
      </c>
      <c r="C99" s="5" t="s">
        <v>76</v>
      </c>
      <c r="D99" s="5" t="s">
        <v>33</v>
      </c>
      <c r="E99" s="5" t="s">
        <v>295</v>
      </c>
      <c r="F99" s="2" t="s">
        <v>132</v>
      </c>
      <c r="G99" s="2">
        <v>6</v>
      </c>
      <c r="H99" s="25">
        <v>1370</v>
      </c>
      <c r="I99" s="8">
        <v>15</v>
      </c>
      <c r="J99" s="25">
        <v>6987</v>
      </c>
      <c r="K99" s="25">
        <f>G99*H99</f>
        <v>8220</v>
      </c>
      <c r="L99" s="8">
        <f>K99*I99/100</f>
        <v>1233</v>
      </c>
      <c r="M99" s="2" t="s">
        <v>102</v>
      </c>
      <c r="N99" s="2" t="s">
        <v>46</v>
      </c>
      <c r="O99" s="2">
        <v>2025</v>
      </c>
      <c r="P99" s="2" t="str">
        <v>February</v>
      </c>
      <c r="Q99" s="2" t="s">
        <v>47</v>
      </c>
    </row>
    <row r="100" spans="1:17" x14ac:dyDescent="0.25">
      <c r="A100" s="2" t="s">
        <v>383</v>
      </c>
      <c r="B100" s="7">
        <v>45709</v>
      </c>
      <c r="C100" s="5" t="s">
        <v>238</v>
      </c>
      <c r="D100" s="5" t="s">
        <v>51</v>
      </c>
      <c r="E100" s="5" t="s">
        <v>179</v>
      </c>
      <c r="F100" s="2" t="s">
        <v>180</v>
      </c>
      <c r="G100" s="2">
        <v>2</v>
      </c>
      <c r="H100" s="25">
        <v>5300</v>
      </c>
      <c r="I100" s="8">
        <v>0</v>
      </c>
      <c r="J100" s="25">
        <v>10600</v>
      </c>
      <c r="K100" s="25">
        <f>G100*H100</f>
        <v>10600</v>
      </c>
      <c r="L100" s="8">
        <f>K100*I100/100</f>
        <v>0</v>
      </c>
      <c r="M100" s="2" t="s">
        <v>102</v>
      </c>
      <c r="N100" s="2" t="s">
        <v>411</v>
      </c>
      <c r="O100" s="2">
        <v>2025</v>
      </c>
      <c r="P100" s="2" t="str">
        <v>February</v>
      </c>
      <c r="Q100" s="2" t="s">
        <v>47</v>
      </c>
    </row>
    <row r="101" spans="1:17" x14ac:dyDescent="0.25">
      <c r="A101" s="2" t="s">
        <v>385</v>
      </c>
      <c r="B101" s="7">
        <v>45686</v>
      </c>
      <c r="C101" s="5" t="s">
        <v>135</v>
      </c>
      <c r="D101" s="5" t="s">
        <v>58</v>
      </c>
      <c r="E101" s="5" t="s">
        <v>34</v>
      </c>
      <c r="F101" s="2" t="s">
        <v>164</v>
      </c>
      <c r="G101" s="2">
        <v>11</v>
      </c>
      <c r="H101" s="25">
        <v>73780</v>
      </c>
      <c r="I101" s="8">
        <v>15</v>
      </c>
      <c r="J101" s="25">
        <v>689843</v>
      </c>
      <c r="K101" s="25">
        <f>G101*H101</f>
        <v>811580</v>
      </c>
      <c r="L101" s="8">
        <f>K101*I101/100</f>
        <v>121737</v>
      </c>
      <c r="M101" s="2" t="s">
        <v>94</v>
      </c>
      <c r="N101" s="2" t="s">
        <v>341</v>
      </c>
      <c r="O101" s="2">
        <v>2025</v>
      </c>
      <c r="P101" s="2" t="str">
        <v>January</v>
      </c>
      <c r="Q101" s="2" t="s">
        <v>21</v>
      </c>
    </row>
    <row r="102" spans="1:17" x14ac:dyDescent="0.25">
      <c r="A102" s="2" t="s">
        <v>388</v>
      </c>
      <c r="B102" s="7">
        <v>45951</v>
      </c>
      <c r="C102" s="5" t="s">
        <v>156</v>
      </c>
      <c r="D102" s="5" t="s">
        <v>51</v>
      </c>
      <c r="E102" s="5" t="s">
        <v>25</v>
      </c>
      <c r="F102" s="2" t="s">
        <v>248</v>
      </c>
      <c r="G102" s="2">
        <v>7</v>
      </c>
      <c r="H102" s="25">
        <v>4800</v>
      </c>
      <c r="I102" s="8">
        <v>0</v>
      </c>
      <c r="J102" s="25">
        <v>33600</v>
      </c>
      <c r="K102" s="25">
        <f>G102*H102</f>
        <v>33600</v>
      </c>
      <c r="L102" s="8">
        <f>K102*I102/100</f>
        <v>0</v>
      </c>
      <c r="M102" s="2" t="s">
        <v>139</v>
      </c>
      <c r="N102" s="2" t="s">
        <v>37</v>
      </c>
      <c r="O102" s="2">
        <v>2025</v>
      </c>
      <c r="P102" s="2" t="str">
        <v>October</v>
      </c>
      <c r="Q102" s="2" t="s">
        <v>47</v>
      </c>
    </row>
    <row r="103" spans="1:17" x14ac:dyDescent="0.25">
      <c r="A103" s="2" t="s">
        <v>390</v>
      </c>
      <c r="B103" s="7">
        <v>45756</v>
      </c>
      <c r="C103" s="5" t="s">
        <v>238</v>
      </c>
      <c r="D103" s="5" t="s">
        <v>51</v>
      </c>
      <c r="E103" s="5" t="s">
        <v>34</v>
      </c>
      <c r="F103" s="2" t="s">
        <v>18</v>
      </c>
      <c r="G103" s="2">
        <v>8</v>
      </c>
      <c r="H103" s="25">
        <v>16270</v>
      </c>
      <c r="I103" s="8">
        <v>0</v>
      </c>
      <c r="J103" s="25">
        <v>130160</v>
      </c>
      <c r="K103" s="25">
        <f>G103*H103</f>
        <v>130160</v>
      </c>
      <c r="L103" s="8">
        <f>K103*I103/100</f>
        <v>0</v>
      </c>
      <c r="M103" s="2" t="s">
        <v>102</v>
      </c>
      <c r="N103" s="2" t="s">
        <v>37</v>
      </c>
      <c r="O103" s="2">
        <v>2025</v>
      </c>
      <c r="P103" s="2" t="str">
        <v>April</v>
      </c>
      <c r="Q103" s="2" t="s">
        <v>21</v>
      </c>
    </row>
    <row r="104" spans="1:17" x14ac:dyDescent="0.25">
      <c r="A104" s="2" t="s">
        <v>392</v>
      </c>
      <c r="B104" s="7">
        <v>45935</v>
      </c>
      <c r="C104" s="5" t="s">
        <v>76</v>
      </c>
      <c r="D104" s="5" t="s">
        <v>33</v>
      </c>
      <c r="E104" s="5" t="s">
        <v>148</v>
      </c>
      <c r="F104" s="2" t="s">
        <v>167</v>
      </c>
      <c r="G104" s="2">
        <v>6</v>
      </c>
      <c r="H104" s="25">
        <v>10110</v>
      </c>
      <c r="I104" s="8">
        <v>0</v>
      </c>
      <c r="J104" s="25">
        <v>60660</v>
      </c>
      <c r="K104" s="25">
        <f>G104*H104</f>
        <v>60660</v>
      </c>
      <c r="L104" s="8">
        <f>K104*I104/100</f>
        <v>0</v>
      </c>
      <c r="M104" s="2" t="s">
        <v>94</v>
      </c>
      <c r="N104" s="2" t="s">
        <v>883</v>
      </c>
      <c r="O104" s="2">
        <v>2025</v>
      </c>
      <c r="P104" s="2" t="str">
        <v>October</v>
      </c>
      <c r="Q104" s="2" t="s">
        <v>47</v>
      </c>
    </row>
    <row r="105" spans="1:17" x14ac:dyDescent="0.25">
      <c r="A105" s="2" t="s">
        <v>393</v>
      </c>
      <c r="B105" s="7">
        <v>45928</v>
      </c>
      <c r="C105" s="5" t="s">
        <v>41</v>
      </c>
      <c r="D105" s="5" t="s">
        <v>42</v>
      </c>
      <c r="E105" s="5" t="s">
        <v>179</v>
      </c>
      <c r="F105" s="2" t="s">
        <v>224</v>
      </c>
      <c r="G105" s="2">
        <v>10</v>
      </c>
      <c r="H105" s="25">
        <v>49320</v>
      </c>
      <c r="I105" s="8">
        <v>0</v>
      </c>
      <c r="J105" s="25">
        <v>493200</v>
      </c>
      <c r="K105" s="25">
        <f>G105*H105</f>
        <v>493200</v>
      </c>
      <c r="L105" s="8">
        <f>K105*I105/100</f>
        <v>0</v>
      </c>
      <c r="M105" s="2" t="s">
        <v>94</v>
      </c>
      <c r="N105" s="2" t="s">
        <v>79</v>
      </c>
      <c r="O105" s="2">
        <v>2025</v>
      </c>
      <c r="P105" s="2" t="str">
        <v>September</v>
      </c>
      <c r="Q105" s="2" t="s">
        <v>47</v>
      </c>
    </row>
    <row r="106" spans="1:17" x14ac:dyDescent="0.25">
      <c r="A106" s="2" t="s">
        <v>396</v>
      </c>
      <c r="B106" s="7">
        <v>45983</v>
      </c>
      <c r="C106" s="5" t="s">
        <v>238</v>
      </c>
      <c r="D106" s="5" t="s">
        <v>51</v>
      </c>
      <c r="E106" s="5" t="s">
        <v>25</v>
      </c>
      <c r="F106" s="2" t="s">
        <v>106</v>
      </c>
      <c r="G106" s="2">
        <v>6</v>
      </c>
      <c r="H106" s="25">
        <v>3680</v>
      </c>
      <c r="I106" s="8">
        <v>5</v>
      </c>
      <c r="J106" s="25">
        <v>20976</v>
      </c>
      <c r="K106" s="25">
        <f>G106*H106</f>
        <v>22080</v>
      </c>
      <c r="L106" s="8">
        <f>K106*I106/100</f>
        <v>1104</v>
      </c>
      <c r="M106" s="2" t="s">
        <v>139</v>
      </c>
      <c r="N106" s="2" t="s">
        <v>168</v>
      </c>
      <c r="O106" s="2">
        <v>2025</v>
      </c>
      <c r="P106" s="2" t="str">
        <v>November</v>
      </c>
      <c r="Q106" s="2" t="s">
        <v>47</v>
      </c>
    </row>
    <row r="107" spans="1:17" x14ac:dyDescent="0.25">
      <c r="A107" s="2" t="s">
        <v>398</v>
      </c>
      <c r="B107" s="7">
        <v>45738</v>
      </c>
      <c r="C107" s="5" t="s">
        <v>76</v>
      </c>
      <c r="D107" s="5" t="s">
        <v>33</v>
      </c>
      <c r="E107" s="5" t="s">
        <v>295</v>
      </c>
      <c r="F107" s="2" t="s">
        <v>314</v>
      </c>
      <c r="G107" s="2">
        <v>1</v>
      </c>
      <c r="H107" s="25">
        <v>460</v>
      </c>
      <c r="I107" s="8">
        <v>0</v>
      </c>
      <c r="J107" s="25">
        <v>460</v>
      </c>
      <c r="K107" s="25">
        <f>G107*H107</f>
        <v>460</v>
      </c>
      <c r="L107" s="8">
        <f>K107*I107/100</f>
        <v>0</v>
      </c>
      <c r="M107" s="2" t="s">
        <v>94</v>
      </c>
      <c r="N107" s="2" t="s">
        <v>68</v>
      </c>
      <c r="O107" s="2">
        <v>2025</v>
      </c>
      <c r="P107" s="2" t="str">
        <v>March</v>
      </c>
      <c r="Q107" s="2" t="s">
        <v>47</v>
      </c>
    </row>
    <row r="108" spans="1:17" x14ac:dyDescent="0.25">
      <c r="A108" s="2" t="s">
        <v>401</v>
      </c>
      <c r="B108" s="7">
        <v>46016</v>
      </c>
      <c r="C108" s="5" t="s">
        <v>32</v>
      </c>
      <c r="D108" s="5" t="s">
        <v>33</v>
      </c>
      <c r="E108" s="5" t="s">
        <v>295</v>
      </c>
      <c r="F108" s="2" t="s">
        <v>126</v>
      </c>
      <c r="G108" s="2">
        <v>4</v>
      </c>
      <c r="H108" s="25">
        <v>470</v>
      </c>
      <c r="I108" s="8">
        <v>10</v>
      </c>
      <c r="J108" s="25">
        <v>1692</v>
      </c>
      <c r="K108" s="25">
        <f>G108*H108</f>
        <v>1880</v>
      </c>
      <c r="L108" s="8">
        <f>K108*I108/100</f>
        <v>188</v>
      </c>
      <c r="M108" s="2" t="s">
        <v>102</v>
      </c>
      <c r="N108" s="2" t="s">
        <v>266</v>
      </c>
      <c r="O108" s="2">
        <v>2025</v>
      </c>
      <c r="P108" s="2" t="str">
        <v>December</v>
      </c>
      <c r="Q108" s="2" t="s">
        <v>21</v>
      </c>
    </row>
    <row r="109" spans="1:17" x14ac:dyDescent="0.25">
      <c r="A109" s="2" t="s">
        <v>403</v>
      </c>
      <c r="B109" s="7">
        <v>45826</v>
      </c>
      <c r="C109" s="5" t="s">
        <v>135</v>
      </c>
      <c r="D109" s="5" t="s">
        <v>58</v>
      </c>
      <c r="E109" s="5" t="s">
        <v>179</v>
      </c>
      <c r="F109" s="2" t="s">
        <v>143</v>
      </c>
      <c r="G109" s="2">
        <v>8</v>
      </c>
      <c r="H109" s="25">
        <v>9450</v>
      </c>
      <c r="I109" s="8">
        <v>0</v>
      </c>
      <c r="J109" s="25">
        <v>75600</v>
      </c>
      <c r="K109" s="25">
        <f>G109*H109</f>
        <v>75600</v>
      </c>
      <c r="L109" s="8">
        <f>K109*I109/100</f>
        <v>0</v>
      </c>
      <c r="M109" s="2" t="s">
        <v>53</v>
      </c>
      <c r="N109" s="2" t="s">
        <v>37</v>
      </c>
      <c r="O109" s="2">
        <v>2025</v>
      </c>
      <c r="P109" s="2" t="str">
        <v>June</v>
      </c>
      <c r="Q109" s="2" t="s">
        <v>47</v>
      </c>
    </row>
    <row r="110" spans="1:17" x14ac:dyDescent="0.25">
      <c r="A110" s="2" t="s">
        <v>404</v>
      </c>
      <c r="B110" s="7">
        <v>45845</v>
      </c>
      <c r="C110" s="5" t="s">
        <v>41</v>
      </c>
      <c r="D110" s="5" t="s">
        <v>42</v>
      </c>
      <c r="E110" s="5" t="s">
        <v>295</v>
      </c>
      <c r="F110" s="2" t="s">
        <v>101</v>
      </c>
      <c r="G110" s="2">
        <v>12</v>
      </c>
      <c r="H110" s="25">
        <v>460</v>
      </c>
      <c r="I110" s="8">
        <v>5</v>
      </c>
      <c r="J110" s="25">
        <v>5244</v>
      </c>
      <c r="K110" s="25">
        <f>G110*H110</f>
        <v>5520</v>
      </c>
      <c r="L110" s="8">
        <f>K110*I110/100</f>
        <v>276</v>
      </c>
      <c r="M110" s="2" t="s">
        <v>139</v>
      </c>
      <c r="N110" s="2" t="s">
        <v>406</v>
      </c>
      <c r="O110" s="2">
        <v>2025</v>
      </c>
      <c r="P110" s="2" t="str">
        <v>July</v>
      </c>
      <c r="Q110" s="2" t="s">
        <v>21</v>
      </c>
    </row>
    <row r="111" spans="1:17" x14ac:dyDescent="0.25">
      <c r="A111" s="2" t="s">
        <v>407</v>
      </c>
      <c r="B111" s="7">
        <v>45864</v>
      </c>
      <c r="C111" s="5" t="s">
        <v>76</v>
      </c>
      <c r="D111" s="5" t="s">
        <v>33</v>
      </c>
      <c r="E111" s="5" t="s">
        <v>34</v>
      </c>
      <c r="F111" s="2" t="s">
        <v>71</v>
      </c>
      <c r="G111" s="2">
        <v>11</v>
      </c>
      <c r="H111" s="25">
        <v>2630</v>
      </c>
      <c r="I111" s="8">
        <v>0</v>
      </c>
      <c r="J111" s="25">
        <v>28930</v>
      </c>
      <c r="K111" s="25">
        <f>G111*H111</f>
        <v>28930</v>
      </c>
      <c r="L111" s="8">
        <f>K111*I111/100</f>
        <v>0</v>
      </c>
      <c r="M111" s="2" t="s">
        <v>139</v>
      </c>
      <c r="N111" s="2" t="s">
        <v>79</v>
      </c>
      <c r="O111" s="2">
        <v>2025</v>
      </c>
      <c r="P111" s="2" t="str">
        <v>July</v>
      </c>
      <c r="Q111" s="2" t="s">
        <v>21</v>
      </c>
    </row>
    <row r="112" spans="1:17" x14ac:dyDescent="0.25">
      <c r="A112" s="2" t="s">
        <v>409</v>
      </c>
      <c r="B112" s="7">
        <v>45890</v>
      </c>
      <c r="C112" s="5" t="s">
        <v>135</v>
      </c>
      <c r="D112" s="5" t="s">
        <v>58</v>
      </c>
      <c r="E112" s="5" t="s">
        <v>179</v>
      </c>
      <c r="F112" s="2" t="s">
        <v>232</v>
      </c>
      <c r="G112" s="2">
        <v>7</v>
      </c>
      <c r="H112" s="25">
        <v>588.23529411764707</v>
      </c>
      <c r="I112" s="8">
        <v>15</v>
      </c>
      <c r="J112" s="25">
        <v>3500</v>
      </c>
      <c r="K112" s="25">
        <f>G112*H112</f>
        <v>4117.6470588235297</v>
      </c>
      <c r="L112" s="8">
        <f>K112*I112/100</f>
        <v>617.64705882352939</v>
      </c>
      <c r="M112" s="2" t="s">
        <v>102</v>
      </c>
      <c r="N112" s="2" t="s">
        <v>411</v>
      </c>
      <c r="O112" s="2">
        <v>2025</v>
      </c>
      <c r="P112" s="2" t="str">
        <v>August</v>
      </c>
      <c r="Q112" s="2" t="s">
        <v>21</v>
      </c>
    </row>
    <row r="113" spans="1:17" x14ac:dyDescent="0.25">
      <c r="A113" s="2" t="s">
        <v>412</v>
      </c>
      <c r="B113" s="7">
        <v>45771</v>
      </c>
      <c r="C113" s="5" t="s">
        <v>238</v>
      </c>
      <c r="D113" s="5" t="s">
        <v>51</v>
      </c>
      <c r="E113" s="5" t="s">
        <v>179</v>
      </c>
      <c r="F113" s="2" t="s">
        <v>143</v>
      </c>
      <c r="G113" s="2">
        <v>2</v>
      </c>
      <c r="H113" s="25">
        <v>13180</v>
      </c>
      <c r="I113" s="8">
        <v>10</v>
      </c>
      <c r="J113" s="25">
        <v>23724</v>
      </c>
      <c r="K113" s="25">
        <f>G113*H113</f>
        <v>26360</v>
      </c>
      <c r="L113" s="8">
        <f>K113*I113/100</f>
        <v>2636</v>
      </c>
      <c r="M113" s="2" t="s">
        <v>53</v>
      </c>
      <c r="N113" s="2" t="s">
        <v>344</v>
      </c>
      <c r="O113" s="2">
        <v>2025</v>
      </c>
      <c r="P113" s="2" t="str">
        <v>April</v>
      </c>
      <c r="Q113" s="2" t="s">
        <v>47</v>
      </c>
    </row>
    <row r="114" spans="1:17" x14ac:dyDescent="0.25">
      <c r="A114" s="2" t="s">
        <v>414</v>
      </c>
      <c r="B114" s="7">
        <v>46004</v>
      </c>
      <c r="C114" s="5" t="s">
        <v>32</v>
      </c>
      <c r="D114" s="5" t="s">
        <v>33</v>
      </c>
      <c r="E114" s="5" t="s">
        <v>25</v>
      </c>
      <c r="F114" s="2" t="s">
        <v>93</v>
      </c>
      <c r="G114" s="2">
        <v>1</v>
      </c>
      <c r="H114" s="25">
        <v>20380</v>
      </c>
      <c r="I114" s="8">
        <v>0</v>
      </c>
      <c r="J114" s="25">
        <v>20380</v>
      </c>
      <c r="K114" s="25">
        <f>G114*H114</f>
        <v>20380</v>
      </c>
      <c r="L114" s="8">
        <f>K114*I114/100</f>
        <v>0</v>
      </c>
      <c r="M114" s="2" t="s">
        <v>102</v>
      </c>
      <c r="N114" s="2" t="s">
        <v>883</v>
      </c>
      <c r="O114" s="2">
        <v>2025</v>
      </c>
      <c r="P114" s="2" t="str">
        <v>December</v>
      </c>
      <c r="Q114" s="2" t="s">
        <v>47</v>
      </c>
    </row>
    <row r="115" spans="1:17" x14ac:dyDescent="0.25">
      <c r="A115" s="2" t="s">
        <v>417</v>
      </c>
      <c r="B115" s="7">
        <v>45940</v>
      </c>
      <c r="C115" s="5" t="s">
        <v>156</v>
      </c>
      <c r="D115" s="5" t="s">
        <v>51</v>
      </c>
      <c r="E115" s="5" t="s">
        <v>179</v>
      </c>
      <c r="F115" s="2" t="s">
        <v>143</v>
      </c>
      <c r="G115" s="2">
        <v>7</v>
      </c>
      <c r="H115" s="25">
        <v>8590</v>
      </c>
      <c r="I115" s="8">
        <v>0</v>
      </c>
      <c r="J115" s="25">
        <v>60130</v>
      </c>
      <c r="K115" s="25">
        <f>G115*H115</f>
        <v>60130</v>
      </c>
      <c r="L115" s="8">
        <f>K115*I115/100</f>
        <v>0</v>
      </c>
      <c r="M115" s="2" t="s">
        <v>102</v>
      </c>
      <c r="N115" s="2" t="s">
        <v>73</v>
      </c>
      <c r="O115" s="2">
        <v>2025</v>
      </c>
      <c r="P115" s="2" t="str">
        <v>October</v>
      </c>
      <c r="Q115" s="2" t="s">
        <v>47</v>
      </c>
    </row>
    <row r="116" spans="1:17" x14ac:dyDescent="0.25">
      <c r="A116" s="2" t="s">
        <v>419</v>
      </c>
      <c r="B116" s="7">
        <v>45695</v>
      </c>
      <c r="C116" s="5" t="s">
        <v>76</v>
      </c>
      <c r="D116" s="5" t="s">
        <v>33</v>
      </c>
      <c r="E116" s="5" t="s">
        <v>34</v>
      </c>
      <c r="F116" s="2" t="s">
        <v>35</v>
      </c>
      <c r="G116" s="2">
        <v>4</v>
      </c>
      <c r="H116" s="25">
        <v>8370</v>
      </c>
      <c r="I116" s="8">
        <v>0</v>
      </c>
      <c r="J116" s="25">
        <v>33480</v>
      </c>
      <c r="K116" s="25">
        <f>G116*H116</f>
        <v>33480</v>
      </c>
      <c r="L116" s="8">
        <f>K116*I116/100</f>
        <v>0</v>
      </c>
      <c r="M116" s="2" t="s">
        <v>102</v>
      </c>
      <c r="N116" s="2" t="s">
        <v>341</v>
      </c>
      <c r="O116" s="2">
        <v>2025</v>
      </c>
      <c r="P116" s="2" t="str">
        <v>February</v>
      </c>
      <c r="Q116" s="2" t="s">
        <v>47</v>
      </c>
    </row>
    <row r="117" spans="1:17" x14ac:dyDescent="0.25">
      <c r="A117" s="2" t="s">
        <v>421</v>
      </c>
      <c r="B117" s="7">
        <v>45718</v>
      </c>
      <c r="C117" s="5" t="s">
        <v>24</v>
      </c>
      <c r="D117" s="5" t="s">
        <v>16</v>
      </c>
      <c r="E117" s="5" t="s">
        <v>179</v>
      </c>
      <c r="F117" s="2" t="s">
        <v>78</v>
      </c>
      <c r="G117" s="2">
        <v>9</v>
      </c>
      <c r="H117" s="25">
        <v>20130</v>
      </c>
      <c r="I117" s="8">
        <v>0</v>
      </c>
      <c r="J117" s="25">
        <v>181170</v>
      </c>
      <c r="K117" s="25">
        <f>G117*H117</f>
        <v>181170</v>
      </c>
      <c r="L117" s="8">
        <f>K117*I117/100</f>
        <v>0</v>
      </c>
      <c r="M117" s="2" t="s">
        <v>102</v>
      </c>
      <c r="N117" s="2" t="s">
        <v>344</v>
      </c>
      <c r="O117" s="2">
        <v>2025</v>
      </c>
      <c r="P117" s="2" t="str">
        <v>March</v>
      </c>
      <c r="Q117" s="2" t="s">
        <v>47</v>
      </c>
    </row>
    <row r="118" spans="1:17" x14ac:dyDescent="0.25">
      <c r="A118" s="2" t="s">
        <v>423</v>
      </c>
      <c r="B118" s="7">
        <v>45945</v>
      </c>
      <c r="C118" s="5" t="s">
        <v>135</v>
      </c>
      <c r="D118" s="5" t="s">
        <v>58</v>
      </c>
      <c r="E118" s="5" t="s">
        <v>148</v>
      </c>
      <c r="F118" s="2" t="s">
        <v>167</v>
      </c>
      <c r="G118" s="2">
        <v>8</v>
      </c>
      <c r="H118" s="25">
        <v>540</v>
      </c>
      <c r="I118" s="8">
        <v>0</v>
      </c>
      <c r="J118" s="25">
        <v>4320</v>
      </c>
      <c r="K118" s="25">
        <f>G118*H118</f>
        <v>4320</v>
      </c>
      <c r="L118" s="8">
        <f>K118*I118/100</f>
        <v>0</v>
      </c>
      <c r="M118" s="2" t="s">
        <v>139</v>
      </c>
      <c r="N118" s="2" t="s">
        <v>176</v>
      </c>
      <c r="O118" s="2">
        <v>2025</v>
      </c>
      <c r="P118" s="2" t="str">
        <v>October</v>
      </c>
      <c r="Q118" s="2" t="s">
        <v>21</v>
      </c>
    </row>
    <row r="119" spans="1:17" x14ac:dyDescent="0.25">
      <c r="A119" s="2" t="s">
        <v>426</v>
      </c>
      <c r="B119" s="7">
        <v>46019</v>
      </c>
      <c r="C119" s="5" t="s">
        <v>156</v>
      </c>
      <c r="D119" s="5" t="s">
        <v>51</v>
      </c>
      <c r="E119" s="5" t="s">
        <v>179</v>
      </c>
      <c r="F119" s="2" t="s">
        <v>239</v>
      </c>
      <c r="G119" s="2">
        <v>12</v>
      </c>
      <c r="H119" s="25">
        <v>45890</v>
      </c>
      <c r="I119" s="8">
        <v>0</v>
      </c>
      <c r="J119" s="25">
        <v>550680</v>
      </c>
      <c r="K119" s="25">
        <f>G119*H119</f>
        <v>550680</v>
      </c>
      <c r="L119" s="8">
        <f>K119*I119/100</f>
        <v>0</v>
      </c>
      <c r="M119" s="2" t="s">
        <v>94</v>
      </c>
      <c r="N119" s="2" t="s">
        <v>168</v>
      </c>
      <c r="O119" s="2">
        <v>2025</v>
      </c>
      <c r="P119" s="2" t="str">
        <v>December</v>
      </c>
      <c r="Q119" s="2" t="s">
        <v>47</v>
      </c>
    </row>
    <row r="120" spans="1:17" x14ac:dyDescent="0.25">
      <c r="A120" s="2" t="s">
        <v>429</v>
      </c>
      <c r="B120" s="7">
        <v>46019</v>
      </c>
      <c r="C120" s="5" t="s">
        <v>238</v>
      </c>
      <c r="D120" s="5" t="s">
        <v>51</v>
      </c>
      <c r="E120" s="5" t="s">
        <v>179</v>
      </c>
      <c r="F120" s="2" t="s">
        <v>143</v>
      </c>
      <c r="G120" s="2">
        <v>2</v>
      </c>
      <c r="H120" s="25">
        <v>8550</v>
      </c>
      <c r="I120" s="8">
        <v>15</v>
      </c>
      <c r="J120" s="25">
        <v>14535</v>
      </c>
      <c r="K120" s="25">
        <f>G120*H120</f>
        <v>17100</v>
      </c>
      <c r="L120" s="8">
        <f>K120*I120/100</f>
        <v>2565</v>
      </c>
      <c r="M120" s="2" t="s">
        <v>94</v>
      </c>
      <c r="N120" s="2" t="s">
        <v>344</v>
      </c>
      <c r="O120" s="2">
        <v>2025</v>
      </c>
      <c r="P120" s="2" t="str">
        <v>December</v>
      </c>
      <c r="Q120" s="2" t="s">
        <v>21</v>
      </c>
    </row>
    <row r="121" spans="1:17" x14ac:dyDescent="0.25">
      <c r="A121" s="2" t="s">
        <v>431</v>
      </c>
      <c r="B121" s="7">
        <v>45956</v>
      </c>
      <c r="C121" s="5" t="s">
        <v>135</v>
      </c>
      <c r="D121" s="5" t="s">
        <v>58</v>
      </c>
      <c r="E121" s="5" t="s">
        <v>25</v>
      </c>
      <c r="F121" s="2" t="s">
        <v>332</v>
      </c>
      <c r="G121" s="2">
        <v>3</v>
      </c>
      <c r="H121" s="25">
        <v>8530</v>
      </c>
      <c r="I121" s="8">
        <v>0</v>
      </c>
      <c r="J121" s="25">
        <v>25590</v>
      </c>
      <c r="K121" s="25">
        <f>G121*H121</f>
        <v>25590</v>
      </c>
      <c r="L121" s="8">
        <f>K121*I121/100</f>
        <v>0</v>
      </c>
      <c r="M121" s="2" t="s">
        <v>94</v>
      </c>
      <c r="N121" s="2" t="s">
        <v>188</v>
      </c>
      <c r="O121" s="2">
        <v>2025</v>
      </c>
      <c r="P121" s="2" t="str">
        <v>October</v>
      </c>
      <c r="Q121" s="2" t="s">
        <v>47</v>
      </c>
    </row>
    <row r="122" spans="1:17" x14ac:dyDescent="0.25">
      <c r="A122" s="2" t="s">
        <v>433</v>
      </c>
      <c r="B122" s="7">
        <v>45974</v>
      </c>
      <c r="C122" s="5" t="s">
        <v>41</v>
      </c>
      <c r="D122" s="5" t="s">
        <v>42</v>
      </c>
      <c r="E122" s="5" t="s">
        <v>148</v>
      </c>
      <c r="F122" s="2" t="s">
        <v>435</v>
      </c>
      <c r="G122" s="2">
        <v>6</v>
      </c>
      <c r="H122" s="25">
        <v>23210</v>
      </c>
      <c r="I122" s="8">
        <v>0</v>
      </c>
      <c r="J122" s="25">
        <v>139260</v>
      </c>
      <c r="K122" s="25">
        <f>G122*H122</f>
        <v>139260</v>
      </c>
      <c r="L122" s="8">
        <f>K122*I122/100</f>
        <v>0</v>
      </c>
      <c r="M122" s="2" t="s">
        <v>102</v>
      </c>
      <c r="N122" s="2" t="s">
        <v>406</v>
      </c>
      <c r="O122" s="2">
        <v>2025</v>
      </c>
      <c r="P122" s="2" t="str">
        <v>November</v>
      </c>
      <c r="Q122" s="2" t="s">
        <v>47</v>
      </c>
    </row>
    <row r="123" spans="1:17" x14ac:dyDescent="0.25">
      <c r="A123" s="2" t="s">
        <v>436</v>
      </c>
      <c r="B123" s="7">
        <v>45968</v>
      </c>
      <c r="C123" s="5" t="s">
        <v>156</v>
      </c>
      <c r="D123" s="5" t="s">
        <v>51</v>
      </c>
      <c r="E123" s="5" t="s">
        <v>25</v>
      </c>
      <c r="F123" s="2" t="s">
        <v>332</v>
      </c>
      <c r="G123" s="2">
        <v>6</v>
      </c>
      <c r="H123" s="25">
        <v>1330</v>
      </c>
      <c r="I123" s="8">
        <v>0</v>
      </c>
      <c r="J123" s="25">
        <v>7980</v>
      </c>
      <c r="K123" s="25">
        <f>G123*H123</f>
        <v>7980</v>
      </c>
      <c r="L123" s="8">
        <f>K123*I123/100</f>
        <v>0</v>
      </c>
      <c r="M123" s="2" t="s">
        <v>53</v>
      </c>
      <c r="N123" s="2" t="s">
        <v>406</v>
      </c>
      <c r="O123" s="2">
        <v>2025</v>
      </c>
      <c r="P123" s="2" t="str">
        <v>November</v>
      </c>
      <c r="Q123" s="2" t="s">
        <v>21</v>
      </c>
    </row>
    <row r="124" spans="1:17" x14ac:dyDescent="0.25">
      <c r="A124" s="2" t="s">
        <v>438</v>
      </c>
      <c r="B124" s="7">
        <v>45777</v>
      </c>
      <c r="C124" s="5" t="s">
        <v>32</v>
      </c>
      <c r="D124" s="5" t="s">
        <v>33</v>
      </c>
      <c r="E124" s="5" t="s">
        <v>295</v>
      </c>
      <c r="F124" s="2" t="s">
        <v>101</v>
      </c>
      <c r="G124" s="2">
        <v>6</v>
      </c>
      <c r="H124" s="25">
        <v>12760</v>
      </c>
      <c r="I124" s="8">
        <v>5</v>
      </c>
      <c r="J124" s="25">
        <v>72732</v>
      </c>
      <c r="K124" s="25">
        <f>G124*H124</f>
        <v>76560</v>
      </c>
      <c r="L124" s="8">
        <f>K124*I124/100</f>
        <v>3828</v>
      </c>
      <c r="M124" s="2" t="s">
        <v>102</v>
      </c>
      <c r="N124" s="2" t="s">
        <v>54</v>
      </c>
      <c r="O124" s="2">
        <v>2025</v>
      </c>
      <c r="P124" s="2" t="str">
        <v>April</v>
      </c>
      <c r="Q124" s="2" t="s">
        <v>47</v>
      </c>
    </row>
    <row r="125" spans="1:17" x14ac:dyDescent="0.25">
      <c r="A125" s="2" t="s">
        <v>441</v>
      </c>
      <c r="B125" s="7">
        <v>45753</v>
      </c>
      <c r="C125" s="5" t="s">
        <v>156</v>
      </c>
      <c r="D125" s="5" t="s">
        <v>51</v>
      </c>
      <c r="E125" s="5" t="s">
        <v>179</v>
      </c>
      <c r="F125" s="2" t="s">
        <v>296</v>
      </c>
      <c r="G125" s="2">
        <v>8</v>
      </c>
      <c r="H125" s="25">
        <v>2290</v>
      </c>
      <c r="I125" s="8">
        <v>0</v>
      </c>
      <c r="J125" s="25">
        <v>18320</v>
      </c>
      <c r="K125" s="25">
        <f>G125*H125</f>
        <v>18320</v>
      </c>
      <c r="L125" s="8">
        <f>K125*I125/100</f>
        <v>0</v>
      </c>
      <c r="M125" s="2" t="s">
        <v>102</v>
      </c>
      <c r="N125" s="2" t="s">
        <v>176</v>
      </c>
      <c r="O125" s="2">
        <v>2025</v>
      </c>
      <c r="P125" s="2" t="str">
        <v>April</v>
      </c>
      <c r="Q125" s="2" t="s">
        <v>47</v>
      </c>
    </row>
    <row r="126" spans="1:17" x14ac:dyDescent="0.25">
      <c r="A126" s="2" t="s">
        <v>443</v>
      </c>
      <c r="B126" s="7">
        <v>45737</v>
      </c>
      <c r="C126" s="5" t="s">
        <v>41</v>
      </c>
      <c r="D126" s="5" t="s">
        <v>42</v>
      </c>
      <c r="E126" s="5" t="s">
        <v>179</v>
      </c>
      <c r="F126" s="2" t="s">
        <v>239</v>
      </c>
      <c r="G126" s="2">
        <v>1</v>
      </c>
      <c r="H126" s="25">
        <v>3510</v>
      </c>
      <c r="I126" s="8">
        <v>0</v>
      </c>
      <c r="J126" s="25">
        <v>3510</v>
      </c>
      <c r="K126" s="25">
        <f>G126*H126</f>
        <v>3510</v>
      </c>
      <c r="L126" s="8">
        <f>K126*I126/100</f>
        <v>0</v>
      </c>
      <c r="M126" s="2" t="s">
        <v>53</v>
      </c>
      <c r="N126" s="2" t="s">
        <v>266</v>
      </c>
      <c r="O126" s="2">
        <v>2025</v>
      </c>
      <c r="P126" s="2" t="str">
        <v>March</v>
      </c>
      <c r="Q126" s="2" t="s">
        <v>47</v>
      </c>
    </row>
    <row r="127" spans="1:17" x14ac:dyDescent="0.25">
      <c r="A127" s="2" t="s">
        <v>445</v>
      </c>
      <c r="B127" s="7">
        <v>45841</v>
      </c>
      <c r="C127" s="5" t="s">
        <v>41</v>
      </c>
      <c r="D127" s="5" t="s">
        <v>42</v>
      </c>
      <c r="E127" s="5" t="s">
        <v>179</v>
      </c>
      <c r="F127" s="2" t="s">
        <v>143</v>
      </c>
      <c r="G127" s="2">
        <v>2</v>
      </c>
      <c r="H127" s="25">
        <v>12920</v>
      </c>
      <c r="I127" s="8">
        <v>0</v>
      </c>
      <c r="J127" s="25">
        <v>25840</v>
      </c>
      <c r="K127" s="25">
        <f>G127*H127</f>
        <v>25840</v>
      </c>
      <c r="L127" s="8">
        <f>K127*I127/100</f>
        <v>0</v>
      </c>
      <c r="M127" s="2" t="s">
        <v>102</v>
      </c>
      <c r="N127" s="2" t="s">
        <v>344</v>
      </c>
      <c r="O127" s="2">
        <v>2025</v>
      </c>
      <c r="P127" s="2" t="str">
        <v>July</v>
      </c>
      <c r="Q127" s="2" t="s">
        <v>47</v>
      </c>
    </row>
    <row r="128" spans="1:17" x14ac:dyDescent="0.25">
      <c r="A128" s="2" t="s">
        <v>447</v>
      </c>
      <c r="B128" s="7">
        <v>45698</v>
      </c>
      <c r="C128" s="5" t="s">
        <v>41</v>
      </c>
      <c r="D128" s="5" t="s">
        <v>42</v>
      </c>
      <c r="E128" s="5" t="s">
        <v>34</v>
      </c>
      <c r="F128" s="2" t="s">
        <v>71</v>
      </c>
      <c r="G128" s="2">
        <v>2</v>
      </c>
      <c r="H128" s="25">
        <v>2750</v>
      </c>
      <c r="I128" s="8">
        <v>0</v>
      </c>
      <c r="J128" s="25">
        <v>5500</v>
      </c>
      <c r="K128" s="25">
        <f>G128*H128</f>
        <v>5500</v>
      </c>
      <c r="L128" s="8">
        <f>K128*I128/100</f>
        <v>0</v>
      </c>
      <c r="M128" s="2" t="s">
        <v>139</v>
      </c>
      <c r="N128" s="2" t="s">
        <v>266</v>
      </c>
      <c r="O128" s="2">
        <v>2025</v>
      </c>
      <c r="P128" s="2" t="str">
        <v>February</v>
      </c>
      <c r="Q128" s="2" t="s">
        <v>47</v>
      </c>
    </row>
    <row r="129" spans="1:17" x14ac:dyDescent="0.25">
      <c r="A129" s="2" t="s">
        <v>450</v>
      </c>
      <c r="B129" s="7">
        <v>45789</v>
      </c>
      <c r="C129" s="5" t="s">
        <v>156</v>
      </c>
      <c r="D129" s="5" t="s">
        <v>51</v>
      </c>
      <c r="E129" s="5" t="s">
        <v>148</v>
      </c>
      <c r="F129" s="2" t="s">
        <v>149</v>
      </c>
      <c r="G129" s="2">
        <v>12</v>
      </c>
      <c r="H129" s="25">
        <v>67500</v>
      </c>
      <c r="I129" s="8">
        <v>10</v>
      </c>
      <c r="J129" s="25">
        <v>729000</v>
      </c>
      <c r="K129" s="25">
        <f>G129*H129</f>
        <v>810000</v>
      </c>
      <c r="L129" s="8">
        <f>K129*I129/100</f>
        <v>81000</v>
      </c>
      <c r="M129" s="2" t="s">
        <v>94</v>
      </c>
      <c r="N129" s="2" t="s">
        <v>46</v>
      </c>
      <c r="O129" s="2">
        <v>2025</v>
      </c>
      <c r="P129" s="2" t="str">
        <v>May</v>
      </c>
      <c r="Q129" s="2" t="s">
        <v>47</v>
      </c>
    </row>
    <row r="130" spans="1:17" x14ac:dyDescent="0.25">
      <c r="A130" s="2" t="s">
        <v>453</v>
      </c>
      <c r="B130" s="7">
        <v>45787</v>
      </c>
      <c r="C130" s="5" t="s">
        <v>238</v>
      </c>
      <c r="D130" s="5" t="s">
        <v>51</v>
      </c>
      <c r="E130" s="5" t="s">
        <v>179</v>
      </c>
      <c r="F130" s="2" t="s">
        <v>180</v>
      </c>
      <c r="G130" s="2">
        <v>9</v>
      </c>
      <c r="H130" s="25">
        <v>17990</v>
      </c>
      <c r="I130" s="8">
        <v>0</v>
      </c>
      <c r="J130" s="25">
        <v>161910</v>
      </c>
      <c r="K130" s="25">
        <f>G130*H130</f>
        <v>161910</v>
      </c>
      <c r="L130" s="8">
        <f>K130*I130/100</f>
        <v>0</v>
      </c>
      <c r="M130" s="2" t="s">
        <v>102</v>
      </c>
      <c r="N130" s="2" t="s">
        <v>68</v>
      </c>
      <c r="O130" s="2">
        <v>2025</v>
      </c>
      <c r="P130" s="2" t="str">
        <v>May</v>
      </c>
      <c r="Q130" s="2" t="s">
        <v>47</v>
      </c>
    </row>
    <row r="131" spans="1:17" x14ac:dyDescent="0.25">
      <c r="A131" s="2" t="s">
        <v>455</v>
      </c>
      <c r="B131" s="7">
        <v>45696</v>
      </c>
      <c r="C131" s="5" t="s">
        <v>41</v>
      </c>
      <c r="D131" s="5" t="s">
        <v>42</v>
      </c>
      <c r="E131" s="5" t="s">
        <v>25</v>
      </c>
      <c r="F131" s="2" t="s">
        <v>248</v>
      </c>
      <c r="G131" s="2">
        <v>6</v>
      </c>
      <c r="H131" s="25">
        <v>65700</v>
      </c>
      <c r="I131" s="8">
        <v>10</v>
      </c>
      <c r="J131" s="25">
        <v>354780</v>
      </c>
      <c r="K131" s="25">
        <f>G131*H131</f>
        <v>394200</v>
      </c>
      <c r="L131" s="8">
        <f>K131*I131/100</f>
        <v>39420</v>
      </c>
      <c r="M131" s="2" t="s">
        <v>94</v>
      </c>
      <c r="N131" s="2" t="s">
        <v>266</v>
      </c>
      <c r="O131" s="2">
        <v>2025</v>
      </c>
      <c r="P131" s="2" t="str">
        <v>February</v>
      </c>
      <c r="Q131" s="2" t="s">
        <v>47</v>
      </c>
    </row>
    <row r="132" spans="1:17" x14ac:dyDescent="0.25">
      <c r="A132" s="2" t="s">
        <v>457</v>
      </c>
      <c r="B132" s="7">
        <v>45734</v>
      </c>
      <c r="C132" s="5" t="s">
        <v>156</v>
      </c>
      <c r="D132" s="5" t="s">
        <v>51</v>
      </c>
      <c r="E132" s="5" t="s">
        <v>179</v>
      </c>
      <c r="F132" s="2" t="s">
        <v>180</v>
      </c>
      <c r="G132" s="2">
        <v>6</v>
      </c>
      <c r="H132" s="25">
        <v>3190</v>
      </c>
      <c r="I132" s="8">
        <v>0</v>
      </c>
      <c r="J132" s="25">
        <v>19140</v>
      </c>
      <c r="K132" s="25">
        <f>G132*H132</f>
        <v>19140</v>
      </c>
      <c r="L132" s="8">
        <f>K132*I132/100</f>
        <v>0</v>
      </c>
      <c r="M132" s="2" t="s">
        <v>94</v>
      </c>
      <c r="N132" s="2" t="s">
        <v>37</v>
      </c>
      <c r="O132" s="2">
        <v>2025</v>
      </c>
      <c r="P132" s="2" t="str">
        <v>March</v>
      </c>
      <c r="Q132" s="2" t="s">
        <v>21</v>
      </c>
    </row>
    <row r="133" spans="1:17" x14ac:dyDescent="0.25">
      <c r="A133" s="2" t="s">
        <v>459</v>
      </c>
      <c r="B133" s="7">
        <v>45732</v>
      </c>
      <c r="C133" s="5" t="s">
        <v>76</v>
      </c>
      <c r="D133" s="5" t="s">
        <v>33</v>
      </c>
      <c r="E133" s="5" t="s">
        <v>179</v>
      </c>
      <c r="F133" s="2" t="s">
        <v>232</v>
      </c>
      <c r="G133" s="2">
        <v>5</v>
      </c>
      <c r="H133" s="25">
        <v>2500</v>
      </c>
      <c r="I133" s="8">
        <v>5</v>
      </c>
      <c r="J133" s="25">
        <v>11875</v>
      </c>
      <c r="K133" s="25">
        <f>G133*H133</f>
        <v>12500</v>
      </c>
      <c r="L133" s="8">
        <f>K133*I133/100</f>
        <v>625</v>
      </c>
      <c r="M133" s="2" t="s">
        <v>102</v>
      </c>
      <c r="N133" s="2" t="s">
        <v>46</v>
      </c>
      <c r="O133" s="2">
        <v>2025</v>
      </c>
      <c r="P133" s="2" t="str">
        <v>March</v>
      </c>
      <c r="Q133" s="2" t="s">
        <v>47</v>
      </c>
    </row>
    <row r="134" spans="1:17" x14ac:dyDescent="0.25">
      <c r="A134" s="2" t="s">
        <v>461</v>
      </c>
      <c r="B134" s="7">
        <v>45861</v>
      </c>
      <c r="C134" s="5" t="s">
        <v>76</v>
      </c>
      <c r="D134" s="5" t="s">
        <v>33</v>
      </c>
      <c r="E134" s="5" t="s">
        <v>179</v>
      </c>
      <c r="F134" s="2" t="s">
        <v>224</v>
      </c>
      <c r="G134" s="2">
        <v>12</v>
      </c>
      <c r="H134" s="25">
        <v>3760</v>
      </c>
      <c r="I134" s="8">
        <v>5</v>
      </c>
      <c r="J134" s="25">
        <v>42864</v>
      </c>
      <c r="K134" s="25">
        <f>G134*H134</f>
        <v>45120</v>
      </c>
      <c r="L134" s="8">
        <f>K134*I134/100</f>
        <v>2256</v>
      </c>
      <c r="M134" s="2" t="s">
        <v>94</v>
      </c>
      <c r="N134" s="2" t="s">
        <v>883</v>
      </c>
      <c r="O134" s="2">
        <v>2025</v>
      </c>
      <c r="P134" s="2" t="str">
        <v>July</v>
      </c>
      <c r="Q134" s="2" t="s">
        <v>47</v>
      </c>
    </row>
    <row r="135" spans="1:17" x14ac:dyDescent="0.25">
      <c r="A135" s="2" t="s">
        <v>463</v>
      </c>
      <c r="B135" s="7">
        <v>45984</v>
      </c>
      <c r="C135" s="5" t="s">
        <v>238</v>
      </c>
      <c r="D135" s="5" t="s">
        <v>51</v>
      </c>
      <c r="E135" s="5" t="s">
        <v>148</v>
      </c>
      <c r="F135" s="2" t="s">
        <v>209</v>
      </c>
      <c r="G135" s="2">
        <v>9</v>
      </c>
      <c r="H135" s="25">
        <v>28350</v>
      </c>
      <c r="I135" s="8">
        <v>15</v>
      </c>
      <c r="J135" s="25">
        <v>216877.5</v>
      </c>
      <c r="K135" s="25">
        <f>G135*H135</f>
        <v>255150</v>
      </c>
      <c r="L135" s="8">
        <f>K135*I135/100</f>
        <v>38272.5</v>
      </c>
      <c r="M135" s="2" t="s">
        <v>53</v>
      </c>
      <c r="N135" s="2" t="s">
        <v>68</v>
      </c>
      <c r="O135" s="2">
        <v>2025</v>
      </c>
      <c r="P135" s="2" t="str">
        <v>November</v>
      </c>
      <c r="Q135" s="2" t="s">
        <v>21</v>
      </c>
    </row>
    <row r="136" spans="1:17" x14ac:dyDescent="0.25">
      <c r="A136" s="2" t="s">
        <v>465</v>
      </c>
      <c r="B136" s="7">
        <v>45708</v>
      </c>
      <c r="C136" s="5" t="s">
        <v>135</v>
      </c>
      <c r="D136" s="5" t="s">
        <v>16</v>
      </c>
      <c r="E136" s="5" t="s">
        <v>148</v>
      </c>
      <c r="F136" s="2" t="s">
        <v>252</v>
      </c>
      <c r="G136" s="2">
        <v>1</v>
      </c>
      <c r="H136" s="25">
        <v>8430</v>
      </c>
      <c r="I136" s="8">
        <v>0</v>
      </c>
      <c r="J136" s="25">
        <v>8430</v>
      </c>
      <c r="K136" s="25">
        <f>G136*H136</f>
        <v>8430</v>
      </c>
      <c r="L136" s="8">
        <f>K136*I136/100</f>
        <v>0</v>
      </c>
      <c r="M136" s="2" t="s">
        <v>139</v>
      </c>
      <c r="N136" s="2" t="s">
        <v>406</v>
      </c>
      <c r="O136" s="2">
        <v>2025</v>
      </c>
      <c r="P136" s="2" t="str">
        <v>February</v>
      </c>
      <c r="Q136" s="2" t="s">
        <v>47</v>
      </c>
    </row>
    <row r="137" spans="1:17" x14ac:dyDescent="0.25">
      <c r="A137" s="2" t="s">
        <v>467</v>
      </c>
      <c r="B137" s="7">
        <v>45692</v>
      </c>
      <c r="C137" s="5" t="s">
        <v>156</v>
      </c>
      <c r="D137" s="5" t="s">
        <v>51</v>
      </c>
      <c r="E137" s="5" t="s">
        <v>148</v>
      </c>
      <c r="F137" s="2" t="s">
        <v>167</v>
      </c>
      <c r="G137" s="2">
        <v>4</v>
      </c>
      <c r="H137" s="25">
        <v>1230</v>
      </c>
      <c r="I137" s="8">
        <v>0</v>
      </c>
      <c r="J137" s="25">
        <v>4920</v>
      </c>
      <c r="K137" s="25">
        <f>G137*H137</f>
        <v>4920</v>
      </c>
      <c r="L137" s="8">
        <f>K137*I137/100</f>
        <v>0</v>
      </c>
      <c r="M137" s="2" t="s">
        <v>139</v>
      </c>
      <c r="N137" s="2" t="s">
        <v>266</v>
      </c>
      <c r="O137" s="2">
        <v>2025</v>
      </c>
      <c r="P137" s="2" t="str">
        <v>February</v>
      </c>
      <c r="Q137" s="2" t="s">
        <v>47</v>
      </c>
    </row>
    <row r="138" spans="1:17" x14ac:dyDescent="0.25">
      <c r="A138" s="2" t="s">
        <v>470</v>
      </c>
      <c r="B138" s="7">
        <v>45738</v>
      </c>
      <c r="C138" s="5" t="s">
        <v>24</v>
      </c>
      <c r="D138" s="5" t="s">
        <v>16</v>
      </c>
      <c r="E138" s="5" t="s">
        <v>295</v>
      </c>
      <c r="F138" s="2" t="s">
        <v>219</v>
      </c>
      <c r="G138" s="2">
        <v>1</v>
      </c>
      <c r="H138" s="25">
        <v>19020</v>
      </c>
      <c r="I138" s="8">
        <v>5</v>
      </c>
      <c r="J138" s="25">
        <v>18069</v>
      </c>
      <c r="K138" s="25">
        <f>G138*H138</f>
        <v>19020</v>
      </c>
      <c r="L138" s="8">
        <f>K138*I138/100</f>
        <v>951</v>
      </c>
      <c r="M138" s="2" t="s">
        <v>53</v>
      </c>
      <c r="N138" s="2" t="s">
        <v>176</v>
      </c>
      <c r="O138" s="2">
        <v>2025</v>
      </c>
      <c r="P138" s="2" t="str">
        <v>March</v>
      </c>
      <c r="Q138" s="2" t="s">
        <v>21</v>
      </c>
    </row>
    <row r="139" spans="1:17" x14ac:dyDescent="0.25">
      <c r="A139" s="2" t="s">
        <v>474</v>
      </c>
      <c r="B139" s="7">
        <v>45989</v>
      </c>
      <c r="C139" s="5" t="s">
        <v>76</v>
      </c>
      <c r="D139" s="5" t="s">
        <v>33</v>
      </c>
      <c r="E139" s="5" t="s">
        <v>34</v>
      </c>
      <c r="F139" s="2" t="s">
        <v>164</v>
      </c>
      <c r="G139" s="2">
        <v>3</v>
      </c>
      <c r="H139" s="25">
        <v>9680</v>
      </c>
      <c r="I139" s="8">
        <v>0</v>
      </c>
      <c r="J139" s="25">
        <v>29040</v>
      </c>
      <c r="K139" s="25">
        <f>G139*H139</f>
        <v>29040</v>
      </c>
      <c r="L139" s="8">
        <f>K139*I139/100</f>
        <v>0</v>
      </c>
      <c r="M139" s="2" t="s">
        <v>102</v>
      </c>
      <c r="N139" s="2" t="s">
        <v>266</v>
      </c>
      <c r="O139" s="2">
        <v>2025</v>
      </c>
      <c r="P139" s="2" t="str">
        <v>November</v>
      </c>
      <c r="Q139" s="2" t="s">
        <v>21</v>
      </c>
    </row>
    <row r="140" spans="1:17" x14ac:dyDescent="0.25">
      <c r="A140" s="2" t="s">
        <v>476</v>
      </c>
      <c r="B140" s="7">
        <v>45691</v>
      </c>
      <c r="C140" s="5" t="s">
        <v>135</v>
      </c>
      <c r="D140" s="5" t="s">
        <v>33</v>
      </c>
      <c r="E140" s="5" t="s">
        <v>179</v>
      </c>
      <c r="F140" s="2" t="s">
        <v>232</v>
      </c>
      <c r="G140" s="2">
        <v>11</v>
      </c>
      <c r="H140" s="25">
        <v>2660</v>
      </c>
      <c r="I140" s="8">
        <v>0</v>
      </c>
      <c r="J140" s="25">
        <v>29260</v>
      </c>
      <c r="K140" s="25">
        <f>G140*H140</f>
        <v>29260</v>
      </c>
      <c r="L140" s="8">
        <f>K140*I140/100</f>
        <v>0</v>
      </c>
      <c r="M140" s="2" t="s">
        <v>102</v>
      </c>
      <c r="N140" s="2" t="s">
        <v>188</v>
      </c>
      <c r="O140" s="2">
        <v>2025</v>
      </c>
      <c r="P140" s="2" t="str">
        <v>February</v>
      </c>
      <c r="Q140" s="2" t="s">
        <v>47</v>
      </c>
    </row>
    <row r="141" spans="1:17" x14ac:dyDescent="0.25">
      <c r="A141" s="2" t="s">
        <v>478</v>
      </c>
      <c r="B141" s="7">
        <v>45948</v>
      </c>
      <c r="C141" s="5" t="s">
        <v>156</v>
      </c>
      <c r="D141" s="5" t="s">
        <v>51</v>
      </c>
      <c r="E141" s="5" t="s">
        <v>148</v>
      </c>
      <c r="F141" s="2" t="s">
        <v>435</v>
      </c>
      <c r="G141" s="2">
        <v>7</v>
      </c>
      <c r="H141" s="25">
        <v>6760</v>
      </c>
      <c r="I141" s="8">
        <v>0</v>
      </c>
      <c r="J141" s="25">
        <v>47320</v>
      </c>
      <c r="K141" s="25">
        <f>G141*H141</f>
        <v>47320</v>
      </c>
      <c r="L141" s="8">
        <f>K141*I141/100</f>
        <v>0</v>
      </c>
      <c r="M141" s="2" t="s">
        <v>102</v>
      </c>
      <c r="N141" s="2" t="s">
        <v>176</v>
      </c>
      <c r="O141" s="2">
        <v>2025</v>
      </c>
      <c r="P141" s="2" t="str">
        <v>October</v>
      </c>
      <c r="Q141" s="2" t="s">
        <v>21</v>
      </c>
    </row>
    <row r="142" spans="1:17" x14ac:dyDescent="0.25">
      <c r="A142" s="2" t="s">
        <v>480</v>
      </c>
      <c r="B142" s="7">
        <v>45865</v>
      </c>
      <c r="C142" s="5" t="s">
        <v>76</v>
      </c>
      <c r="D142" s="5" t="s">
        <v>33</v>
      </c>
      <c r="E142" s="5" t="s">
        <v>34</v>
      </c>
      <c r="F142" s="2" t="s">
        <v>171</v>
      </c>
      <c r="G142" s="2">
        <v>1</v>
      </c>
      <c r="H142" s="25">
        <v>8490</v>
      </c>
      <c r="I142" s="8">
        <v>0</v>
      </c>
      <c r="J142" s="25">
        <v>8490</v>
      </c>
      <c r="K142" s="25">
        <f>G142*H142</f>
        <v>8490</v>
      </c>
      <c r="L142" s="8">
        <f>K142*I142/100</f>
        <v>0</v>
      </c>
      <c r="M142" s="2" t="s">
        <v>53</v>
      </c>
      <c r="N142" s="2" t="s">
        <v>341</v>
      </c>
      <c r="O142" s="2">
        <v>2025</v>
      </c>
      <c r="P142" s="2" t="str">
        <v>July</v>
      </c>
      <c r="Q142" s="2" t="s">
        <v>21</v>
      </c>
    </row>
    <row r="143" spans="1:17" x14ac:dyDescent="0.25">
      <c r="A143" s="2" t="s">
        <v>482</v>
      </c>
      <c r="B143" s="7">
        <v>45914</v>
      </c>
      <c r="C143" s="5" t="s">
        <v>135</v>
      </c>
      <c r="D143" s="5" t="s">
        <v>58</v>
      </c>
      <c r="E143" s="5" t="s">
        <v>34</v>
      </c>
      <c r="F143" s="2" t="s">
        <v>290</v>
      </c>
      <c r="G143" s="2">
        <v>9</v>
      </c>
      <c r="H143" s="25">
        <v>8420</v>
      </c>
      <c r="I143" s="8">
        <v>15</v>
      </c>
      <c r="J143" s="25">
        <v>64413</v>
      </c>
      <c r="K143" s="25">
        <f>G143*H143</f>
        <v>75780</v>
      </c>
      <c r="L143" s="8">
        <f>K143*I143/100</f>
        <v>11367</v>
      </c>
      <c r="M143" s="2" t="s">
        <v>94</v>
      </c>
      <c r="N143" s="2" t="s">
        <v>37</v>
      </c>
      <c r="O143" s="2">
        <v>2025</v>
      </c>
      <c r="P143" s="2" t="str">
        <v>September</v>
      </c>
      <c r="Q143" s="2" t="s">
        <v>21</v>
      </c>
    </row>
    <row r="144" spans="1:17" x14ac:dyDescent="0.25">
      <c r="A144" s="2" t="s">
        <v>484</v>
      </c>
      <c r="B144" s="7">
        <v>45781</v>
      </c>
      <c r="C144" s="5" t="s">
        <v>32</v>
      </c>
      <c r="D144" s="5" t="s">
        <v>33</v>
      </c>
      <c r="E144" s="5" t="s">
        <v>148</v>
      </c>
      <c r="F144" s="2" t="s">
        <v>60</v>
      </c>
      <c r="G144" s="2">
        <v>6</v>
      </c>
      <c r="H144" s="25">
        <v>1320</v>
      </c>
      <c r="I144" s="8">
        <v>5</v>
      </c>
      <c r="J144" s="25">
        <v>7524</v>
      </c>
      <c r="K144" s="25">
        <f>G144*H144</f>
        <v>7920</v>
      </c>
      <c r="L144" s="8">
        <f>K144*I144/100</f>
        <v>396</v>
      </c>
      <c r="M144" s="2" t="s">
        <v>94</v>
      </c>
      <c r="N144" s="2" t="s">
        <v>176</v>
      </c>
      <c r="O144" s="2">
        <v>2025</v>
      </c>
      <c r="P144" s="2" t="str">
        <v>May</v>
      </c>
      <c r="Q144" s="2" t="s">
        <v>47</v>
      </c>
    </row>
    <row r="145" spans="1:17" x14ac:dyDescent="0.25">
      <c r="A145" s="2" t="s">
        <v>486</v>
      </c>
      <c r="B145" s="7">
        <v>46021</v>
      </c>
      <c r="C145" s="5" t="s">
        <v>32</v>
      </c>
      <c r="D145" s="5" t="s">
        <v>33</v>
      </c>
      <c r="E145" s="5" t="s">
        <v>148</v>
      </c>
      <c r="F145" s="2" t="s">
        <v>60</v>
      </c>
      <c r="G145" s="2">
        <v>6</v>
      </c>
      <c r="H145" s="25">
        <v>10840</v>
      </c>
      <c r="I145" s="8">
        <v>10</v>
      </c>
      <c r="J145" s="25">
        <v>58536</v>
      </c>
      <c r="K145" s="25">
        <f>G145*H145</f>
        <v>65040</v>
      </c>
      <c r="L145" s="8">
        <f>K145*I145/100</f>
        <v>6504</v>
      </c>
      <c r="M145" s="2" t="s">
        <v>94</v>
      </c>
      <c r="N145" s="2" t="s">
        <v>188</v>
      </c>
      <c r="O145" s="2">
        <v>2025</v>
      </c>
      <c r="P145" s="2" t="str">
        <v>December</v>
      </c>
      <c r="Q145" s="2" t="s">
        <v>47</v>
      </c>
    </row>
    <row r="146" spans="1:17" x14ac:dyDescent="0.25">
      <c r="A146" s="2" t="s">
        <v>488</v>
      </c>
      <c r="B146" s="7">
        <v>45980</v>
      </c>
      <c r="C146" s="5" t="s">
        <v>76</v>
      </c>
      <c r="D146" s="5" t="s">
        <v>33</v>
      </c>
      <c r="E146" s="5" t="s">
        <v>25</v>
      </c>
      <c r="F146" s="2" t="s">
        <v>93</v>
      </c>
      <c r="G146" s="2">
        <v>11</v>
      </c>
      <c r="H146" s="25">
        <v>2660</v>
      </c>
      <c r="I146" s="8">
        <v>0</v>
      </c>
      <c r="J146" s="25">
        <v>29260</v>
      </c>
      <c r="K146" s="25">
        <f>G146*H146</f>
        <v>29260</v>
      </c>
      <c r="L146" s="8">
        <f>K146*I146/100</f>
        <v>0</v>
      </c>
      <c r="M146" s="2" t="s">
        <v>102</v>
      </c>
      <c r="N146" s="2" t="s">
        <v>411</v>
      </c>
      <c r="O146" s="2">
        <v>2025</v>
      </c>
      <c r="P146" s="2" t="str">
        <v>November</v>
      </c>
      <c r="Q146" s="2" t="s">
        <v>21</v>
      </c>
    </row>
    <row r="147" spans="1:17" x14ac:dyDescent="0.25">
      <c r="A147" s="2" t="s">
        <v>492</v>
      </c>
      <c r="B147" s="7">
        <v>45930</v>
      </c>
      <c r="C147" s="5" t="s">
        <v>32</v>
      </c>
      <c r="D147" s="5" t="s">
        <v>33</v>
      </c>
      <c r="E147" s="5" t="s">
        <v>179</v>
      </c>
      <c r="F147" s="2" t="s">
        <v>224</v>
      </c>
      <c r="G147" s="2">
        <v>1</v>
      </c>
      <c r="H147" s="25">
        <v>16710</v>
      </c>
      <c r="I147" s="8">
        <v>10</v>
      </c>
      <c r="J147" s="25">
        <v>15039</v>
      </c>
      <c r="K147" s="25">
        <f>G147*H147</f>
        <v>16710</v>
      </c>
      <c r="L147" s="8">
        <f>K147*I147/100</f>
        <v>1671</v>
      </c>
      <c r="M147" s="2" t="s">
        <v>53</v>
      </c>
      <c r="N147" s="2" t="s">
        <v>54</v>
      </c>
      <c r="O147" s="2">
        <v>2025</v>
      </c>
      <c r="P147" s="2" t="str">
        <v>September</v>
      </c>
      <c r="Q147" s="2" t="s">
        <v>47</v>
      </c>
    </row>
    <row r="148" spans="1:17" x14ac:dyDescent="0.25">
      <c r="A148" s="2" t="s">
        <v>494</v>
      </c>
      <c r="B148" s="7">
        <v>45982</v>
      </c>
      <c r="C148" s="5" t="s">
        <v>135</v>
      </c>
      <c r="D148" s="5" t="s">
        <v>58</v>
      </c>
      <c r="E148" s="5" t="s">
        <v>148</v>
      </c>
      <c r="F148" s="2" t="s">
        <v>379</v>
      </c>
      <c r="G148" s="2">
        <v>8</v>
      </c>
      <c r="H148" s="25">
        <v>13350</v>
      </c>
      <c r="I148" s="8">
        <v>0</v>
      </c>
      <c r="J148" s="25">
        <v>106800</v>
      </c>
      <c r="K148" s="25">
        <f>G148*H148</f>
        <v>106800</v>
      </c>
      <c r="L148" s="8">
        <f>K148*I148/100</f>
        <v>0</v>
      </c>
      <c r="M148" s="2" t="s">
        <v>139</v>
      </c>
      <c r="N148" s="2" t="s">
        <v>188</v>
      </c>
      <c r="O148" s="2">
        <v>2025</v>
      </c>
      <c r="P148" s="2" t="str">
        <v>November</v>
      </c>
      <c r="Q148" s="2" t="s">
        <v>47</v>
      </c>
    </row>
    <row r="149" spans="1:17" x14ac:dyDescent="0.25">
      <c r="A149" s="2" t="s">
        <v>496</v>
      </c>
      <c r="B149" s="7">
        <v>45661</v>
      </c>
      <c r="C149" s="5" t="s">
        <v>156</v>
      </c>
      <c r="D149" s="5" t="s">
        <v>51</v>
      </c>
      <c r="E149" s="5" t="s">
        <v>179</v>
      </c>
      <c r="F149" s="2" t="s">
        <v>184</v>
      </c>
      <c r="G149" s="2">
        <v>4</v>
      </c>
      <c r="H149" s="25">
        <v>8110</v>
      </c>
      <c r="I149" s="8">
        <v>10</v>
      </c>
      <c r="J149" s="25">
        <v>29196</v>
      </c>
      <c r="K149" s="25">
        <f>G149*H149</f>
        <v>32440</v>
      </c>
      <c r="L149" s="8">
        <f>K149*I149/100</f>
        <v>3244</v>
      </c>
      <c r="M149" s="2" t="s">
        <v>102</v>
      </c>
      <c r="N149" s="2" t="s">
        <v>176</v>
      </c>
      <c r="O149" s="2">
        <v>2025</v>
      </c>
      <c r="P149" s="2" t="str">
        <v>January</v>
      </c>
      <c r="Q149" s="2" t="s">
        <v>47</v>
      </c>
    </row>
    <row r="150" spans="1:17" x14ac:dyDescent="0.25">
      <c r="A150" s="2" t="s">
        <v>497</v>
      </c>
      <c r="B150" s="7">
        <v>45947</v>
      </c>
      <c r="C150" s="5" t="s">
        <v>24</v>
      </c>
      <c r="D150" s="5" t="s">
        <v>16</v>
      </c>
      <c r="E150" s="5" t="s">
        <v>295</v>
      </c>
      <c r="F150" s="2" t="s">
        <v>132</v>
      </c>
      <c r="G150" s="2">
        <v>10</v>
      </c>
      <c r="H150" s="25">
        <v>26160</v>
      </c>
      <c r="I150" s="8">
        <v>15</v>
      </c>
      <c r="J150" s="25">
        <v>222360</v>
      </c>
      <c r="K150" s="25">
        <f>G150*H150</f>
        <v>261600</v>
      </c>
      <c r="L150" s="8">
        <f>K150*I150/100</f>
        <v>39240</v>
      </c>
      <c r="M150" s="2" t="s">
        <v>94</v>
      </c>
      <c r="N150" s="2" t="s">
        <v>37</v>
      </c>
      <c r="O150" s="2">
        <v>2025</v>
      </c>
      <c r="P150" s="2" t="str">
        <v>October</v>
      </c>
      <c r="Q150" s="2" t="s">
        <v>21</v>
      </c>
    </row>
    <row r="151" spans="1:17" x14ac:dyDescent="0.25">
      <c r="A151" s="2" t="s">
        <v>499</v>
      </c>
      <c r="B151" s="7">
        <v>45856</v>
      </c>
      <c r="C151" s="5" t="s">
        <v>41</v>
      </c>
      <c r="D151" s="5" t="s">
        <v>42</v>
      </c>
      <c r="E151" s="5" t="s">
        <v>34</v>
      </c>
      <c r="F151" s="2" t="s">
        <v>71</v>
      </c>
      <c r="G151" s="2">
        <v>8</v>
      </c>
      <c r="H151" s="25">
        <v>7710</v>
      </c>
      <c r="I151" s="8">
        <v>0</v>
      </c>
      <c r="J151" s="25">
        <v>61680</v>
      </c>
      <c r="K151" s="25">
        <f>G151*H151</f>
        <v>61680</v>
      </c>
      <c r="L151" s="8">
        <f>K151*I151/100</f>
        <v>0</v>
      </c>
      <c r="M151" s="2" t="s">
        <v>94</v>
      </c>
      <c r="N151" s="2" t="s">
        <v>68</v>
      </c>
      <c r="O151" s="2">
        <v>2025</v>
      </c>
      <c r="P151" s="2" t="str">
        <v>July</v>
      </c>
      <c r="Q151" s="2" t="s">
        <v>21</v>
      </c>
    </row>
    <row r="152" spans="1:17" x14ac:dyDescent="0.25">
      <c r="A152" s="2" t="s">
        <v>502</v>
      </c>
      <c r="B152" s="7">
        <v>45683</v>
      </c>
      <c r="C152" s="5" t="s">
        <v>32</v>
      </c>
      <c r="D152" s="5" t="s">
        <v>33</v>
      </c>
      <c r="E152" s="5" t="s">
        <v>148</v>
      </c>
      <c r="F152" s="2" t="s">
        <v>209</v>
      </c>
      <c r="G152" s="2">
        <v>8</v>
      </c>
      <c r="H152" s="25">
        <v>1120</v>
      </c>
      <c r="I152" s="8">
        <v>10</v>
      </c>
      <c r="J152" s="25">
        <v>8064</v>
      </c>
      <c r="K152" s="25">
        <f>G152*H152</f>
        <v>8960</v>
      </c>
      <c r="L152" s="8">
        <f>K152*I152/100</f>
        <v>896</v>
      </c>
      <c r="M152" s="2" t="s">
        <v>139</v>
      </c>
      <c r="N152" s="2" t="s">
        <v>411</v>
      </c>
      <c r="O152" s="2">
        <v>2025</v>
      </c>
      <c r="P152" s="2" t="str">
        <v>January</v>
      </c>
      <c r="Q152" s="2" t="s">
        <v>47</v>
      </c>
    </row>
    <row r="153" spans="1:17" x14ac:dyDescent="0.25">
      <c r="A153" s="2" t="s">
        <v>505</v>
      </c>
      <c r="B153" s="7">
        <v>46011</v>
      </c>
      <c r="C153" s="5" t="s">
        <v>238</v>
      </c>
      <c r="D153" s="5" t="s">
        <v>51</v>
      </c>
      <c r="E153" s="5" t="s">
        <v>179</v>
      </c>
      <c r="F153" s="2" t="s">
        <v>232</v>
      </c>
      <c r="G153" s="2">
        <v>1</v>
      </c>
      <c r="H153" s="25">
        <v>16220</v>
      </c>
      <c r="I153" s="8">
        <v>15</v>
      </c>
      <c r="J153" s="25">
        <v>13787</v>
      </c>
      <c r="K153" s="25">
        <f>G153*H153</f>
        <v>16220</v>
      </c>
      <c r="L153" s="8">
        <f>K153*I153/100</f>
        <v>2433</v>
      </c>
      <c r="M153" s="2" t="s">
        <v>139</v>
      </c>
      <c r="N153" s="2" t="s">
        <v>176</v>
      </c>
      <c r="O153" s="2">
        <v>2025</v>
      </c>
      <c r="P153" s="2" t="str">
        <v>December</v>
      </c>
      <c r="Q153" s="2" t="s">
        <v>47</v>
      </c>
    </row>
    <row r="154" spans="1:17" x14ac:dyDescent="0.25">
      <c r="A154" s="2" t="s">
        <v>507</v>
      </c>
      <c r="B154" s="7">
        <v>45891</v>
      </c>
      <c r="C154" s="5" t="s">
        <v>135</v>
      </c>
      <c r="D154" s="5" t="s">
        <v>58</v>
      </c>
      <c r="E154" s="5" t="s">
        <v>179</v>
      </c>
      <c r="F154" s="2" t="s">
        <v>143</v>
      </c>
      <c r="G154" s="2">
        <v>9</v>
      </c>
      <c r="H154" s="25">
        <v>7370</v>
      </c>
      <c r="I154" s="8">
        <v>0</v>
      </c>
      <c r="J154" s="25">
        <v>66330</v>
      </c>
      <c r="K154" s="25">
        <f>G154*H154</f>
        <v>66330</v>
      </c>
      <c r="L154" s="8">
        <f>K154*I154/100</f>
        <v>0</v>
      </c>
      <c r="M154" s="2" t="s">
        <v>94</v>
      </c>
      <c r="N154" s="2" t="s">
        <v>54</v>
      </c>
      <c r="O154" s="2">
        <v>2025</v>
      </c>
      <c r="P154" s="2" t="str">
        <v>August</v>
      </c>
      <c r="Q154" s="2" t="s">
        <v>47</v>
      </c>
    </row>
    <row r="155" spans="1:17" x14ac:dyDescent="0.25">
      <c r="A155" s="2" t="s">
        <v>509</v>
      </c>
      <c r="B155" s="7">
        <v>46021</v>
      </c>
      <c r="C155" s="5" t="s">
        <v>41</v>
      </c>
      <c r="D155" s="5" t="s">
        <v>42</v>
      </c>
      <c r="E155" s="5" t="s">
        <v>34</v>
      </c>
      <c r="F155" s="2" t="s">
        <v>18</v>
      </c>
      <c r="G155" s="2">
        <v>1</v>
      </c>
      <c r="H155" s="25">
        <v>19940</v>
      </c>
      <c r="I155" s="8">
        <v>15</v>
      </c>
      <c r="J155" s="25">
        <v>16949</v>
      </c>
      <c r="K155" s="25">
        <f>G155*H155</f>
        <v>19940</v>
      </c>
      <c r="L155" s="8">
        <f>K155*I155/100</f>
        <v>2991</v>
      </c>
      <c r="M155" s="2" t="s">
        <v>94</v>
      </c>
      <c r="N155" s="2" t="s">
        <v>54</v>
      </c>
      <c r="O155" s="2">
        <v>2025</v>
      </c>
      <c r="P155" s="2" t="str">
        <v>December</v>
      </c>
      <c r="Q155" s="2" t="s">
        <v>47</v>
      </c>
    </row>
    <row r="156" spans="1:17" x14ac:dyDescent="0.25">
      <c r="A156" s="2" t="s">
        <v>511</v>
      </c>
      <c r="B156" s="7">
        <v>45774</v>
      </c>
      <c r="C156" s="5" t="s">
        <v>24</v>
      </c>
      <c r="D156" s="5" t="s">
        <v>16</v>
      </c>
      <c r="E156" s="5" t="s">
        <v>295</v>
      </c>
      <c r="F156" s="2" t="s">
        <v>101</v>
      </c>
      <c r="G156" s="2">
        <v>6</v>
      </c>
      <c r="H156" s="25">
        <v>3240</v>
      </c>
      <c r="I156" s="8">
        <v>10</v>
      </c>
      <c r="J156" s="25">
        <v>17496</v>
      </c>
      <c r="K156" s="25">
        <f>G156*H156</f>
        <v>19440</v>
      </c>
      <c r="L156" s="8">
        <f>K156*I156/100</f>
        <v>1944</v>
      </c>
      <c r="M156" s="2" t="s">
        <v>53</v>
      </c>
      <c r="N156" s="2" t="s">
        <v>79</v>
      </c>
      <c r="O156" s="2">
        <v>2025</v>
      </c>
      <c r="P156" s="2" t="str">
        <v>April</v>
      </c>
      <c r="Q156" s="2" t="s">
        <v>21</v>
      </c>
    </row>
    <row r="157" spans="1:17" x14ac:dyDescent="0.25">
      <c r="A157" s="2" t="s">
        <v>512</v>
      </c>
      <c r="B157" s="7">
        <v>45983</v>
      </c>
      <c r="C157" s="5" t="s">
        <v>238</v>
      </c>
      <c r="D157" s="5" t="s">
        <v>51</v>
      </c>
      <c r="E157" s="5" t="s">
        <v>179</v>
      </c>
      <c r="F157" s="2" t="s">
        <v>239</v>
      </c>
      <c r="G157" s="2">
        <v>7</v>
      </c>
      <c r="H157" s="25">
        <v>47440</v>
      </c>
      <c r="I157" s="8">
        <v>0</v>
      </c>
      <c r="J157" s="25">
        <v>332080</v>
      </c>
      <c r="K157" s="25">
        <f>G157*H157</f>
        <v>332080</v>
      </c>
      <c r="L157" s="8">
        <f>K157*I157/100</f>
        <v>0</v>
      </c>
      <c r="M157" s="2" t="s">
        <v>139</v>
      </c>
      <c r="N157" s="2" t="s">
        <v>168</v>
      </c>
      <c r="O157" s="2">
        <v>2025</v>
      </c>
      <c r="P157" s="2" t="str">
        <v>November</v>
      </c>
      <c r="Q157" s="2" t="s">
        <v>47</v>
      </c>
    </row>
    <row r="158" spans="1:17" x14ac:dyDescent="0.25">
      <c r="A158" s="2" t="s">
        <v>514</v>
      </c>
      <c r="B158" s="7">
        <v>45710</v>
      </c>
      <c r="C158" s="5" t="s">
        <v>238</v>
      </c>
      <c r="D158" s="5" t="s">
        <v>51</v>
      </c>
      <c r="E158" s="5" t="s">
        <v>148</v>
      </c>
      <c r="F158" s="2" t="s">
        <v>209</v>
      </c>
      <c r="G158" s="2">
        <v>9</v>
      </c>
      <c r="H158" s="25">
        <v>2520</v>
      </c>
      <c r="I158" s="8">
        <v>0</v>
      </c>
      <c r="J158" s="25">
        <v>22680</v>
      </c>
      <c r="K158" s="25">
        <f>G158*H158</f>
        <v>22680</v>
      </c>
      <c r="L158" s="8">
        <f>K158*I158/100</f>
        <v>0</v>
      </c>
      <c r="M158" s="2" t="s">
        <v>53</v>
      </c>
      <c r="N158" s="2" t="s">
        <v>266</v>
      </c>
      <c r="O158" s="2">
        <v>2025</v>
      </c>
      <c r="P158" s="2" t="str">
        <v>February</v>
      </c>
      <c r="Q158" s="2" t="s">
        <v>21</v>
      </c>
    </row>
    <row r="159" spans="1:17" x14ac:dyDescent="0.25">
      <c r="A159" s="2" t="s">
        <v>516</v>
      </c>
      <c r="B159" s="7">
        <v>45885</v>
      </c>
      <c r="C159" s="5" t="s">
        <v>156</v>
      </c>
      <c r="D159" s="5" t="s">
        <v>51</v>
      </c>
      <c r="E159" s="5" t="s">
        <v>148</v>
      </c>
      <c r="F159" s="2" t="s">
        <v>379</v>
      </c>
      <c r="G159" s="2">
        <v>2</v>
      </c>
      <c r="H159" s="25">
        <v>13420</v>
      </c>
      <c r="I159" s="8">
        <v>5</v>
      </c>
      <c r="J159" s="25">
        <v>25498</v>
      </c>
      <c r="K159" s="25">
        <f>G159*H159</f>
        <v>26840</v>
      </c>
      <c r="L159" s="8">
        <f>K159*I159/100</f>
        <v>1342</v>
      </c>
      <c r="M159" s="2" t="s">
        <v>139</v>
      </c>
      <c r="N159" s="2" t="s">
        <v>68</v>
      </c>
      <c r="O159" s="2">
        <v>2025</v>
      </c>
      <c r="P159" s="2" t="str">
        <v>August</v>
      </c>
      <c r="Q159" s="2" t="s">
        <v>47</v>
      </c>
    </row>
    <row r="160" spans="1:17" x14ac:dyDescent="0.25">
      <c r="A160" s="2" t="s">
        <v>518</v>
      </c>
      <c r="B160" s="7">
        <v>45743</v>
      </c>
      <c r="C160" s="5" t="s">
        <v>135</v>
      </c>
      <c r="D160" s="2" t="s">
        <v>51</v>
      </c>
      <c r="E160" s="2" t="s">
        <v>295</v>
      </c>
      <c r="F160" s="2" t="s">
        <v>66</v>
      </c>
      <c r="G160" s="2">
        <v>7</v>
      </c>
      <c r="H160" s="25">
        <v>470</v>
      </c>
      <c r="I160" s="8">
        <v>0</v>
      </c>
      <c r="J160" s="25">
        <v>3290</v>
      </c>
      <c r="K160" s="25">
        <f>G160*H160</f>
        <v>3290</v>
      </c>
      <c r="L160" s="8">
        <f>K160*I160/100</f>
        <v>0</v>
      </c>
      <c r="M160" s="2" t="s">
        <v>94</v>
      </c>
      <c r="N160" s="2" t="s">
        <v>411</v>
      </c>
      <c r="O160" s="2">
        <v>2025</v>
      </c>
      <c r="P160" s="2" t="str">
        <v>March</v>
      </c>
      <c r="Q160" s="2" t="s">
        <v>21</v>
      </c>
    </row>
    <row r="161" spans="1:17" x14ac:dyDescent="0.25">
      <c r="A161" s="2" t="s">
        <v>520</v>
      </c>
      <c r="B161" s="7">
        <v>45663</v>
      </c>
      <c r="C161" s="5" t="s">
        <v>238</v>
      </c>
      <c r="D161" s="5" t="s">
        <v>51</v>
      </c>
      <c r="E161" s="5" t="s">
        <v>34</v>
      </c>
      <c r="F161" s="2" t="s">
        <v>18</v>
      </c>
      <c r="G161" s="2">
        <v>1</v>
      </c>
      <c r="H161" s="25">
        <v>42070</v>
      </c>
      <c r="I161" s="8">
        <v>0</v>
      </c>
      <c r="J161" s="25">
        <v>42070</v>
      </c>
      <c r="K161" s="25">
        <f>G161*H161</f>
        <v>42070</v>
      </c>
      <c r="L161" s="8">
        <f>K161*I161/100</f>
        <v>0</v>
      </c>
      <c r="M161" s="2" t="s">
        <v>139</v>
      </c>
      <c r="N161" s="2" t="s">
        <v>344</v>
      </c>
      <c r="O161" s="2">
        <v>2025</v>
      </c>
      <c r="P161" s="2" t="str">
        <v>January</v>
      </c>
      <c r="Q161" s="2" t="s">
        <v>47</v>
      </c>
    </row>
    <row r="162" spans="1:17" x14ac:dyDescent="0.25">
      <c r="A162" s="2" t="s">
        <v>522</v>
      </c>
      <c r="B162" s="7">
        <v>45901</v>
      </c>
      <c r="C162" s="5" t="s">
        <v>135</v>
      </c>
      <c r="D162" s="5" t="s">
        <v>58</v>
      </c>
      <c r="E162" s="5" t="s">
        <v>25</v>
      </c>
      <c r="F162" s="2" t="s">
        <v>248</v>
      </c>
      <c r="G162" s="2">
        <v>11</v>
      </c>
      <c r="H162" s="25">
        <v>60090</v>
      </c>
      <c r="I162" s="8">
        <v>10</v>
      </c>
      <c r="J162" s="25">
        <v>594891</v>
      </c>
      <c r="K162" s="25">
        <f>G162*H162</f>
        <v>660990</v>
      </c>
      <c r="L162" s="8">
        <f>K162*I162/100</f>
        <v>66099</v>
      </c>
      <c r="M162" s="2" t="s">
        <v>139</v>
      </c>
      <c r="N162" s="2" t="s">
        <v>341</v>
      </c>
      <c r="O162" s="2">
        <v>2025</v>
      </c>
      <c r="P162" s="2" t="str">
        <v>September</v>
      </c>
      <c r="Q162" s="2" t="s">
        <v>21</v>
      </c>
    </row>
    <row r="163" spans="1:17" x14ac:dyDescent="0.25">
      <c r="A163" s="2" t="s">
        <v>525</v>
      </c>
      <c r="B163" s="7">
        <v>45884</v>
      </c>
      <c r="C163" s="5" t="s">
        <v>238</v>
      </c>
      <c r="D163" s="5" t="s">
        <v>51</v>
      </c>
      <c r="E163" s="5" t="s">
        <v>25</v>
      </c>
      <c r="F163" s="2" t="s">
        <v>106</v>
      </c>
      <c r="G163" s="2">
        <v>8</v>
      </c>
      <c r="H163" s="25">
        <v>26620</v>
      </c>
      <c r="I163" s="8">
        <v>0</v>
      </c>
      <c r="J163" s="25">
        <v>212960</v>
      </c>
      <c r="K163" s="25">
        <f>G163*H163</f>
        <v>212960</v>
      </c>
      <c r="L163" s="8">
        <f>K163*I163/100</f>
        <v>0</v>
      </c>
      <c r="M163" s="2" t="s">
        <v>53</v>
      </c>
      <c r="N163" s="2" t="s">
        <v>46</v>
      </c>
      <c r="O163" s="2">
        <v>2025</v>
      </c>
      <c r="P163" s="2" t="str">
        <v>August</v>
      </c>
      <c r="Q163" s="2" t="s">
        <v>21</v>
      </c>
    </row>
    <row r="164" spans="1:17" x14ac:dyDescent="0.25">
      <c r="A164" s="2" t="s">
        <v>527</v>
      </c>
      <c r="B164" s="7">
        <v>45767</v>
      </c>
      <c r="C164" s="5" t="s">
        <v>32</v>
      </c>
      <c r="D164" s="5" t="s">
        <v>33</v>
      </c>
      <c r="E164" s="5" t="s">
        <v>295</v>
      </c>
      <c r="F164" s="2" t="s">
        <v>219</v>
      </c>
      <c r="G164" s="2">
        <v>3</v>
      </c>
      <c r="H164" s="25">
        <v>48410</v>
      </c>
      <c r="I164" s="8">
        <v>0</v>
      </c>
      <c r="J164" s="25">
        <v>145230</v>
      </c>
      <c r="K164" s="25">
        <f>G164*H164</f>
        <v>145230</v>
      </c>
      <c r="L164" s="8">
        <f>K164*I164/100</f>
        <v>0</v>
      </c>
      <c r="M164" s="2" t="s">
        <v>53</v>
      </c>
      <c r="N164" s="2" t="s">
        <v>341</v>
      </c>
      <c r="O164" s="2">
        <v>2025</v>
      </c>
      <c r="P164" s="2" t="str">
        <v>April</v>
      </c>
      <c r="Q164" s="2" t="s">
        <v>21</v>
      </c>
    </row>
    <row r="165" spans="1:17" x14ac:dyDescent="0.25">
      <c r="A165" s="2" t="s">
        <v>529</v>
      </c>
      <c r="B165" s="7">
        <v>45717</v>
      </c>
      <c r="C165" s="5" t="s">
        <v>76</v>
      </c>
      <c r="D165" s="5" t="s">
        <v>33</v>
      </c>
      <c r="E165" s="5" t="s">
        <v>25</v>
      </c>
      <c r="F165" s="2" t="s">
        <v>248</v>
      </c>
      <c r="G165" s="2">
        <v>2</v>
      </c>
      <c r="H165" s="25">
        <v>8380</v>
      </c>
      <c r="I165" s="8">
        <v>5</v>
      </c>
      <c r="J165" s="25">
        <v>15922</v>
      </c>
      <c r="K165" s="25">
        <f>G165*H165</f>
        <v>16760</v>
      </c>
      <c r="L165" s="8">
        <f>K165*I165/100</f>
        <v>838</v>
      </c>
      <c r="M165" s="2" t="s">
        <v>94</v>
      </c>
      <c r="N165" s="2" t="s">
        <v>266</v>
      </c>
      <c r="O165" s="2">
        <v>2025</v>
      </c>
      <c r="P165" s="2" t="str">
        <v>March</v>
      </c>
      <c r="Q165" s="2" t="s">
        <v>47</v>
      </c>
    </row>
    <row r="166" spans="1:17" x14ac:dyDescent="0.25">
      <c r="A166" s="2" t="s">
        <v>532</v>
      </c>
      <c r="B166" s="7">
        <v>45720</v>
      </c>
      <c r="C166" s="5" t="s">
        <v>238</v>
      </c>
      <c r="D166" s="5" t="s">
        <v>51</v>
      </c>
      <c r="E166" s="5" t="s">
        <v>179</v>
      </c>
      <c r="F166" s="2" t="s">
        <v>255</v>
      </c>
      <c r="G166" s="2">
        <v>1</v>
      </c>
      <c r="H166" s="25">
        <v>66920</v>
      </c>
      <c r="I166" s="8">
        <v>5</v>
      </c>
      <c r="J166" s="25">
        <v>63574</v>
      </c>
      <c r="K166" s="25">
        <f>G166*H166</f>
        <v>66920</v>
      </c>
      <c r="L166" s="8">
        <f>K166*I166/100</f>
        <v>3346</v>
      </c>
      <c r="M166" s="2" t="s">
        <v>53</v>
      </c>
      <c r="N166" s="2" t="s">
        <v>46</v>
      </c>
      <c r="O166" s="2">
        <v>2025</v>
      </c>
      <c r="P166" s="2" t="str">
        <v>March</v>
      </c>
      <c r="Q166" s="2" t="s">
        <v>21</v>
      </c>
    </row>
    <row r="167" spans="1:17" x14ac:dyDescent="0.25">
      <c r="A167" s="2" t="s">
        <v>533</v>
      </c>
      <c r="B167" s="7">
        <v>45733</v>
      </c>
      <c r="C167" s="5" t="s">
        <v>156</v>
      </c>
      <c r="D167" s="5" t="s">
        <v>51</v>
      </c>
      <c r="E167" s="5" t="s">
        <v>25</v>
      </c>
      <c r="F167" s="2" t="s">
        <v>255</v>
      </c>
      <c r="G167" s="2">
        <v>11</v>
      </c>
      <c r="H167" s="25">
        <v>13200</v>
      </c>
      <c r="I167" s="8">
        <v>0</v>
      </c>
      <c r="J167" s="25">
        <v>145200</v>
      </c>
      <c r="K167" s="25">
        <f>G167*H167</f>
        <v>145200</v>
      </c>
      <c r="L167" s="8">
        <f>K167*I167/100</f>
        <v>0</v>
      </c>
      <c r="M167" s="2" t="s">
        <v>102</v>
      </c>
      <c r="N167" s="2" t="s">
        <v>37</v>
      </c>
      <c r="O167" s="2">
        <v>2025</v>
      </c>
      <c r="P167" s="2" t="str">
        <v>March</v>
      </c>
      <c r="Q167" s="2" t="s">
        <v>47</v>
      </c>
    </row>
    <row r="168" spans="1:17" x14ac:dyDescent="0.25">
      <c r="A168" s="2" t="s">
        <v>535</v>
      </c>
      <c r="B168" s="7">
        <v>45882</v>
      </c>
      <c r="C168" s="5" t="s">
        <v>32</v>
      </c>
      <c r="D168" s="5" t="s">
        <v>33</v>
      </c>
      <c r="E168" s="5" t="s">
        <v>34</v>
      </c>
      <c r="F168" s="2" t="s">
        <v>290</v>
      </c>
      <c r="G168" s="2">
        <v>12</v>
      </c>
      <c r="H168" s="25">
        <v>4530</v>
      </c>
      <c r="I168" s="8">
        <v>5</v>
      </c>
      <c r="J168" s="25">
        <v>51642</v>
      </c>
      <c r="K168" s="25">
        <f>G168*H168</f>
        <v>54360</v>
      </c>
      <c r="L168" s="8">
        <f>K168*I168/100</f>
        <v>2718</v>
      </c>
      <c r="M168" s="2" t="s">
        <v>102</v>
      </c>
      <c r="N168" s="2" t="s">
        <v>188</v>
      </c>
      <c r="O168" s="2">
        <v>2025</v>
      </c>
      <c r="P168" s="2" t="str">
        <v>August</v>
      </c>
      <c r="Q168" s="2" t="s">
        <v>47</v>
      </c>
    </row>
    <row r="169" spans="1:17" x14ac:dyDescent="0.25">
      <c r="A169" s="2" t="s">
        <v>537</v>
      </c>
      <c r="B169" s="7">
        <v>45713</v>
      </c>
      <c r="C169" s="5" t="s">
        <v>156</v>
      </c>
      <c r="D169" s="5" t="s">
        <v>51</v>
      </c>
      <c r="E169" s="5" t="s">
        <v>25</v>
      </c>
      <c r="F169" s="2" t="s">
        <v>255</v>
      </c>
      <c r="G169" s="2">
        <v>11</v>
      </c>
      <c r="H169" s="25">
        <v>50090</v>
      </c>
      <c r="I169" s="8">
        <v>15</v>
      </c>
      <c r="J169" s="25">
        <v>468341.5</v>
      </c>
      <c r="K169" s="25">
        <f>G169*H169</f>
        <v>550990</v>
      </c>
      <c r="L169" s="8">
        <f>K169*I169/100</f>
        <v>82648.5</v>
      </c>
      <c r="M169" s="2" t="s">
        <v>139</v>
      </c>
      <c r="N169" s="2" t="s">
        <v>344</v>
      </c>
      <c r="O169" s="2">
        <v>2025</v>
      </c>
      <c r="P169" s="2" t="str">
        <v>February</v>
      </c>
      <c r="Q169" s="2" t="s">
        <v>47</v>
      </c>
    </row>
    <row r="170" spans="1:17" x14ac:dyDescent="0.25">
      <c r="A170" s="2" t="s">
        <v>539</v>
      </c>
      <c r="B170" s="7">
        <v>45721</v>
      </c>
      <c r="C170" s="5" t="s">
        <v>41</v>
      </c>
      <c r="D170" s="5" t="s">
        <v>42</v>
      </c>
      <c r="E170" s="5" t="s">
        <v>179</v>
      </c>
      <c r="F170" s="2" t="s">
        <v>184</v>
      </c>
      <c r="G170" s="2">
        <v>5</v>
      </c>
      <c r="H170" s="25">
        <v>8510</v>
      </c>
      <c r="I170" s="8">
        <v>0</v>
      </c>
      <c r="J170" s="25">
        <v>42550</v>
      </c>
      <c r="K170" s="25">
        <f>G170*H170</f>
        <v>42550</v>
      </c>
      <c r="L170" s="8">
        <f>K170*I170/100</f>
        <v>0</v>
      </c>
      <c r="M170" s="2" t="s">
        <v>94</v>
      </c>
      <c r="N170" s="2" t="s">
        <v>344</v>
      </c>
      <c r="O170" s="2">
        <v>2025</v>
      </c>
      <c r="P170" s="2" t="str">
        <v>March</v>
      </c>
      <c r="Q170" s="2" t="s">
        <v>21</v>
      </c>
    </row>
    <row r="171" spans="1:17" x14ac:dyDescent="0.25">
      <c r="A171" s="2" t="s">
        <v>541</v>
      </c>
      <c r="B171" s="7">
        <v>45782</v>
      </c>
      <c r="C171" s="5" t="s">
        <v>156</v>
      </c>
      <c r="D171" s="5" t="s">
        <v>51</v>
      </c>
      <c r="E171" s="5" t="s">
        <v>179</v>
      </c>
      <c r="F171" s="2" t="s">
        <v>543</v>
      </c>
      <c r="G171" s="2">
        <v>9</v>
      </c>
      <c r="H171" s="25">
        <v>1170</v>
      </c>
      <c r="I171" s="8">
        <v>0</v>
      </c>
      <c r="J171" s="25">
        <v>10530</v>
      </c>
      <c r="K171" s="25">
        <f>G171*H171</f>
        <v>10530</v>
      </c>
      <c r="L171" s="8">
        <f>K171*I171/100</f>
        <v>0</v>
      </c>
      <c r="M171" s="2" t="s">
        <v>102</v>
      </c>
      <c r="N171" s="2" t="s">
        <v>344</v>
      </c>
      <c r="O171" s="2">
        <v>2025</v>
      </c>
      <c r="P171" s="2" t="str">
        <v>May</v>
      </c>
      <c r="Q171" s="2" t="s">
        <v>21</v>
      </c>
    </row>
    <row r="172" spans="1:17" x14ac:dyDescent="0.25">
      <c r="A172" s="2" t="s">
        <v>544</v>
      </c>
      <c r="B172" s="7">
        <v>45727</v>
      </c>
      <c r="C172" s="5" t="s">
        <v>24</v>
      </c>
      <c r="D172" s="5" t="s">
        <v>16</v>
      </c>
      <c r="E172" s="5" t="s">
        <v>295</v>
      </c>
      <c r="F172" s="2" t="s">
        <v>132</v>
      </c>
      <c r="G172" s="2">
        <v>11</v>
      </c>
      <c r="H172" s="25">
        <v>490</v>
      </c>
      <c r="I172" s="8">
        <v>0</v>
      </c>
      <c r="J172" s="25">
        <v>5390</v>
      </c>
      <c r="K172" s="25">
        <f>G172*H172</f>
        <v>5390</v>
      </c>
      <c r="L172" s="8">
        <f>K172*I172/100</f>
        <v>0</v>
      </c>
      <c r="M172" s="2" t="s">
        <v>139</v>
      </c>
      <c r="N172" s="2" t="s">
        <v>176</v>
      </c>
      <c r="O172" s="2">
        <v>2025</v>
      </c>
      <c r="P172" s="2" t="str">
        <v>March</v>
      </c>
      <c r="Q172" s="2" t="s">
        <v>21</v>
      </c>
    </row>
    <row r="173" spans="1:17" x14ac:dyDescent="0.25">
      <c r="A173" s="2" t="s">
        <v>546</v>
      </c>
      <c r="B173" s="7">
        <v>45676</v>
      </c>
      <c r="C173" s="5" t="s">
        <v>41</v>
      </c>
      <c r="D173" s="5" t="s">
        <v>42</v>
      </c>
      <c r="E173" s="5" t="s">
        <v>295</v>
      </c>
      <c r="F173" s="2" t="s">
        <v>126</v>
      </c>
      <c r="G173" s="2">
        <v>12</v>
      </c>
      <c r="H173" s="25">
        <v>67900</v>
      </c>
      <c r="I173" s="8">
        <v>10</v>
      </c>
      <c r="J173" s="25">
        <v>733320</v>
      </c>
      <c r="K173" s="25">
        <f>G173*H173</f>
        <v>814800</v>
      </c>
      <c r="L173" s="8">
        <f>K173*I173/100</f>
        <v>81480</v>
      </c>
      <c r="M173" s="2" t="s">
        <v>94</v>
      </c>
      <c r="N173" s="2" t="s">
        <v>168</v>
      </c>
      <c r="O173" s="2">
        <v>2025</v>
      </c>
      <c r="P173" s="2" t="str">
        <v>January</v>
      </c>
      <c r="Q173" s="2" t="s">
        <v>47</v>
      </c>
    </row>
    <row r="174" spans="1:17" x14ac:dyDescent="0.25">
      <c r="A174" s="2" t="s">
        <v>548</v>
      </c>
      <c r="B174" s="7">
        <v>45677</v>
      </c>
      <c r="C174" s="5" t="s">
        <v>238</v>
      </c>
      <c r="D174" s="5" t="s">
        <v>51</v>
      </c>
      <c r="E174" s="5" t="s">
        <v>34</v>
      </c>
      <c r="F174" s="2" t="s">
        <v>374</v>
      </c>
      <c r="G174" s="2">
        <v>1</v>
      </c>
      <c r="H174" s="25">
        <v>46020</v>
      </c>
      <c r="I174" s="8">
        <v>0</v>
      </c>
      <c r="J174" s="25">
        <v>46020</v>
      </c>
      <c r="K174" s="25">
        <f>G174*H174</f>
        <v>46020</v>
      </c>
      <c r="L174" s="8">
        <f>K174*I174/100</f>
        <v>0</v>
      </c>
      <c r="M174" s="2" t="s">
        <v>102</v>
      </c>
      <c r="N174" s="2" t="s">
        <v>411</v>
      </c>
      <c r="O174" s="2">
        <v>2025</v>
      </c>
      <c r="P174" s="2" t="str">
        <v>January</v>
      </c>
      <c r="Q174" s="2" t="s">
        <v>47</v>
      </c>
    </row>
    <row r="175" spans="1:17" x14ac:dyDescent="0.25">
      <c r="A175" s="2" t="s">
        <v>550</v>
      </c>
      <c r="B175" s="7">
        <v>45687</v>
      </c>
      <c r="C175" s="5" t="s">
        <v>32</v>
      </c>
      <c r="D175" s="5" t="s">
        <v>33</v>
      </c>
      <c r="E175" s="5" t="s">
        <v>295</v>
      </c>
      <c r="F175" s="2" t="s">
        <v>101</v>
      </c>
      <c r="G175" s="2">
        <v>3</v>
      </c>
      <c r="H175" s="25">
        <v>5570</v>
      </c>
      <c r="I175" s="8">
        <v>0</v>
      </c>
      <c r="J175" s="25">
        <v>16710</v>
      </c>
      <c r="K175" s="25">
        <f>G175*H175</f>
        <v>16710</v>
      </c>
      <c r="L175" s="8">
        <f>K175*I175/100</f>
        <v>0</v>
      </c>
      <c r="M175" s="2" t="s">
        <v>139</v>
      </c>
      <c r="N175" s="2" t="s">
        <v>168</v>
      </c>
      <c r="O175" s="2">
        <v>2025</v>
      </c>
      <c r="P175" s="2" t="str">
        <v>January</v>
      </c>
      <c r="Q175" s="2" t="s">
        <v>21</v>
      </c>
    </row>
    <row r="176" spans="1:17" x14ac:dyDescent="0.25">
      <c r="A176" s="2" t="s">
        <v>552</v>
      </c>
      <c r="B176" s="7">
        <v>45782</v>
      </c>
      <c r="C176" s="5" t="s">
        <v>76</v>
      </c>
      <c r="D176" s="5" t="s">
        <v>33</v>
      </c>
      <c r="E176" s="5" t="s">
        <v>179</v>
      </c>
      <c r="F176" s="2" t="s">
        <v>232</v>
      </c>
      <c r="G176" s="2">
        <v>3</v>
      </c>
      <c r="H176" s="25">
        <v>11880</v>
      </c>
      <c r="I176" s="8">
        <v>0</v>
      </c>
      <c r="J176" s="25">
        <v>35640</v>
      </c>
      <c r="K176" s="25">
        <f>G176*H176</f>
        <v>35640</v>
      </c>
      <c r="L176" s="8">
        <f>K176*I176/100</f>
        <v>0</v>
      </c>
      <c r="M176" s="2" t="s">
        <v>102</v>
      </c>
      <c r="N176" s="2" t="s">
        <v>266</v>
      </c>
      <c r="O176" s="2">
        <v>2025</v>
      </c>
      <c r="P176" s="2" t="str">
        <v>May</v>
      </c>
      <c r="Q176" s="2" t="s">
        <v>47</v>
      </c>
    </row>
    <row r="177" spans="1:17" x14ac:dyDescent="0.25">
      <c r="A177" s="2" t="s">
        <v>555</v>
      </c>
      <c r="B177" s="7">
        <v>45839</v>
      </c>
      <c r="C177" s="5" t="s">
        <v>24</v>
      </c>
      <c r="D177" s="5" t="s">
        <v>16</v>
      </c>
      <c r="E177" s="5" t="s">
        <v>25</v>
      </c>
      <c r="F177" s="2" t="s">
        <v>106</v>
      </c>
      <c r="G177" s="2">
        <v>1</v>
      </c>
      <c r="H177" s="25">
        <v>8240</v>
      </c>
      <c r="I177" s="8">
        <v>15</v>
      </c>
      <c r="J177" s="25">
        <v>7004</v>
      </c>
      <c r="K177" s="25">
        <f>G177*H177</f>
        <v>8240</v>
      </c>
      <c r="L177" s="8">
        <f>K177*I177/100</f>
        <v>1236</v>
      </c>
      <c r="M177" s="2" t="s">
        <v>102</v>
      </c>
      <c r="N177" s="2" t="s">
        <v>188</v>
      </c>
      <c r="O177" s="2">
        <v>2025</v>
      </c>
      <c r="P177" s="2" t="str">
        <v>July</v>
      </c>
      <c r="Q177" s="2" t="s">
        <v>21</v>
      </c>
    </row>
    <row r="178" spans="1:17" x14ac:dyDescent="0.25">
      <c r="A178" s="2" t="s">
        <v>559</v>
      </c>
      <c r="B178" s="7">
        <v>45857</v>
      </c>
      <c r="C178" s="5" t="s">
        <v>156</v>
      </c>
      <c r="D178" s="5" t="s">
        <v>51</v>
      </c>
      <c r="E178" s="5" t="s">
        <v>295</v>
      </c>
      <c r="F178" s="2" t="s">
        <v>66</v>
      </c>
      <c r="G178" s="2">
        <v>7</v>
      </c>
      <c r="H178" s="25">
        <v>3930</v>
      </c>
      <c r="I178" s="8">
        <v>0</v>
      </c>
      <c r="J178" s="25">
        <v>27510</v>
      </c>
      <c r="K178" s="25">
        <f>G178*H178</f>
        <v>27510</v>
      </c>
      <c r="L178" s="8">
        <f>K178*I178/100</f>
        <v>0</v>
      </c>
      <c r="M178" s="2" t="s">
        <v>102</v>
      </c>
      <c r="N178" s="2" t="s">
        <v>68</v>
      </c>
      <c r="O178" s="2">
        <v>2025</v>
      </c>
      <c r="P178" s="2" t="str">
        <v>July</v>
      </c>
      <c r="Q178" s="2" t="s">
        <v>21</v>
      </c>
    </row>
    <row r="179" spans="1:17" x14ac:dyDescent="0.25">
      <c r="A179" s="2" t="s">
        <v>561</v>
      </c>
      <c r="B179" s="7">
        <v>45776</v>
      </c>
      <c r="C179" s="5" t="s">
        <v>24</v>
      </c>
      <c r="D179" s="5" t="s">
        <v>16</v>
      </c>
      <c r="E179" s="5" t="s">
        <v>179</v>
      </c>
      <c r="F179" s="2" t="s">
        <v>543</v>
      </c>
      <c r="G179" s="2">
        <v>12</v>
      </c>
      <c r="H179" s="25">
        <v>7820</v>
      </c>
      <c r="I179" s="8">
        <v>15</v>
      </c>
      <c r="J179" s="25">
        <v>79764</v>
      </c>
      <c r="K179" s="25">
        <f>G179*H179</f>
        <v>93840</v>
      </c>
      <c r="L179" s="8">
        <f>K179*I179/100</f>
        <v>14076</v>
      </c>
      <c r="M179" s="2" t="s">
        <v>102</v>
      </c>
      <c r="N179" s="2" t="s">
        <v>176</v>
      </c>
      <c r="O179" s="2">
        <v>2025</v>
      </c>
      <c r="P179" s="2" t="str">
        <v>April</v>
      </c>
      <c r="Q179" s="2" t="s">
        <v>47</v>
      </c>
    </row>
    <row r="180" spans="1:17" x14ac:dyDescent="0.25">
      <c r="A180" s="2" t="s">
        <v>563</v>
      </c>
      <c r="B180" s="7">
        <v>45922</v>
      </c>
      <c r="C180" s="5" t="s">
        <v>76</v>
      </c>
      <c r="D180" s="5" t="s">
        <v>33</v>
      </c>
      <c r="E180" s="5" t="s">
        <v>295</v>
      </c>
      <c r="F180" s="2" t="s">
        <v>219</v>
      </c>
      <c r="G180" s="2">
        <v>3</v>
      </c>
      <c r="H180" s="25">
        <v>5360</v>
      </c>
      <c r="I180" s="8">
        <v>5</v>
      </c>
      <c r="J180" s="25">
        <v>15276</v>
      </c>
      <c r="K180" s="25">
        <f>G180*H180</f>
        <v>16080</v>
      </c>
      <c r="L180" s="8">
        <f>K180*I180/100</f>
        <v>804</v>
      </c>
      <c r="M180" s="2" t="s">
        <v>102</v>
      </c>
      <c r="N180" s="2" t="s">
        <v>411</v>
      </c>
      <c r="O180" s="2">
        <v>2025</v>
      </c>
      <c r="P180" s="2" t="str">
        <v>September</v>
      </c>
      <c r="Q180" s="2" t="s">
        <v>21</v>
      </c>
    </row>
    <row r="181" spans="1:17" x14ac:dyDescent="0.25">
      <c r="A181" s="2" t="s">
        <v>565</v>
      </c>
      <c r="B181" s="7">
        <v>45951</v>
      </c>
      <c r="C181" s="5" t="s">
        <v>24</v>
      </c>
      <c r="D181" s="5" t="s">
        <v>16</v>
      </c>
      <c r="E181" s="5" t="s">
        <v>179</v>
      </c>
      <c r="F181" s="2" t="s">
        <v>239</v>
      </c>
      <c r="G181" s="2">
        <v>8</v>
      </c>
      <c r="H181" s="25">
        <v>27140</v>
      </c>
      <c r="I181" s="8">
        <v>0</v>
      </c>
      <c r="J181" s="25">
        <v>217120</v>
      </c>
      <c r="K181" s="25">
        <f>G181*H181</f>
        <v>217120</v>
      </c>
      <c r="L181" s="8">
        <f>K181*I181/100</f>
        <v>0</v>
      </c>
      <c r="M181" s="2" t="s">
        <v>102</v>
      </c>
      <c r="N181" s="2" t="s">
        <v>266</v>
      </c>
      <c r="O181" s="2">
        <v>2025</v>
      </c>
      <c r="P181" s="2" t="str">
        <v>October</v>
      </c>
      <c r="Q181" s="2" t="s">
        <v>47</v>
      </c>
    </row>
    <row r="182" spans="1:17" x14ac:dyDescent="0.25">
      <c r="A182" s="2" t="s">
        <v>567</v>
      </c>
      <c r="B182" s="7">
        <v>45774</v>
      </c>
      <c r="C182" s="5" t="s">
        <v>32</v>
      </c>
      <c r="D182" s="5" t="s">
        <v>33</v>
      </c>
      <c r="E182" s="5" t="s">
        <v>34</v>
      </c>
      <c r="F182" s="2" t="s">
        <v>164</v>
      </c>
      <c r="G182" s="2">
        <v>9</v>
      </c>
      <c r="H182" s="25">
        <v>22530</v>
      </c>
      <c r="I182" s="8">
        <v>0</v>
      </c>
      <c r="J182" s="25">
        <v>202770</v>
      </c>
      <c r="K182" s="25">
        <f>G182*H182</f>
        <v>202770</v>
      </c>
      <c r="L182" s="8">
        <f>K182*I182/100</f>
        <v>0</v>
      </c>
      <c r="M182" s="2" t="s">
        <v>53</v>
      </c>
      <c r="N182" s="2" t="s">
        <v>54</v>
      </c>
      <c r="O182" s="2">
        <v>2025</v>
      </c>
      <c r="P182" s="2" t="str">
        <v>April</v>
      </c>
      <c r="Q182" s="2" t="s">
        <v>47</v>
      </c>
    </row>
    <row r="183" spans="1:17" x14ac:dyDescent="0.25">
      <c r="A183" s="2" t="s">
        <v>569</v>
      </c>
      <c r="B183" s="7">
        <v>45902</v>
      </c>
      <c r="C183" s="5" t="s">
        <v>156</v>
      </c>
      <c r="D183" s="5" t="s">
        <v>51</v>
      </c>
      <c r="E183" s="5" t="s">
        <v>34</v>
      </c>
      <c r="F183" s="2" t="s">
        <v>35</v>
      </c>
      <c r="G183" s="2">
        <v>3</v>
      </c>
      <c r="H183" s="25">
        <v>27450</v>
      </c>
      <c r="I183" s="8">
        <v>0</v>
      </c>
      <c r="J183" s="25">
        <v>82350</v>
      </c>
      <c r="K183" s="25">
        <f>G183*H183</f>
        <v>82350</v>
      </c>
      <c r="L183" s="8">
        <f>K183*I183/100</f>
        <v>0</v>
      </c>
      <c r="M183" s="2" t="s">
        <v>53</v>
      </c>
      <c r="N183" s="2" t="s">
        <v>411</v>
      </c>
      <c r="O183" s="2">
        <v>2025</v>
      </c>
      <c r="P183" s="2" t="str">
        <v>September</v>
      </c>
      <c r="Q183" s="2" t="s">
        <v>47</v>
      </c>
    </row>
    <row r="184" spans="1:17" x14ac:dyDescent="0.25">
      <c r="A184" s="2" t="s">
        <v>570</v>
      </c>
      <c r="B184" s="7">
        <v>45665</v>
      </c>
      <c r="C184" s="5" t="s">
        <v>135</v>
      </c>
      <c r="D184" s="5" t="s">
        <v>58</v>
      </c>
      <c r="E184" s="5" t="s">
        <v>148</v>
      </c>
      <c r="F184" s="2" t="s">
        <v>252</v>
      </c>
      <c r="G184" s="2">
        <v>3</v>
      </c>
      <c r="H184" s="25">
        <v>47900</v>
      </c>
      <c r="I184" s="8">
        <v>15</v>
      </c>
      <c r="J184" s="25">
        <v>122145</v>
      </c>
      <c r="K184" s="25">
        <f>G184*H184</f>
        <v>143700</v>
      </c>
      <c r="L184" s="8">
        <f>K184*I184/100</f>
        <v>21555</v>
      </c>
      <c r="M184" s="2" t="s">
        <v>94</v>
      </c>
      <c r="N184" s="2" t="s">
        <v>411</v>
      </c>
      <c r="O184" s="2">
        <v>2025</v>
      </c>
      <c r="P184" s="2" t="str">
        <v>January</v>
      </c>
      <c r="Q184" s="2" t="s">
        <v>47</v>
      </c>
    </row>
    <row r="185" spans="1:17" x14ac:dyDescent="0.25">
      <c r="A185" s="2" t="s">
        <v>572</v>
      </c>
      <c r="B185" s="7">
        <v>45889</v>
      </c>
      <c r="C185" s="5" t="s">
        <v>238</v>
      </c>
      <c r="D185" s="5" t="s">
        <v>51</v>
      </c>
      <c r="E185" s="5" t="s">
        <v>148</v>
      </c>
      <c r="F185" s="2" t="s">
        <v>83</v>
      </c>
      <c r="G185" s="2">
        <v>4</v>
      </c>
      <c r="H185" s="25">
        <v>1230</v>
      </c>
      <c r="I185" s="8">
        <v>15</v>
      </c>
      <c r="J185" s="25">
        <v>4182</v>
      </c>
      <c r="K185" s="25">
        <f>G185*H185</f>
        <v>4920</v>
      </c>
      <c r="L185" s="8">
        <f>K185*I185/100</f>
        <v>738</v>
      </c>
      <c r="M185" s="2" t="s">
        <v>53</v>
      </c>
      <c r="N185" s="2" t="s">
        <v>188</v>
      </c>
      <c r="O185" s="2">
        <v>2025</v>
      </c>
      <c r="P185" s="2" t="str">
        <v>August</v>
      </c>
      <c r="Q185" s="2" t="s">
        <v>47</v>
      </c>
    </row>
    <row r="186" spans="1:17" x14ac:dyDescent="0.25">
      <c r="A186" s="2" t="s">
        <v>574</v>
      </c>
      <c r="B186" s="7">
        <v>45697</v>
      </c>
      <c r="C186" s="5" t="s">
        <v>32</v>
      </c>
      <c r="D186" s="5" t="s">
        <v>33</v>
      </c>
      <c r="E186" s="5" t="s">
        <v>148</v>
      </c>
      <c r="F186" s="2" t="s">
        <v>209</v>
      </c>
      <c r="G186" s="2">
        <v>3</v>
      </c>
      <c r="H186" s="25">
        <v>1100</v>
      </c>
      <c r="I186" s="8">
        <v>10</v>
      </c>
      <c r="J186" s="25">
        <v>2970</v>
      </c>
      <c r="K186" s="25">
        <f>G186*H186</f>
        <v>3300</v>
      </c>
      <c r="L186" s="8">
        <f>K186*I186/100</f>
        <v>330</v>
      </c>
      <c r="M186" s="2" t="s">
        <v>94</v>
      </c>
      <c r="N186" s="2" t="s">
        <v>46</v>
      </c>
      <c r="O186" s="2">
        <v>2025</v>
      </c>
      <c r="P186" s="2" t="str">
        <v>February</v>
      </c>
      <c r="Q186" s="2" t="s">
        <v>47</v>
      </c>
    </row>
    <row r="187" spans="1:17" x14ac:dyDescent="0.25">
      <c r="A187" s="2" t="s">
        <v>577</v>
      </c>
      <c r="B187" s="7">
        <v>45678</v>
      </c>
      <c r="C187" s="5" t="s">
        <v>135</v>
      </c>
      <c r="D187" s="5" t="s">
        <v>58</v>
      </c>
      <c r="E187" s="5" t="s">
        <v>148</v>
      </c>
      <c r="F187" s="2" t="s">
        <v>379</v>
      </c>
      <c r="G187" s="2">
        <v>10</v>
      </c>
      <c r="H187" s="25">
        <v>71830</v>
      </c>
      <c r="I187" s="8">
        <v>0</v>
      </c>
      <c r="J187" s="25">
        <v>718300</v>
      </c>
      <c r="K187" s="25">
        <f>G187*H187</f>
        <v>718300</v>
      </c>
      <c r="L187" s="8">
        <f>K187*I187/100</f>
        <v>0</v>
      </c>
      <c r="M187" s="2" t="s">
        <v>102</v>
      </c>
      <c r="N187" s="2" t="s">
        <v>79</v>
      </c>
      <c r="O187" s="2">
        <v>2025</v>
      </c>
      <c r="P187" s="2" t="str">
        <v>January</v>
      </c>
      <c r="Q187" s="2" t="s">
        <v>21</v>
      </c>
    </row>
    <row r="188" spans="1:17" x14ac:dyDescent="0.25">
      <c r="A188" s="2" t="s">
        <v>580</v>
      </c>
      <c r="B188" s="7">
        <v>45772</v>
      </c>
      <c r="C188" s="5" t="s">
        <v>135</v>
      </c>
      <c r="D188" s="5" t="s">
        <v>58</v>
      </c>
      <c r="E188" s="5" t="s">
        <v>34</v>
      </c>
      <c r="F188" s="2" t="s">
        <v>199</v>
      </c>
      <c r="G188" s="2">
        <v>5</v>
      </c>
      <c r="H188" s="25">
        <v>13120</v>
      </c>
      <c r="I188" s="8">
        <v>10</v>
      </c>
      <c r="J188" s="25">
        <v>59040</v>
      </c>
      <c r="K188" s="25">
        <f>G188*H188</f>
        <v>65600</v>
      </c>
      <c r="L188" s="8">
        <f>K188*I188/100</f>
        <v>6560</v>
      </c>
      <c r="M188" s="2" t="s">
        <v>102</v>
      </c>
      <c r="N188" s="2" t="s">
        <v>37</v>
      </c>
      <c r="O188" s="2">
        <v>2025</v>
      </c>
      <c r="P188" s="2" t="str">
        <v>April</v>
      </c>
      <c r="Q188" s="2" t="s">
        <v>47</v>
      </c>
    </row>
    <row r="189" spans="1:17" x14ac:dyDescent="0.25">
      <c r="A189" s="2" t="s">
        <v>582</v>
      </c>
      <c r="B189" s="7">
        <v>45874</v>
      </c>
      <c r="C189" s="5" t="s">
        <v>32</v>
      </c>
      <c r="D189" s="5" t="s">
        <v>33</v>
      </c>
      <c r="E189" s="5" t="s">
        <v>295</v>
      </c>
      <c r="F189" s="2" t="s">
        <v>126</v>
      </c>
      <c r="G189" s="2">
        <v>12</v>
      </c>
      <c r="H189" s="25">
        <v>2560</v>
      </c>
      <c r="I189" s="8">
        <v>5</v>
      </c>
      <c r="J189" s="25">
        <v>29184</v>
      </c>
      <c r="K189" s="25">
        <f>G189*H189</f>
        <v>30720</v>
      </c>
      <c r="L189" s="8">
        <f>K189*I189/100</f>
        <v>1536</v>
      </c>
      <c r="M189" s="2" t="s">
        <v>94</v>
      </c>
      <c r="N189" s="2" t="s">
        <v>406</v>
      </c>
      <c r="O189" s="2">
        <v>2025</v>
      </c>
      <c r="P189" s="2" t="str">
        <v>August</v>
      </c>
      <c r="Q189" s="2" t="s">
        <v>47</v>
      </c>
    </row>
    <row r="190" spans="1:17" x14ac:dyDescent="0.25">
      <c r="A190" s="2" t="s">
        <v>585</v>
      </c>
      <c r="B190" s="7">
        <v>45774</v>
      </c>
      <c r="C190" s="5" t="s">
        <v>135</v>
      </c>
      <c r="D190" s="5" t="s">
        <v>33</v>
      </c>
      <c r="E190" s="5" t="s">
        <v>295</v>
      </c>
      <c r="F190" s="2" t="s">
        <v>219</v>
      </c>
      <c r="G190" s="2">
        <v>2</v>
      </c>
      <c r="H190" s="25">
        <v>3540</v>
      </c>
      <c r="I190" s="8">
        <v>10</v>
      </c>
      <c r="J190" s="25">
        <v>6372</v>
      </c>
      <c r="K190" s="25">
        <f>G190*H190</f>
        <v>7080</v>
      </c>
      <c r="L190" s="8">
        <f>K190*I190/100</f>
        <v>708</v>
      </c>
      <c r="M190" s="2" t="s">
        <v>102</v>
      </c>
      <c r="N190" s="2" t="s">
        <v>54</v>
      </c>
      <c r="O190" s="2">
        <v>2025</v>
      </c>
      <c r="P190" s="2" t="str">
        <v>April</v>
      </c>
      <c r="Q190" s="2" t="s">
        <v>21</v>
      </c>
    </row>
    <row r="191" spans="1:17" x14ac:dyDescent="0.25">
      <c r="A191" s="2" t="s">
        <v>588</v>
      </c>
      <c r="B191" s="7">
        <v>45717</v>
      </c>
      <c r="C191" s="5" t="s">
        <v>238</v>
      </c>
      <c r="D191" s="5" t="s">
        <v>51</v>
      </c>
      <c r="E191" s="5" t="s">
        <v>179</v>
      </c>
      <c r="F191" s="2" t="s">
        <v>180</v>
      </c>
      <c r="G191" s="2">
        <v>6</v>
      </c>
      <c r="H191" s="25">
        <v>8250</v>
      </c>
      <c r="I191" s="8">
        <v>0</v>
      </c>
      <c r="J191" s="25">
        <v>49500</v>
      </c>
      <c r="K191" s="25">
        <f>G191*H191</f>
        <v>49500</v>
      </c>
      <c r="L191" s="8">
        <f>K191*I191/100</f>
        <v>0</v>
      </c>
      <c r="M191" s="2" t="s">
        <v>102</v>
      </c>
      <c r="N191" s="2" t="s">
        <v>176</v>
      </c>
      <c r="O191" s="2">
        <v>2025</v>
      </c>
      <c r="P191" s="2" t="str">
        <v>March</v>
      </c>
      <c r="Q191" s="2" t="s">
        <v>47</v>
      </c>
    </row>
    <row r="192" spans="1:17" x14ac:dyDescent="0.25">
      <c r="A192" s="2" t="s">
        <v>590</v>
      </c>
      <c r="B192" s="7">
        <v>45871</v>
      </c>
      <c r="C192" s="5" t="s">
        <v>156</v>
      </c>
      <c r="D192" s="2" t="s">
        <v>51</v>
      </c>
      <c r="E192" s="2" t="s">
        <v>148</v>
      </c>
      <c r="F192" s="2" t="s">
        <v>60</v>
      </c>
      <c r="G192" s="2">
        <v>11</v>
      </c>
      <c r="H192" s="25">
        <v>5570</v>
      </c>
      <c r="I192" s="8">
        <v>0</v>
      </c>
      <c r="J192" s="25">
        <v>61270</v>
      </c>
      <c r="K192" s="25">
        <f>G192*H192</f>
        <v>61270</v>
      </c>
      <c r="L192" s="8">
        <f>K192*I192/100</f>
        <v>0</v>
      </c>
      <c r="M192" s="2" t="s">
        <v>139</v>
      </c>
      <c r="N192" s="2" t="s">
        <v>266</v>
      </c>
      <c r="O192" s="2">
        <v>2025</v>
      </c>
      <c r="P192" s="2" t="str">
        <v>August</v>
      </c>
      <c r="Q192" s="2" t="s">
        <v>47</v>
      </c>
    </row>
    <row r="193" spans="1:17" x14ac:dyDescent="0.25">
      <c r="A193" s="2" t="s">
        <v>592</v>
      </c>
      <c r="B193" s="7">
        <v>45669</v>
      </c>
      <c r="C193" s="5" t="s">
        <v>135</v>
      </c>
      <c r="D193" s="5" t="s">
        <v>58</v>
      </c>
      <c r="E193" s="5" t="s">
        <v>34</v>
      </c>
      <c r="F193" s="2" t="s">
        <v>35</v>
      </c>
      <c r="G193" s="2">
        <v>8</v>
      </c>
      <c r="H193" s="25">
        <v>9190</v>
      </c>
      <c r="I193" s="8">
        <v>5</v>
      </c>
      <c r="J193" s="25">
        <v>69844</v>
      </c>
      <c r="K193" s="25">
        <f>G193*H193</f>
        <v>73520</v>
      </c>
      <c r="L193" s="8">
        <f>K193*I193/100</f>
        <v>3676</v>
      </c>
      <c r="M193" s="2" t="s">
        <v>139</v>
      </c>
      <c r="N193" s="2" t="s">
        <v>46</v>
      </c>
      <c r="O193" s="2">
        <v>2025</v>
      </c>
      <c r="P193" s="2" t="str">
        <v>January</v>
      </c>
      <c r="Q193" s="2" t="s">
        <v>21</v>
      </c>
    </row>
    <row r="194" spans="1:17" x14ac:dyDescent="0.25">
      <c r="A194" s="2" t="s">
        <v>594</v>
      </c>
      <c r="B194" s="7">
        <v>45947</v>
      </c>
      <c r="C194" s="5" t="s">
        <v>32</v>
      </c>
      <c r="D194" s="5" t="s">
        <v>33</v>
      </c>
      <c r="E194" s="5" t="s">
        <v>179</v>
      </c>
      <c r="F194" s="2" t="s">
        <v>379</v>
      </c>
      <c r="G194" s="2">
        <v>7</v>
      </c>
      <c r="H194" s="25">
        <v>1190</v>
      </c>
      <c r="I194" s="8">
        <v>0</v>
      </c>
      <c r="J194" s="25">
        <v>8330</v>
      </c>
      <c r="K194" s="25">
        <f>G194*H194</f>
        <v>8330</v>
      </c>
      <c r="L194" s="8">
        <f>K194*I194/100</f>
        <v>0</v>
      </c>
      <c r="M194" s="2" t="s">
        <v>102</v>
      </c>
      <c r="N194" s="2" t="s">
        <v>188</v>
      </c>
      <c r="O194" s="2">
        <v>2025</v>
      </c>
      <c r="P194" s="2" t="str">
        <v>October</v>
      </c>
      <c r="Q194" s="2" t="s">
        <v>47</v>
      </c>
    </row>
    <row r="195" spans="1:17" x14ac:dyDescent="0.25">
      <c r="A195" s="2" t="s">
        <v>596</v>
      </c>
      <c r="B195" s="7">
        <v>45844</v>
      </c>
      <c r="C195" s="5" t="s">
        <v>41</v>
      </c>
      <c r="D195" s="5" t="s">
        <v>42</v>
      </c>
      <c r="E195" s="5" t="s">
        <v>295</v>
      </c>
      <c r="F195" s="2" t="s">
        <v>126</v>
      </c>
      <c r="G195" s="2">
        <v>1</v>
      </c>
      <c r="H195" s="25">
        <v>17180</v>
      </c>
      <c r="I195" s="8">
        <v>15</v>
      </c>
      <c r="J195" s="25">
        <v>14603</v>
      </c>
      <c r="K195" s="25">
        <f>G195*H195</f>
        <v>17180</v>
      </c>
      <c r="L195" s="8">
        <f>K195*I195/100</f>
        <v>2577</v>
      </c>
      <c r="M195" s="2" t="s">
        <v>94</v>
      </c>
      <c r="N195" s="2" t="s">
        <v>341</v>
      </c>
      <c r="O195" s="2">
        <v>2025</v>
      </c>
      <c r="P195" s="2" t="str">
        <v>July</v>
      </c>
      <c r="Q195" s="2" t="s">
        <v>47</v>
      </c>
    </row>
    <row r="196" spans="1:17" x14ac:dyDescent="0.25">
      <c r="A196" s="2" t="s">
        <v>600</v>
      </c>
      <c r="B196" s="7">
        <v>45949</v>
      </c>
      <c r="C196" s="5" t="s">
        <v>24</v>
      </c>
      <c r="D196" s="5" t="s">
        <v>16</v>
      </c>
      <c r="E196" s="5" t="s">
        <v>34</v>
      </c>
      <c r="F196" s="2" t="s">
        <v>164</v>
      </c>
      <c r="G196" s="2">
        <v>8</v>
      </c>
      <c r="H196" s="25">
        <v>47500</v>
      </c>
      <c r="I196" s="8">
        <v>15</v>
      </c>
      <c r="J196" s="25">
        <v>323000</v>
      </c>
      <c r="K196" s="25">
        <f>G196*H196</f>
        <v>380000</v>
      </c>
      <c r="L196" s="8">
        <f>K196*I196/100</f>
        <v>57000</v>
      </c>
      <c r="M196" s="2" t="s">
        <v>53</v>
      </c>
      <c r="N196" s="2" t="s">
        <v>68</v>
      </c>
      <c r="O196" s="2">
        <v>2025</v>
      </c>
      <c r="P196" s="2" t="str">
        <v>October</v>
      </c>
      <c r="Q196" s="2" t="s">
        <v>21</v>
      </c>
    </row>
    <row r="197" spans="1:17" x14ac:dyDescent="0.25">
      <c r="A197" s="2" t="s">
        <v>603</v>
      </c>
      <c r="B197" s="7">
        <v>46010</v>
      </c>
      <c r="C197" s="5" t="s">
        <v>238</v>
      </c>
      <c r="D197" s="5" t="s">
        <v>51</v>
      </c>
      <c r="E197" s="5" t="s">
        <v>295</v>
      </c>
      <c r="F197" s="2" t="s">
        <v>66</v>
      </c>
      <c r="G197" s="2">
        <v>1</v>
      </c>
      <c r="H197" s="25">
        <v>25770</v>
      </c>
      <c r="I197" s="8">
        <v>5</v>
      </c>
      <c r="J197" s="25">
        <v>24481.5</v>
      </c>
      <c r="K197" s="25">
        <f>G197*H197</f>
        <v>25770</v>
      </c>
      <c r="L197" s="8">
        <f>K197*I197/100</f>
        <v>1288.5</v>
      </c>
      <c r="M197" s="2" t="s">
        <v>53</v>
      </c>
      <c r="N197" s="2" t="s">
        <v>54</v>
      </c>
      <c r="O197" s="2">
        <v>2025</v>
      </c>
      <c r="P197" s="2" t="str">
        <v>December</v>
      </c>
      <c r="Q197" s="2" t="s">
        <v>21</v>
      </c>
    </row>
    <row r="198" spans="1:17" x14ac:dyDescent="0.25">
      <c r="A198" s="2" t="s">
        <v>605</v>
      </c>
      <c r="B198" s="7">
        <v>46022</v>
      </c>
      <c r="C198" s="5" t="s">
        <v>32</v>
      </c>
      <c r="D198" s="5" t="s">
        <v>33</v>
      </c>
      <c r="E198" s="5" t="s">
        <v>25</v>
      </c>
      <c r="F198" s="2" t="s">
        <v>332</v>
      </c>
      <c r="G198" s="2">
        <v>10</v>
      </c>
      <c r="H198" s="25">
        <v>570</v>
      </c>
      <c r="I198" s="8">
        <v>0</v>
      </c>
      <c r="J198" s="25">
        <v>5700</v>
      </c>
      <c r="K198" s="25">
        <f>G198*H198</f>
        <v>5700</v>
      </c>
      <c r="L198" s="8">
        <f>K198*I198/100</f>
        <v>0</v>
      </c>
      <c r="M198" s="2" t="s">
        <v>139</v>
      </c>
      <c r="N198" s="2" t="s">
        <v>341</v>
      </c>
      <c r="O198" s="2">
        <v>2025</v>
      </c>
      <c r="P198" s="2" t="str">
        <v>December</v>
      </c>
      <c r="Q198" s="2" t="s">
        <v>47</v>
      </c>
    </row>
    <row r="199" spans="1:17" x14ac:dyDescent="0.25">
      <c r="A199" s="2" t="s">
        <v>607</v>
      </c>
      <c r="B199" s="7">
        <v>45936</v>
      </c>
      <c r="C199" s="5" t="s">
        <v>24</v>
      </c>
      <c r="D199" s="5" t="s">
        <v>16</v>
      </c>
      <c r="E199" s="5" t="s">
        <v>179</v>
      </c>
      <c r="F199" s="2" t="s">
        <v>239</v>
      </c>
      <c r="G199" s="2">
        <v>7</v>
      </c>
      <c r="H199" s="25">
        <v>13190</v>
      </c>
      <c r="I199" s="8">
        <v>15</v>
      </c>
      <c r="J199" s="25">
        <v>78480.5</v>
      </c>
      <c r="K199" s="25">
        <f>G199*H199</f>
        <v>92330</v>
      </c>
      <c r="L199" s="8">
        <f>K199*I199/100</f>
        <v>13849.5</v>
      </c>
      <c r="M199" s="2" t="s">
        <v>94</v>
      </c>
      <c r="N199" s="2" t="s">
        <v>344</v>
      </c>
      <c r="O199" s="2">
        <v>2025</v>
      </c>
      <c r="P199" s="2" t="str">
        <v>October</v>
      </c>
      <c r="Q199" s="2" t="s">
        <v>47</v>
      </c>
    </row>
    <row r="200" spans="1:17" x14ac:dyDescent="0.25">
      <c r="A200" s="2" t="s">
        <v>609</v>
      </c>
      <c r="B200" s="7">
        <v>45896</v>
      </c>
      <c r="C200" s="5" t="s">
        <v>76</v>
      </c>
      <c r="D200" s="5" t="s">
        <v>33</v>
      </c>
      <c r="E200" s="5" t="s">
        <v>295</v>
      </c>
      <c r="F200" s="2" t="s">
        <v>296</v>
      </c>
      <c r="G200" s="2">
        <v>2</v>
      </c>
      <c r="H200" s="25">
        <v>26400</v>
      </c>
      <c r="I200" s="8">
        <v>0</v>
      </c>
      <c r="J200" s="25">
        <v>52800</v>
      </c>
      <c r="K200" s="25">
        <f>G200*H200</f>
        <v>52800</v>
      </c>
      <c r="L200" s="8">
        <f>K200*I200/100</f>
        <v>0</v>
      </c>
      <c r="M200" s="2" t="s">
        <v>102</v>
      </c>
      <c r="N200" s="2" t="s">
        <v>266</v>
      </c>
      <c r="O200" s="2">
        <v>2025</v>
      </c>
      <c r="P200" s="2" t="str">
        <v>August</v>
      </c>
      <c r="Q200" s="2" t="s">
        <v>47</v>
      </c>
    </row>
    <row r="201" spans="1:17" x14ac:dyDescent="0.25">
      <c r="A201" s="2" t="s">
        <v>612</v>
      </c>
      <c r="B201" s="7">
        <v>45839</v>
      </c>
      <c r="C201" s="5" t="s">
        <v>238</v>
      </c>
      <c r="D201" s="5" t="s">
        <v>51</v>
      </c>
      <c r="E201" s="5" t="s">
        <v>179</v>
      </c>
      <c r="F201" s="2" t="s">
        <v>543</v>
      </c>
      <c r="G201" s="2">
        <v>1</v>
      </c>
      <c r="H201" s="25">
        <v>1370</v>
      </c>
      <c r="I201" s="8">
        <v>5</v>
      </c>
      <c r="J201" s="25">
        <v>1301.5</v>
      </c>
      <c r="K201" s="25">
        <f>G201*H201</f>
        <v>1370</v>
      </c>
      <c r="L201" s="8">
        <f>K201*I201/100</f>
        <v>68.5</v>
      </c>
      <c r="M201" s="2" t="s">
        <v>94</v>
      </c>
      <c r="N201" s="2" t="s">
        <v>883</v>
      </c>
      <c r="O201" s="2">
        <v>2025</v>
      </c>
      <c r="P201" s="2" t="str">
        <v>July</v>
      </c>
      <c r="Q201" s="2" t="s">
        <v>21</v>
      </c>
    </row>
    <row r="202" spans="1:17" x14ac:dyDescent="0.25">
      <c r="A202" s="2" t="s">
        <v>614</v>
      </c>
      <c r="B202" s="7">
        <v>45893</v>
      </c>
      <c r="C202" s="5" t="s">
        <v>238</v>
      </c>
      <c r="D202" s="5" t="s">
        <v>51</v>
      </c>
      <c r="E202" s="5" t="s">
        <v>34</v>
      </c>
      <c r="F202" s="2" t="s">
        <v>374</v>
      </c>
      <c r="G202" s="2">
        <v>4</v>
      </c>
      <c r="H202" s="25">
        <v>1300</v>
      </c>
      <c r="I202" s="8">
        <v>0</v>
      </c>
      <c r="J202" s="25">
        <v>5200</v>
      </c>
      <c r="K202" s="25">
        <f>G202*H202</f>
        <v>5200</v>
      </c>
      <c r="L202" s="8">
        <f>K202*I202/100</f>
        <v>0</v>
      </c>
      <c r="M202" s="2" t="s">
        <v>94</v>
      </c>
      <c r="N202" s="2" t="s">
        <v>266</v>
      </c>
      <c r="O202" s="2">
        <v>2025</v>
      </c>
      <c r="P202" s="2" t="str">
        <v>August</v>
      </c>
      <c r="Q202" s="2" t="s">
        <v>47</v>
      </c>
    </row>
    <row r="203" spans="1:17" x14ac:dyDescent="0.25">
      <c r="A203" s="2" t="s">
        <v>616</v>
      </c>
      <c r="B203" s="7">
        <v>45913</v>
      </c>
      <c r="C203" s="5" t="s">
        <v>238</v>
      </c>
      <c r="D203" s="5" t="s">
        <v>51</v>
      </c>
      <c r="E203" s="5" t="s">
        <v>295</v>
      </c>
      <c r="F203" s="2" t="s">
        <v>66</v>
      </c>
      <c r="G203" s="2">
        <v>2</v>
      </c>
      <c r="H203" s="25">
        <v>61090</v>
      </c>
      <c r="I203" s="8">
        <v>0</v>
      </c>
      <c r="J203" s="25">
        <v>122180</v>
      </c>
      <c r="K203" s="25">
        <f>G203*H203</f>
        <v>122180</v>
      </c>
      <c r="L203" s="8">
        <f>K203*I203/100</f>
        <v>0</v>
      </c>
      <c r="M203" s="2" t="s">
        <v>102</v>
      </c>
      <c r="N203" s="2" t="s">
        <v>37</v>
      </c>
      <c r="O203" s="2">
        <v>2025</v>
      </c>
      <c r="P203" s="2" t="str">
        <v>September</v>
      </c>
      <c r="Q203" s="2" t="s">
        <v>21</v>
      </c>
    </row>
    <row r="204" spans="1:17" x14ac:dyDescent="0.25">
      <c r="A204" s="2" t="s">
        <v>618</v>
      </c>
      <c r="B204" s="7">
        <v>45979</v>
      </c>
      <c r="C204" s="5" t="s">
        <v>76</v>
      </c>
      <c r="D204" s="5" t="s">
        <v>33</v>
      </c>
      <c r="E204" s="5" t="s">
        <v>179</v>
      </c>
      <c r="F204" s="2" t="s">
        <v>232</v>
      </c>
      <c r="G204" s="2">
        <v>7</v>
      </c>
      <c r="H204" s="25">
        <v>1380</v>
      </c>
      <c r="I204" s="8">
        <v>5</v>
      </c>
      <c r="J204" s="25">
        <v>9177</v>
      </c>
      <c r="K204" s="25">
        <f>G204*H204</f>
        <v>9660</v>
      </c>
      <c r="L204" s="8">
        <f>K204*I204/100</f>
        <v>483</v>
      </c>
      <c r="M204" s="2" t="s">
        <v>102</v>
      </c>
      <c r="N204" s="2" t="s">
        <v>37</v>
      </c>
      <c r="O204" s="2">
        <v>2025</v>
      </c>
      <c r="P204" s="2" t="str">
        <v>November</v>
      </c>
      <c r="Q204" s="2" t="s">
        <v>47</v>
      </c>
    </row>
    <row r="205" spans="1:17" x14ac:dyDescent="0.25">
      <c r="A205" s="2" t="s">
        <v>620</v>
      </c>
      <c r="B205" s="7">
        <v>45759</v>
      </c>
      <c r="C205" s="5" t="s">
        <v>32</v>
      </c>
      <c r="D205" s="5" t="s">
        <v>33</v>
      </c>
      <c r="E205" s="5" t="s">
        <v>295</v>
      </c>
      <c r="F205" s="2" t="s">
        <v>66</v>
      </c>
      <c r="G205" s="2">
        <v>10</v>
      </c>
      <c r="H205" s="25">
        <v>450</v>
      </c>
      <c r="I205" s="8">
        <v>0</v>
      </c>
      <c r="J205" s="25">
        <v>4500</v>
      </c>
      <c r="K205" s="25">
        <f>G205*H205</f>
        <v>4500</v>
      </c>
      <c r="L205" s="8">
        <f>K205*I205/100</f>
        <v>0</v>
      </c>
      <c r="M205" s="2" t="s">
        <v>139</v>
      </c>
      <c r="N205" s="2" t="s">
        <v>79</v>
      </c>
      <c r="O205" s="2">
        <v>2025</v>
      </c>
      <c r="P205" s="2" t="str">
        <v>April</v>
      </c>
      <c r="Q205" s="2" t="s">
        <v>21</v>
      </c>
    </row>
    <row r="206" spans="1:17" x14ac:dyDescent="0.25">
      <c r="A206" s="2" t="s">
        <v>622</v>
      </c>
      <c r="B206" s="7">
        <v>45719</v>
      </c>
      <c r="C206" s="5" t="s">
        <v>41</v>
      </c>
      <c r="D206" s="5" t="s">
        <v>33</v>
      </c>
      <c r="E206" s="5" t="s">
        <v>25</v>
      </c>
      <c r="F206" s="2" t="s">
        <v>106</v>
      </c>
      <c r="G206" s="2">
        <v>3</v>
      </c>
      <c r="H206" s="25">
        <v>22760</v>
      </c>
      <c r="I206" s="8">
        <v>5</v>
      </c>
      <c r="J206" s="25">
        <v>64866</v>
      </c>
      <c r="K206" s="25">
        <f>G206*H206</f>
        <v>68280</v>
      </c>
      <c r="L206" s="8">
        <f>K206*I206/100</f>
        <v>3414</v>
      </c>
      <c r="M206" s="2" t="s">
        <v>53</v>
      </c>
      <c r="N206" s="2" t="s">
        <v>188</v>
      </c>
      <c r="O206" s="2">
        <v>2025</v>
      </c>
      <c r="P206" s="2" t="str">
        <v>March</v>
      </c>
      <c r="Q206" s="2" t="s">
        <v>47</v>
      </c>
    </row>
    <row r="207" spans="1:17" x14ac:dyDescent="0.25">
      <c r="A207" s="2" t="s">
        <v>624</v>
      </c>
      <c r="B207" s="7">
        <v>45886</v>
      </c>
      <c r="C207" s="5" t="s">
        <v>41</v>
      </c>
      <c r="D207" s="5" t="s">
        <v>42</v>
      </c>
      <c r="E207" s="5" t="s">
        <v>25</v>
      </c>
      <c r="F207" s="2" t="s">
        <v>255</v>
      </c>
      <c r="G207" s="2">
        <v>8</v>
      </c>
      <c r="H207" s="25">
        <v>7460</v>
      </c>
      <c r="I207" s="8">
        <v>0</v>
      </c>
      <c r="J207" s="25">
        <v>59680</v>
      </c>
      <c r="K207" s="25">
        <f>G207*H207</f>
        <v>59680</v>
      </c>
      <c r="L207" s="8">
        <f>K207*I207/100</f>
        <v>0</v>
      </c>
      <c r="M207" s="2" t="s">
        <v>53</v>
      </c>
      <c r="N207" s="2" t="s">
        <v>406</v>
      </c>
      <c r="O207" s="2">
        <v>2025</v>
      </c>
      <c r="P207" s="2" t="str">
        <v>August</v>
      </c>
      <c r="Q207" s="2" t="s">
        <v>47</v>
      </c>
    </row>
    <row r="208" spans="1:17" x14ac:dyDescent="0.25">
      <c r="A208" s="2" t="s">
        <v>626</v>
      </c>
      <c r="B208" s="7">
        <v>45933</v>
      </c>
      <c r="C208" s="5" t="s">
        <v>32</v>
      </c>
      <c r="D208" s="5" t="s">
        <v>33</v>
      </c>
      <c r="E208" s="5" t="s">
        <v>148</v>
      </c>
      <c r="F208" s="2" t="s">
        <v>149</v>
      </c>
      <c r="G208" s="2">
        <v>9</v>
      </c>
      <c r="H208" s="25">
        <v>43450</v>
      </c>
      <c r="I208" s="8">
        <v>0</v>
      </c>
      <c r="J208" s="25">
        <v>391050</v>
      </c>
      <c r="K208" s="25">
        <f>G208*H208</f>
        <v>391050</v>
      </c>
      <c r="L208" s="8">
        <f>K208*I208/100</f>
        <v>0</v>
      </c>
      <c r="M208" s="2" t="s">
        <v>53</v>
      </c>
      <c r="N208" s="2" t="s">
        <v>344</v>
      </c>
      <c r="O208" s="2">
        <v>2025</v>
      </c>
      <c r="P208" s="2" t="str">
        <v>October</v>
      </c>
      <c r="Q208" s="2" t="s">
        <v>21</v>
      </c>
    </row>
    <row r="209" spans="1:17" x14ac:dyDescent="0.25">
      <c r="A209" s="2" t="s">
        <v>628</v>
      </c>
      <c r="B209" s="7">
        <v>45953</v>
      </c>
      <c r="C209" s="5" t="s">
        <v>24</v>
      </c>
      <c r="D209" s="5" t="s">
        <v>16</v>
      </c>
      <c r="E209" s="5" t="s">
        <v>179</v>
      </c>
      <c r="F209" s="2" t="s">
        <v>184</v>
      </c>
      <c r="G209" s="2">
        <v>9</v>
      </c>
      <c r="H209" s="25">
        <v>41880.000000000007</v>
      </c>
      <c r="I209" s="8">
        <v>5</v>
      </c>
      <c r="J209" s="25">
        <v>358074</v>
      </c>
      <c r="K209" s="25">
        <f>G209*H209</f>
        <v>376920.00000000006</v>
      </c>
      <c r="L209" s="8">
        <f>K209*I209/100</f>
        <v>18846.000000000004</v>
      </c>
      <c r="M209" s="2" t="s">
        <v>94</v>
      </c>
      <c r="N209" s="2" t="s">
        <v>344</v>
      </c>
      <c r="O209" s="2">
        <v>2025</v>
      </c>
      <c r="P209" s="2" t="str">
        <v>October</v>
      </c>
      <c r="Q209" s="2" t="s">
        <v>47</v>
      </c>
    </row>
    <row r="210" spans="1:17" x14ac:dyDescent="0.25">
      <c r="A210" s="2" t="s">
        <v>630</v>
      </c>
      <c r="B210" s="7">
        <v>45926</v>
      </c>
      <c r="C210" s="5" t="s">
        <v>135</v>
      </c>
      <c r="D210" s="5" t="s">
        <v>58</v>
      </c>
      <c r="E210" s="5" t="s">
        <v>179</v>
      </c>
      <c r="F210" s="2" t="s">
        <v>239</v>
      </c>
      <c r="G210" s="2">
        <v>9</v>
      </c>
      <c r="H210" s="25">
        <v>530</v>
      </c>
      <c r="I210" s="8">
        <v>10</v>
      </c>
      <c r="J210" s="25">
        <v>4293</v>
      </c>
      <c r="K210" s="25">
        <f>G210*H210</f>
        <v>4770</v>
      </c>
      <c r="L210" s="8">
        <f>K210*I210/100</f>
        <v>477</v>
      </c>
      <c r="M210" s="2" t="s">
        <v>94</v>
      </c>
      <c r="N210" s="2" t="s">
        <v>176</v>
      </c>
      <c r="O210" s="2">
        <v>2025</v>
      </c>
      <c r="P210" s="2" t="str">
        <v>September</v>
      </c>
      <c r="Q210" s="2" t="s">
        <v>47</v>
      </c>
    </row>
    <row r="211" spans="1:17" x14ac:dyDescent="0.25">
      <c r="A211" s="2" t="s">
        <v>632</v>
      </c>
      <c r="B211" s="7">
        <v>45735</v>
      </c>
      <c r="C211" s="5" t="s">
        <v>135</v>
      </c>
      <c r="D211" s="5" t="s">
        <v>33</v>
      </c>
      <c r="E211" s="5" t="s">
        <v>148</v>
      </c>
      <c r="F211" s="2" t="s">
        <v>379</v>
      </c>
      <c r="G211" s="2">
        <v>9</v>
      </c>
      <c r="H211" s="25">
        <v>550</v>
      </c>
      <c r="I211" s="8">
        <v>10</v>
      </c>
      <c r="J211" s="25">
        <v>4455</v>
      </c>
      <c r="K211" s="25">
        <f>G211*H211</f>
        <v>4950</v>
      </c>
      <c r="L211" s="8">
        <f>K211*I211/100</f>
        <v>495</v>
      </c>
      <c r="M211" s="2" t="s">
        <v>102</v>
      </c>
      <c r="N211" s="2" t="s">
        <v>176</v>
      </c>
      <c r="O211" s="2">
        <v>2025</v>
      </c>
      <c r="P211" s="2" t="str">
        <v>March</v>
      </c>
      <c r="Q211" s="2" t="s">
        <v>47</v>
      </c>
    </row>
    <row r="212" spans="1:17" x14ac:dyDescent="0.25">
      <c r="A212" s="2" t="s">
        <v>634</v>
      </c>
      <c r="B212" s="7">
        <v>45762</v>
      </c>
      <c r="C212" s="5" t="s">
        <v>41</v>
      </c>
      <c r="D212" s="5" t="s">
        <v>42</v>
      </c>
      <c r="E212" s="5" t="s">
        <v>295</v>
      </c>
      <c r="F212" s="2" t="s">
        <v>126</v>
      </c>
      <c r="G212" s="2">
        <v>4</v>
      </c>
      <c r="H212" s="25">
        <v>11710</v>
      </c>
      <c r="I212" s="8">
        <v>0</v>
      </c>
      <c r="J212" s="25">
        <v>46840</v>
      </c>
      <c r="K212" s="25">
        <f>G212*H212</f>
        <v>46840</v>
      </c>
      <c r="L212" s="8">
        <f>K212*I212/100</f>
        <v>0</v>
      </c>
      <c r="M212" s="2" t="s">
        <v>139</v>
      </c>
      <c r="N212" s="2" t="s">
        <v>188</v>
      </c>
      <c r="O212" s="2">
        <v>2025</v>
      </c>
      <c r="P212" s="2" t="str">
        <v>April</v>
      </c>
      <c r="Q212" s="2" t="s">
        <v>47</v>
      </c>
    </row>
    <row r="213" spans="1:17" x14ac:dyDescent="0.25">
      <c r="A213" s="2" t="s">
        <v>636</v>
      </c>
      <c r="B213" s="7">
        <v>45703</v>
      </c>
      <c r="C213" s="5" t="s">
        <v>135</v>
      </c>
      <c r="D213" s="5" t="s">
        <v>33</v>
      </c>
      <c r="E213" s="5" t="s">
        <v>179</v>
      </c>
      <c r="F213" s="2" t="s">
        <v>239</v>
      </c>
      <c r="G213" s="2">
        <v>10</v>
      </c>
      <c r="H213" s="25">
        <v>1360</v>
      </c>
      <c r="I213" s="8">
        <v>0</v>
      </c>
      <c r="J213" s="25">
        <v>13600</v>
      </c>
      <c r="K213" s="25">
        <f>G213*H213</f>
        <v>13600</v>
      </c>
      <c r="L213" s="8">
        <f>K213*I213/100</f>
        <v>0</v>
      </c>
      <c r="M213" s="2" t="s">
        <v>139</v>
      </c>
      <c r="N213" s="2" t="s">
        <v>79</v>
      </c>
      <c r="O213" s="2">
        <v>2025</v>
      </c>
      <c r="P213" s="2" t="str">
        <v>February</v>
      </c>
      <c r="Q213" s="2" t="s">
        <v>47</v>
      </c>
    </row>
    <row r="214" spans="1:17" x14ac:dyDescent="0.25">
      <c r="A214" s="2" t="s">
        <v>638</v>
      </c>
      <c r="B214" s="7">
        <v>45935</v>
      </c>
      <c r="C214" s="5" t="s">
        <v>156</v>
      </c>
      <c r="D214" s="5" t="s">
        <v>51</v>
      </c>
      <c r="E214" s="5" t="s">
        <v>179</v>
      </c>
      <c r="F214" s="2" t="s">
        <v>184</v>
      </c>
      <c r="G214" s="2">
        <v>5</v>
      </c>
      <c r="H214" s="25">
        <v>480</v>
      </c>
      <c r="I214" s="8">
        <v>10</v>
      </c>
      <c r="J214" s="25">
        <v>2160</v>
      </c>
      <c r="K214" s="25">
        <f>G214*H214</f>
        <v>2400</v>
      </c>
      <c r="L214" s="8">
        <f>K214*I214/100</f>
        <v>240</v>
      </c>
      <c r="M214" s="2" t="s">
        <v>94</v>
      </c>
      <c r="N214" s="2" t="s">
        <v>68</v>
      </c>
      <c r="O214" s="2">
        <v>2025</v>
      </c>
      <c r="P214" s="2" t="str">
        <v>October</v>
      </c>
      <c r="Q214" s="2" t="s">
        <v>21</v>
      </c>
    </row>
    <row r="215" spans="1:17" x14ac:dyDescent="0.25">
      <c r="A215" s="2" t="s">
        <v>639</v>
      </c>
      <c r="B215" s="7">
        <v>45759</v>
      </c>
      <c r="C215" s="5" t="s">
        <v>41</v>
      </c>
      <c r="D215" s="5" t="s">
        <v>42</v>
      </c>
      <c r="E215" s="5" t="s">
        <v>295</v>
      </c>
      <c r="F215" s="2" t="s">
        <v>101</v>
      </c>
      <c r="G215" s="2">
        <v>10</v>
      </c>
      <c r="H215" s="25">
        <v>64570</v>
      </c>
      <c r="I215" s="8">
        <v>15</v>
      </c>
      <c r="J215" s="25">
        <v>548845</v>
      </c>
      <c r="K215" s="25">
        <f>G215*H215</f>
        <v>645700</v>
      </c>
      <c r="L215" s="8">
        <f>K215*I215/100</f>
        <v>96855</v>
      </c>
      <c r="M215" s="2" t="s">
        <v>139</v>
      </c>
      <c r="N215" s="2" t="s">
        <v>68</v>
      </c>
      <c r="O215" s="2">
        <v>2025</v>
      </c>
      <c r="P215" s="2" t="str">
        <v>April</v>
      </c>
      <c r="Q215" s="2" t="s">
        <v>21</v>
      </c>
    </row>
    <row r="216" spans="1:17" x14ac:dyDescent="0.25">
      <c r="A216" s="2" t="s">
        <v>640</v>
      </c>
      <c r="B216" s="7">
        <v>45863</v>
      </c>
      <c r="C216" s="5" t="s">
        <v>156</v>
      </c>
      <c r="D216" s="5" t="s">
        <v>51</v>
      </c>
      <c r="E216" s="5" t="s">
        <v>25</v>
      </c>
      <c r="F216" s="2" t="s">
        <v>44</v>
      </c>
      <c r="G216" s="2">
        <v>12</v>
      </c>
      <c r="H216" s="25">
        <v>1260</v>
      </c>
      <c r="I216" s="8">
        <v>0</v>
      </c>
      <c r="J216" s="25">
        <v>15120</v>
      </c>
      <c r="K216" s="25">
        <f>G216*H216</f>
        <v>15120</v>
      </c>
      <c r="L216" s="8">
        <f>K216*I216/100</f>
        <v>0</v>
      </c>
      <c r="M216" s="2" t="s">
        <v>102</v>
      </c>
      <c r="N216" s="2" t="s">
        <v>176</v>
      </c>
      <c r="O216" s="2">
        <v>2025</v>
      </c>
      <c r="P216" s="2" t="str">
        <v>July</v>
      </c>
      <c r="Q216" s="2" t="s">
        <v>47</v>
      </c>
    </row>
    <row r="217" spans="1:17" x14ac:dyDescent="0.25">
      <c r="A217" s="2" t="s">
        <v>642</v>
      </c>
      <c r="B217" s="7">
        <v>45907</v>
      </c>
      <c r="C217" s="5" t="s">
        <v>76</v>
      </c>
      <c r="D217" s="5" t="s">
        <v>33</v>
      </c>
      <c r="E217" s="5" t="s">
        <v>295</v>
      </c>
      <c r="F217" s="2" t="s">
        <v>219</v>
      </c>
      <c r="G217" s="2">
        <v>4</v>
      </c>
      <c r="H217" s="25">
        <v>3450</v>
      </c>
      <c r="I217" s="8">
        <v>0</v>
      </c>
      <c r="J217" s="25">
        <v>13800</v>
      </c>
      <c r="K217" s="25">
        <f>G217*H217</f>
        <v>13800</v>
      </c>
      <c r="L217" s="8">
        <f>K217*I217/100</f>
        <v>0</v>
      </c>
      <c r="M217" s="2" t="s">
        <v>102</v>
      </c>
      <c r="N217" s="2" t="s">
        <v>406</v>
      </c>
      <c r="O217" s="2">
        <v>2025</v>
      </c>
      <c r="P217" s="2" t="str">
        <v>September</v>
      </c>
      <c r="Q217" s="2" t="s">
        <v>47</v>
      </c>
    </row>
    <row r="218" spans="1:17" x14ac:dyDescent="0.25">
      <c r="A218" s="2" t="s">
        <v>644</v>
      </c>
      <c r="B218" s="7">
        <v>45894</v>
      </c>
      <c r="C218" s="5" t="s">
        <v>41</v>
      </c>
      <c r="D218" s="5" t="s">
        <v>42</v>
      </c>
      <c r="E218" s="5" t="s">
        <v>295</v>
      </c>
      <c r="F218" s="2" t="s">
        <v>314</v>
      </c>
      <c r="G218" s="2">
        <v>6</v>
      </c>
      <c r="H218" s="25">
        <v>2670</v>
      </c>
      <c r="I218" s="8">
        <v>0</v>
      </c>
      <c r="J218" s="25">
        <v>16020</v>
      </c>
      <c r="K218" s="25">
        <f>G218*H218</f>
        <v>16020</v>
      </c>
      <c r="L218" s="8">
        <f>K218*I218/100</f>
        <v>0</v>
      </c>
      <c r="M218" s="2" t="s">
        <v>102</v>
      </c>
      <c r="N218" s="2" t="s">
        <v>168</v>
      </c>
      <c r="O218" s="2">
        <v>2025</v>
      </c>
      <c r="P218" s="2" t="str">
        <v>August</v>
      </c>
      <c r="Q218" s="2" t="s">
        <v>47</v>
      </c>
    </row>
    <row r="219" spans="1:17" x14ac:dyDescent="0.25">
      <c r="A219" s="2" t="s">
        <v>647</v>
      </c>
      <c r="B219" s="7">
        <v>45912</v>
      </c>
      <c r="C219" s="5" t="s">
        <v>156</v>
      </c>
      <c r="D219" s="5" t="s">
        <v>51</v>
      </c>
      <c r="E219" s="5" t="s">
        <v>148</v>
      </c>
      <c r="F219" s="2" t="s">
        <v>435</v>
      </c>
      <c r="G219" s="2">
        <v>10</v>
      </c>
      <c r="H219" s="25">
        <v>5390</v>
      </c>
      <c r="I219" s="8">
        <v>0</v>
      </c>
      <c r="J219" s="25">
        <v>53900</v>
      </c>
      <c r="K219" s="25">
        <f>G219*H219</f>
        <v>53900</v>
      </c>
      <c r="L219" s="8">
        <f>K219*I219/100</f>
        <v>0</v>
      </c>
      <c r="M219" s="2" t="s">
        <v>139</v>
      </c>
      <c r="N219" s="2" t="s">
        <v>188</v>
      </c>
      <c r="O219" s="2">
        <v>2025</v>
      </c>
      <c r="P219" s="2" t="str">
        <v>September</v>
      </c>
      <c r="Q219" s="2" t="s">
        <v>21</v>
      </c>
    </row>
    <row r="220" spans="1:17" x14ac:dyDescent="0.25">
      <c r="A220" s="2" t="s">
        <v>649</v>
      </c>
      <c r="B220" s="7">
        <v>45954</v>
      </c>
      <c r="C220" s="5" t="s">
        <v>32</v>
      </c>
      <c r="D220" s="5" t="s">
        <v>33</v>
      </c>
      <c r="E220" s="5" t="s">
        <v>179</v>
      </c>
      <c r="F220" s="2" t="s">
        <v>239</v>
      </c>
      <c r="G220" s="2">
        <v>7</v>
      </c>
      <c r="H220" s="25">
        <v>5530</v>
      </c>
      <c r="I220" s="8">
        <v>0</v>
      </c>
      <c r="J220" s="25">
        <v>38710</v>
      </c>
      <c r="K220" s="25">
        <f>G220*H220</f>
        <v>38710</v>
      </c>
      <c r="L220" s="8">
        <f>K220*I220/100</f>
        <v>0</v>
      </c>
      <c r="M220" s="2" t="s">
        <v>94</v>
      </c>
      <c r="N220" s="2" t="s">
        <v>37</v>
      </c>
      <c r="O220" s="2">
        <v>2025</v>
      </c>
      <c r="P220" s="2" t="str">
        <v>October</v>
      </c>
      <c r="Q220" s="2" t="s">
        <v>47</v>
      </c>
    </row>
    <row r="221" spans="1:17" x14ac:dyDescent="0.25">
      <c r="A221" s="2" t="s">
        <v>651</v>
      </c>
      <c r="B221" s="7">
        <v>45974</v>
      </c>
      <c r="C221" s="5" t="s">
        <v>156</v>
      </c>
      <c r="D221" s="5" t="s">
        <v>51</v>
      </c>
      <c r="E221" s="5" t="s">
        <v>179</v>
      </c>
      <c r="F221" s="2" t="s">
        <v>78</v>
      </c>
      <c r="G221" s="2">
        <v>1</v>
      </c>
      <c r="H221" s="25">
        <v>520</v>
      </c>
      <c r="I221" s="8">
        <v>15</v>
      </c>
      <c r="J221" s="25">
        <v>442</v>
      </c>
      <c r="K221" s="25">
        <f>G221*H221</f>
        <v>520</v>
      </c>
      <c r="L221" s="8">
        <f>K221*I221/100</f>
        <v>78</v>
      </c>
      <c r="M221" s="2" t="s">
        <v>94</v>
      </c>
      <c r="N221" s="2" t="s">
        <v>188</v>
      </c>
      <c r="O221" s="2">
        <v>2025</v>
      </c>
      <c r="P221" s="2" t="str">
        <v>November</v>
      </c>
      <c r="Q221" s="2" t="s">
        <v>47</v>
      </c>
    </row>
    <row r="222" spans="1:17" x14ac:dyDescent="0.25">
      <c r="A222" s="2" t="s">
        <v>653</v>
      </c>
      <c r="B222" s="7">
        <v>45915</v>
      </c>
      <c r="C222" s="5" t="s">
        <v>24</v>
      </c>
      <c r="D222" s="5" t="s">
        <v>16</v>
      </c>
      <c r="E222" s="5" t="s">
        <v>34</v>
      </c>
      <c r="F222" s="2" t="s">
        <v>35</v>
      </c>
      <c r="G222" s="2">
        <v>3</v>
      </c>
      <c r="H222" s="25">
        <v>5180</v>
      </c>
      <c r="I222" s="8">
        <v>0</v>
      </c>
      <c r="J222" s="25">
        <v>15540</v>
      </c>
      <c r="K222" s="25">
        <f>G222*H222</f>
        <v>15540</v>
      </c>
      <c r="L222" s="8">
        <f>K222*I222/100</f>
        <v>0</v>
      </c>
      <c r="M222" s="2" t="s">
        <v>94</v>
      </c>
      <c r="N222" s="2" t="s">
        <v>168</v>
      </c>
      <c r="O222" s="2">
        <v>2025</v>
      </c>
      <c r="P222" s="2" t="str">
        <v>September</v>
      </c>
      <c r="Q222" s="2" t="s">
        <v>47</v>
      </c>
    </row>
    <row r="223" spans="1:17" x14ac:dyDescent="0.25">
      <c r="A223" s="2" t="s">
        <v>655</v>
      </c>
      <c r="B223" s="7">
        <v>45889</v>
      </c>
      <c r="C223" s="5" t="s">
        <v>135</v>
      </c>
      <c r="D223" s="5" t="s">
        <v>58</v>
      </c>
      <c r="E223" s="5" t="s">
        <v>148</v>
      </c>
      <c r="F223" s="2" t="s">
        <v>149</v>
      </c>
      <c r="G223" s="2">
        <v>6</v>
      </c>
      <c r="H223" s="25">
        <v>12980</v>
      </c>
      <c r="I223" s="8">
        <v>0</v>
      </c>
      <c r="J223" s="25">
        <v>77880</v>
      </c>
      <c r="K223" s="25">
        <f>G223*H223</f>
        <v>77880</v>
      </c>
      <c r="L223" s="8">
        <f>K223*I223/100</f>
        <v>0</v>
      </c>
      <c r="M223" s="2" t="s">
        <v>94</v>
      </c>
      <c r="N223" s="2" t="s">
        <v>411</v>
      </c>
      <c r="O223" s="2">
        <v>2025</v>
      </c>
      <c r="P223" s="2" t="str">
        <v>August</v>
      </c>
      <c r="Q223" s="2" t="s">
        <v>21</v>
      </c>
    </row>
    <row r="224" spans="1:17" x14ac:dyDescent="0.25">
      <c r="A224" s="2" t="s">
        <v>659</v>
      </c>
      <c r="B224" s="7">
        <v>45709</v>
      </c>
      <c r="C224" s="5" t="s">
        <v>76</v>
      </c>
      <c r="D224" s="5" t="s">
        <v>33</v>
      </c>
      <c r="E224" s="5" t="s">
        <v>148</v>
      </c>
      <c r="F224" s="2" t="s">
        <v>379</v>
      </c>
      <c r="G224" s="2">
        <v>12</v>
      </c>
      <c r="H224" s="25">
        <v>1160</v>
      </c>
      <c r="I224" s="8">
        <v>0</v>
      </c>
      <c r="J224" s="25">
        <v>13920</v>
      </c>
      <c r="K224" s="25">
        <f>G224*H224</f>
        <v>13920</v>
      </c>
      <c r="L224" s="8">
        <f>K224*I224/100</f>
        <v>0</v>
      </c>
      <c r="M224" s="2" t="s">
        <v>94</v>
      </c>
      <c r="N224" s="2" t="s">
        <v>37</v>
      </c>
      <c r="O224" s="2">
        <v>2025</v>
      </c>
      <c r="P224" s="2" t="str">
        <v>February</v>
      </c>
      <c r="Q224" s="2" t="s">
        <v>47</v>
      </c>
    </row>
    <row r="225" spans="1:17" x14ac:dyDescent="0.25">
      <c r="A225" s="2" t="s">
        <v>661</v>
      </c>
      <c r="B225" s="7">
        <v>45991</v>
      </c>
      <c r="C225" s="5" t="s">
        <v>238</v>
      </c>
      <c r="D225" s="5" t="s">
        <v>51</v>
      </c>
      <c r="E225" s="5" t="s">
        <v>179</v>
      </c>
      <c r="F225" s="2" t="s">
        <v>83</v>
      </c>
      <c r="G225" s="2">
        <v>6</v>
      </c>
      <c r="H225" s="25">
        <v>4880</v>
      </c>
      <c r="I225" s="8">
        <v>10</v>
      </c>
      <c r="J225" s="25">
        <v>26352</v>
      </c>
      <c r="K225" s="25">
        <f>G225*H225</f>
        <v>29280</v>
      </c>
      <c r="L225" s="8">
        <f>K225*I225/100</f>
        <v>2928</v>
      </c>
      <c r="M225" s="2" t="s">
        <v>102</v>
      </c>
      <c r="N225" s="2" t="s">
        <v>37</v>
      </c>
      <c r="O225" s="2">
        <v>2025</v>
      </c>
      <c r="P225" s="2" t="str">
        <v>November</v>
      </c>
      <c r="Q225" s="2" t="s">
        <v>47</v>
      </c>
    </row>
    <row r="226" spans="1:17" x14ac:dyDescent="0.25">
      <c r="A226" s="2" t="s">
        <v>664</v>
      </c>
      <c r="B226" s="7">
        <v>45900</v>
      </c>
      <c r="C226" s="5" t="s">
        <v>135</v>
      </c>
      <c r="D226" s="5" t="s">
        <v>58</v>
      </c>
      <c r="E226" s="5" t="s">
        <v>148</v>
      </c>
      <c r="F226" s="2" t="s">
        <v>83</v>
      </c>
      <c r="G226" s="2">
        <v>11</v>
      </c>
      <c r="H226" s="25">
        <v>4520</v>
      </c>
      <c r="I226" s="8">
        <v>0</v>
      </c>
      <c r="J226" s="25">
        <v>49720</v>
      </c>
      <c r="K226" s="25">
        <f>G226*H226</f>
        <v>49720</v>
      </c>
      <c r="L226" s="8">
        <f>K226*I226/100</f>
        <v>0</v>
      </c>
      <c r="M226" s="2" t="s">
        <v>139</v>
      </c>
      <c r="N226" s="2" t="s">
        <v>266</v>
      </c>
      <c r="O226" s="2">
        <v>2025</v>
      </c>
      <c r="P226" s="2" t="str">
        <v>August</v>
      </c>
      <c r="Q226" s="2" t="s">
        <v>47</v>
      </c>
    </row>
    <row r="227" spans="1:17" x14ac:dyDescent="0.25">
      <c r="A227" s="2" t="s">
        <v>666</v>
      </c>
      <c r="B227" s="7">
        <v>45906</v>
      </c>
      <c r="C227" s="5" t="s">
        <v>238</v>
      </c>
      <c r="D227" s="5" t="s">
        <v>33</v>
      </c>
      <c r="E227" s="5" t="s">
        <v>295</v>
      </c>
      <c r="F227" s="2" t="s">
        <v>219</v>
      </c>
      <c r="G227" s="2">
        <v>3</v>
      </c>
      <c r="H227" s="25">
        <v>460</v>
      </c>
      <c r="I227" s="8">
        <v>0</v>
      </c>
      <c r="J227" s="25">
        <v>1380</v>
      </c>
      <c r="K227" s="25">
        <f>G227*H227</f>
        <v>1380</v>
      </c>
      <c r="L227" s="8">
        <f>K227*I227/100</f>
        <v>0</v>
      </c>
      <c r="M227" s="2" t="s">
        <v>139</v>
      </c>
      <c r="N227" s="2" t="s">
        <v>79</v>
      </c>
      <c r="O227" s="2">
        <v>2025</v>
      </c>
      <c r="P227" s="2" t="str">
        <v>September</v>
      </c>
      <c r="Q227" s="2" t="s">
        <v>47</v>
      </c>
    </row>
    <row r="228" spans="1:17" x14ac:dyDescent="0.25">
      <c r="A228" s="2" t="s">
        <v>668</v>
      </c>
      <c r="B228" s="7">
        <v>45877</v>
      </c>
      <c r="C228" s="5" t="s">
        <v>76</v>
      </c>
      <c r="D228" s="5" t="s">
        <v>33</v>
      </c>
      <c r="E228" s="5" t="s">
        <v>148</v>
      </c>
      <c r="F228" s="2" t="s">
        <v>167</v>
      </c>
      <c r="G228" s="2">
        <v>2</v>
      </c>
      <c r="H228" s="25">
        <v>11230</v>
      </c>
      <c r="I228" s="8">
        <v>0</v>
      </c>
      <c r="J228" s="25">
        <v>22460</v>
      </c>
      <c r="K228" s="25">
        <f>G228*H228</f>
        <v>22460</v>
      </c>
      <c r="L228" s="8">
        <f>K228*I228/100</f>
        <v>0</v>
      </c>
      <c r="M228" s="2" t="s">
        <v>102</v>
      </c>
      <c r="N228" s="2" t="s">
        <v>176</v>
      </c>
      <c r="O228" s="2">
        <v>2025</v>
      </c>
      <c r="P228" s="2" t="str">
        <v>August</v>
      </c>
      <c r="Q228" s="2" t="s">
        <v>47</v>
      </c>
    </row>
    <row r="229" spans="1:17" x14ac:dyDescent="0.25">
      <c r="A229" s="2" t="s">
        <v>670</v>
      </c>
      <c r="B229" s="7">
        <v>45864</v>
      </c>
      <c r="C229" s="5" t="s">
        <v>156</v>
      </c>
      <c r="D229" s="5" t="s">
        <v>51</v>
      </c>
      <c r="E229" s="5" t="s">
        <v>34</v>
      </c>
      <c r="F229" s="2" t="s">
        <v>374</v>
      </c>
      <c r="G229" s="2">
        <v>8</v>
      </c>
      <c r="H229" s="25">
        <v>7020</v>
      </c>
      <c r="I229" s="8">
        <v>5</v>
      </c>
      <c r="J229" s="25">
        <v>53352</v>
      </c>
      <c r="K229" s="25">
        <f>G229*H229</f>
        <v>56160</v>
      </c>
      <c r="L229" s="8">
        <f>K229*I229/100</f>
        <v>2808</v>
      </c>
      <c r="M229" s="2" t="s">
        <v>102</v>
      </c>
      <c r="N229" s="2" t="s">
        <v>68</v>
      </c>
      <c r="O229" s="2">
        <v>2025</v>
      </c>
      <c r="P229" s="2" t="str">
        <v>July</v>
      </c>
      <c r="Q229" s="2" t="s">
        <v>21</v>
      </c>
    </row>
    <row r="230" spans="1:17" x14ac:dyDescent="0.25">
      <c r="A230" s="2" t="s">
        <v>672</v>
      </c>
      <c r="B230" s="7">
        <v>46004</v>
      </c>
      <c r="C230" s="5" t="s">
        <v>76</v>
      </c>
      <c r="D230" s="5" t="s">
        <v>33</v>
      </c>
      <c r="E230" s="5" t="s">
        <v>295</v>
      </c>
      <c r="F230" s="2" t="s">
        <v>319</v>
      </c>
      <c r="G230" s="2">
        <v>6</v>
      </c>
      <c r="H230" s="25">
        <v>24350</v>
      </c>
      <c r="I230" s="8">
        <v>5</v>
      </c>
      <c r="J230" s="25">
        <v>138795</v>
      </c>
      <c r="K230" s="25">
        <f>G230*H230</f>
        <v>146100</v>
      </c>
      <c r="L230" s="8">
        <f>K230*I230/100</f>
        <v>7305</v>
      </c>
      <c r="M230" s="2" t="s">
        <v>94</v>
      </c>
      <c r="N230" s="2" t="s">
        <v>176</v>
      </c>
      <c r="O230" s="2">
        <v>2025</v>
      </c>
      <c r="P230" s="2" t="str">
        <v>December</v>
      </c>
      <c r="Q230" s="2" t="s">
        <v>21</v>
      </c>
    </row>
    <row r="231" spans="1:17" x14ac:dyDescent="0.25">
      <c r="A231" s="2" t="s">
        <v>673</v>
      </c>
      <c r="B231" s="7">
        <v>46017</v>
      </c>
      <c r="C231" s="5" t="s">
        <v>32</v>
      </c>
      <c r="D231" s="5" t="s">
        <v>33</v>
      </c>
      <c r="E231" s="5" t="s">
        <v>148</v>
      </c>
      <c r="F231" s="2" t="s">
        <v>435</v>
      </c>
      <c r="G231" s="2">
        <v>7</v>
      </c>
      <c r="H231" s="25">
        <v>12320</v>
      </c>
      <c r="I231" s="8">
        <v>0</v>
      </c>
      <c r="J231" s="25">
        <v>86240</v>
      </c>
      <c r="K231" s="25">
        <f>G231*H231</f>
        <v>86240</v>
      </c>
      <c r="L231" s="8">
        <f>K231*I231/100</f>
        <v>0</v>
      </c>
      <c r="M231" s="2" t="s">
        <v>139</v>
      </c>
      <c r="N231" s="2" t="s">
        <v>406</v>
      </c>
      <c r="O231" s="2">
        <v>2025</v>
      </c>
      <c r="P231" s="2" t="str">
        <v>December</v>
      </c>
      <c r="Q231" s="2" t="s">
        <v>47</v>
      </c>
    </row>
    <row r="232" spans="1:17" x14ac:dyDescent="0.25">
      <c r="A232" s="2" t="s">
        <v>674</v>
      </c>
      <c r="B232" s="7">
        <v>45936</v>
      </c>
      <c r="C232" s="5" t="s">
        <v>156</v>
      </c>
      <c r="D232" s="5" t="s">
        <v>51</v>
      </c>
      <c r="E232" s="5" t="s">
        <v>179</v>
      </c>
      <c r="F232" s="2" t="s">
        <v>143</v>
      </c>
      <c r="G232" s="2">
        <v>10</v>
      </c>
      <c r="H232" s="25">
        <v>11410</v>
      </c>
      <c r="I232" s="8">
        <v>0</v>
      </c>
      <c r="J232" s="25">
        <v>114100</v>
      </c>
      <c r="K232" s="25">
        <f>G232*H232</f>
        <v>114100</v>
      </c>
      <c r="L232" s="8">
        <f>K232*I232/100</f>
        <v>0</v>
      </c>
      <c r="M232" s="2" t="s">
        <v>94</v>
      </c>
      <c r="N232" s="2" t="s">
        <v>411</v>
      </c>
      <c r="O232" s="2">
        <v>2025</v>
      </c>
      <c r="P232" s="2" t="str">
        <v>October</v>
      </c>
      <c r="Q232" s="2" t="s">
        <v>47</v>
      </c>
    </row>
    <row r="233" spans="1:17" x14ac:dyDescent="0.25">
      <c r="A233" s="2" t="s">
        <v>676</v>
      </c>
      <c r="B233" s="7">
        <v>45841</v>
      </c>
      <c r="C233" s="5" t="s">
        <v>135</v>
      </c>
      <c r="D233" s="5" t="s">
        <v>58</v>
      </c>
      <c r="E233" s="5" t="s">
        <v>295</v>
      </c>
      <c r="F233" s="2" t="s">
        <v>296</v>
      </c>
      <c r="G233" s="2">
        <v>10</v>
      </c>
      <c r="H233" s="25">
        <v>7140</v>
      </c>
      <c r="I233" s="8">
        <v>0</v>
      </c>
      <c r="J233" s="25">
        <v>71400</v>
      </c>
      <c r="K233" s="25">
        <f>G233*H233</f>
        <v>71400</v>
      </c>
      <c r="L233" s="8">
        <f>K233*I233/100</f>
        <v>0</v>
      </c>
      <c r="M233" s="2" t="s">
        <v>139</v>
      </c>
      <c r="N233" s="2" t="s">
        <v>344</v>
      </c>
      <c r="O233" s="2">
        <v>2025</v>
      </c>
      <c r="P233" s="2" t="str">
        <v>July</v>
      </c>
      <c r="Q233" s="2" t="s">
        <v>21</v>
      </c>
    </row>
    <row r="234" spans="1:17" x14ac:dyDescent="0.25">
      <c r="A234" s="2" t="s">
        <v>678</v>
      </c>
      <c r="B234" s="7">
        <v>45782</v>
      </c>
      <c r="C234" s="5" t="s">
        <v>32</v>
      </c>
      <c r="D234" s="5" t="s">
        <v>33</v>
      </c>
      <c r="E234" s="5" t="s">
        <v>179</v>
      </c>
      <c r="F234" s="2" t="s">
        <v>143</v>
      </c>
      <c r="G234" s="2">
        <v>6</v>
      </c>
      <c r="H234" s="25">
        <v>50240</v>
      </c>
      <c r="I234" s="8">
        <v>0</v>
      </c>
      <c r="J234" s="25">
        <v>301440</v>
      </c>
      <c r="K234" s="25">
        <f>G234*H234</f>
        <v>301440</v>
      </c>
      <c r="L234" s="8">
        <f>K234*I234/100</f>
        <v>0</v>
      </c>
      <c r="M234" s="2" t="s">
        <v>53</v>
      </c>
      <c r="N234" s="2" t="s">
        <v>188</v>
      </c>
      <c r="O234" s="2">
        <v>2025</v>
      </c>
      <c r="P234" s="2" t="str">
        <v>May</v>
      </c>
      <c r="Q234" s="2" t="s">
        <v>21</v>
      </c>
    </row>
    <row r="235" spans="1:17" x14ac:dyDescent="0.25">
      <c r="A235" s="2" t="s">
        <v>680</v>
      </c>
      <c r="B235" s="7">
        <v>45923</v>
      </c>
      <c r="C235" s="5" t="s">
        <v>156</v>
      </c>
      <c r="D235" s="5" t="s">
        <v>51</v>
      </c>
      <c r="E235" s="5" t="s">
        <v>295</v>
      </c>
      <c r="F235" s="2" t="s">
        <v>66</v>
      </c>
      <c r="G235" s="2">
        <v>6</v>
      </c>
      <c r="H235" s="25">
        <v>48950</v>
      </c>
      <c r="I235" s="8">
        <v>0</v>
      </c>
      <c r="J235" s="25">
        <v>293700</v>
      </c>
      <c r="K235" s="25">
        <f>G235*H235</f>
        <v>293700</v>
      </c>
      <c r="L235" s="8">
        <f>K235*I235/100</f>
        <v>0</v>
      </c>
      <c r="M235" s="2" t="s">
        <v>94</v>
      </c>
      <c r="N235" s="2" t="s">
        <v>266</v>
      </c>
      <c r="O235" s="2">
        <v>2025</v>
      </c>
      <c r="P235" s="2" t="str">
        <v>September</v>
      </c>
      <c r="Q235" s="2" t="s">
        <v>47</v>
      </c>
    </row>
    <row r="236" spans="1:17" x14ac:dyDescent="0.25">
      <c r="A236" s="2" t="s">
        <v>681</v>
      </c>
      <c r="B236" s="7">
        <v>45865</v>
      </c>
      <c r="C236" s="5" t="s">
        <v>238</v>
      </c>
      <c r="D236" s="5" t="s">
        <v>51</v>
      </c>
      <c r="E236" s="5" t="s">
        <v>148</v>
      </c>
      <c r="F236" s="2" t="s">
        <v>435</v>
      </c>
      <c r="G236" s="2">
        <v>5</v>
      </c>
      <c r="H236" s="25">
        <v>68900</v>
      </c>
      <c r="I236" s="8">
        <v>0</v>
      </c>
      <c r="J236" s="25">
        <v>344500</v>
      </c>
      <c r="K236" s="25">
        <f>G236*H236</f>
        <v>344500</v>
      </c>
      <c r="L236" s="8">
        <f>K236*I236/100</f>
        <v>0</v>
      </c>
      <c r="M236" s="2" t="s">
        <v>94</v>
      </c>
      <c r="N236" s="2" t="s">
        <v>406</v>
      </c>
      <c r="O236" s="2">
        <v>2025</v>
      </c>
      <c r="P236" s="2" t="str">
        <v>July</v>
      </c>
      <c r="Q236" s="2" t="s">
        <v>47</v>
      </c>
    </row>
    <row r="237" spans="1:17" x14ac:dyDescent="0.25">
      <c r="A237" s="2" t="s">
        <v>683</v>
      </c>
      <c r="B237" s="7">
        <v>45941</v>
      </c>
      <c r="C237" s="5" t="s">
        <v>32</v>
      </c>
      <c r="D237" s="2" t="s">
        <v>33</v>
      </c>
      <c r="E237" s="2" t="s">
        <v>34</v>
      </c>
      <c r="F237" s="2" t="s">
        <v>35</v>
      </c>
      <c r="G237" s="2">
        <v>6</v>
      </c>
      <c r="H237" s="25">
        <v>1160</v>
      </c>
      <c r="I237" s="8">
        <v>0</v>
      </c>
      <c r="J237" s="25">
        <v>6960</v>
      </c>
      <c r="K237" s="25">
        <f>G237*H237</f>
        <v>6960</v>
      </c>
      <c r="L237" s="8">
        <f>K237*I237/100</f>
        <v>0</v>
      </c>
      <c r="M237" s="2" t="s">
        <v>102</v>
      </c>
      <c r="N237" s="2" t="s">
        <v>79</v>
      </c>
      <c r="O237" s="2">
        <v>2025</v>
      </c>
      <c r="P237" s="2" t="str">
        <v>October</v>
      </c>
      <c r="Q237" s="2" t="s">
        <v>47</v>
      </c>
    </row>
    <row r="238" spans="1:17" x14ac:dyDescent="0.25">
      <c r="A238" s="2" t="s">
        <v>686</v>
      </c>
      <c r="B238" s="7">
        <v>45716</v>
      </c>
      <c r="C238" s="5" t="s">
        <v>32</v>
      </c>
      <c r="D238" s="5" t="s">
        <v>33</v>
      </c>
      <c r="E238" s="5" t="s">
        <v>179</v>
      </c>
      <c r="F238" s="2" t="s">
        <v>184</v>
      </c>
      <c r="G238" s="2">
        <v>2</v>
      </c>
      <c r="H238" s="25">
        <v>19430</v>
      </c>
      <c r="I238" s="8">
        <v>10</v>
      </c>
      <c r="J238" s="25">
        <v>34974</v>
      </c>
      <c r="K238" s="25">
        <f>G238*H238</f>
        <v>38860</v>
      </c>
      <c r="L238" s="8">
        <f>K238*I238/100</f>
        <v>3886</v>
      </c>
      <c r="M238" s="2" t="s">
        <v>139</v>
      </c>
      <c r="N238" s="2" t="s">
        <v>168</v>
      </c>
      <c r="O238" s="2">
        <v>2025</v>
      </c>
      <c r="P238" s="2" t="str">
        <v>February</v>
      </c>
      <c r="Q238" s="2" t="s">
        <v>21</v>
      </c>
    </row>
    <row r="239" spans="1:17" x14ac:dyDescent="0.25">
      <c r="A239" s="2" t="s">
        <v>688</v>
      </c>
      <c r="B239" s="7">
        <v>45825</v>
      </c>
      <c r="C239" s="5" t="s">
        <v>135</v>
      </c>
      <c r="D239" s="5" t="s">
        <v>58</v>
      </c>
      <c r="E239" s="5" t="s">
        <v>34</v>
      </c>
      <c r="F239" s="2" t="s">
        <v>71</v>
      </c>
      <c r="G239" s="2">
        <v>9</v>
      </c>
      <c r="H239" s="25">
        <v>13000</v>
      </c>
      <c r="I239" s="8">
        <v>10</v>
      </c>
      <c r="J239" s="25">
        <v>105300</v>
      </c>
      <c r="K239" s="25">
        <f>G239*H239</f>
        <v>117000</v>
      </c>
      <c r="L239" s="8">
        <f>K239*I239/100</f>
        <v>11700</v>
      </c>
      <c r="M239" s="2" t="s">
        <v>139</v>
      </c>
      <c r="N239" s="2" t="s">
        <v>46</v>
      </c>
      <c r="O239" s="2">
        <v>2025</v>
      </c>
      <c r="P239" s="2" t="str">
        <v>June</v>
      </c>
      <c r="Q239" s="2" t="s">
        <v>47</v>
      </c>
    </row>
    <row r="240" spans="1:17" x14ac:dyDescent="0.25">
      <c r="A240" s="2" t="s">
        <v>690</v>
      </c>
      <c r="B240" s="7">
        <v>45879</v>
      </c>
      <c r="C240" s="5" t="s">
        <v>24</v>
      </c>
      <c r="D240" s="5" t="s">
        <v>16</v>
      </c>
      <c r="E240" s="5" t="s">
        <v>295</v>
      </c>
      <c r="F240" s="2" t="s">
        <v>126</v>
      </c>
      <c r="G240" s="2">
        <v>11</v>
      </c>
      <c r="H240" s="25">
        <v>62670</v>
      </c>
      <c r="I240" s="8">
        <v>0</v>
      </c>
      <c r="J240" s="25">
        <v>689370</v>
      </c>
      <c r="K240" s="25">
        <f>G240*H240</f>
        <v>689370</v>
      </c>
      <c r="L240" s="8">
        <f>K240*I240/100</f>
        <v>0</v>
      </c>
      <c r="M240" s="2" t="s">
        <v>139</v>
      </c>
      <c r="N240" s="2" t="s">
        <v>37</v>
      </c>
      <c r="O240" s="2">
        <v>2025</v>
      </c>
      <c r="P240" s="2" t="str">
        <v>August</v>
      </c>
      <c r="Q240" s="2" t="s">
        <v>21</v>
      </c>
    </row>
    <row r="241" spans="1:17" x14ac:dyDescent="0.25">
      <c r="A241" s="2" t="s">
        <v>692</v>
      </c>
      <c r="B241" s="7">
        <v>46020</v>
      </c>
      <c r="C241" s="5" t="s">
        <v>135</v>
      </c>
      <c r="D241" s="5" t="s">
        <v>58</v>
      </c>
      <c r="E241" s="5" t="s">
        <v>148</v>
      </c>
      <c r="F241" s="2" t="s">
        <v>83</v>
      </c>
      <c r="G241" s="2">
        <v>2</v>
      </c>
      <c r="H241" s="25">
        <v>63010</v>
      </c>
      <c r="I241" s="8">
        <v>0</v>
      </c>
      <c r="J241" s="25">
        <v>126020</v>
      </c>
      <c r="K241" s="25">
        <f>G241*H241</f>
        <v>126020</v>
      </c>
      <c r="L241" s="8">
        <f>K241*I241/100</f>
        <v>0</v>
      </c>
      <c r="M241" s="2" t="s">
        <v>102</v>
      </c>
      <c r="N241" s="2" t="s">
        <v>344</v>
      </c>
      <c r="O241" s="2">
        <v>2025</v>
      </c>
      <c r="P241" s="2" t="str">
        <v>December</v>
      </c>
      <c r="Q241" s="2" t="s">
        <v>47</v>
      </c>
    </row>
    <row r="242" spans="1:17" x14ac:dyDescent="0.25">
      <c r="A242" s="2" t="s">
        <v>694</v>
      </c>
      <c r="B242" s="7">
        <v>45764</v>
      </c>
      <c r="C242" s="5" t="s">
        <v>32</v>
      </c>
      <c r="D242" s="5" t="s">
        <v>33</v>
      </c>
      <c r="E242" s="5" t="s">
        <v>179</v>
      </c>
      <c r="F242" s="2" t="s">
        <v>167</v>
      </c>
      <c r="G242" s="2">
        <v>7</v>
      </c>
      <c r="H242" s="25">
        <v>13450</v>
      </c>
      <c r="I242" s="8">
        <v>0</v>
      </c>
      <c r="J242" s="25">
        <v>94150</v>
      </c>
      <c r="K242" s="25">
        <f>G242*H242</f>
        <v>94150</v>
      </c>
      <c r="L242" s="8">
        <f>K242*I242/100</f>
        <v>0</v>
      </c>
      <c r="M242" s="2" t="s">
        <v>53</v>
      </c>
      <c r="N242" s="2" t="s">
        <v>883</v>
      </c>
      <c r="O242" s="2">
        <v>2025</v>
      </c>
      <c r="P242" s="2" t="str">
        <v>April</v>
      </c>
      <c r="Q242" s="2" t="s">
        <v>47</v>
      </c>
    </row>
    <row r="243" spans="1:17" x14ac:dyDescent="0.25">
      <c r="A243" s="2" t="s">
        <v>696</v>
      </c>
      <c r="B243" s="7">
        <v>45730</v>
      </c>
      <c r="C243" s="5" t="s">
        <v>76</v>
      </c>
      <c r="D243" s="5" t="s">
        <v>33</v>
      </c>
      <c r="E243" s="5" t="s">
        <v>34</v>
      </c>
      <c r="F243" s="2" t="s">
        <v>35</v>
      </c>
      <c r="G243" s="2">
        <v>4</v>
      </c>
      <c r="H243" s="25">
        <v>66100</v>
      </c>
      <c r="I243" s="8">
        <v>0</v>
      </c>
      <c r="J243" s="25">
        <v>264400</v>
      </c>
      <c r="K243" s="25">
        <f>G243*H243</f>
        <v>264400</v>
      </c>
      <c r="L243" s="8">
        <f>K243*I243/100</f>
        <v>0</v>
      </c>
      <c r="M243" s="2" t="s">
        <v>102</v>
      </c>
      <c r="N243" s="2" t="s">
        <v>406</v>
      </c>
      <c r="O243" s="2">
        <v>2025</v>
      </c>
      <c r="P243" s="2" t="str">
        <v>March</v>
      </c>
      <c r="Q243" s="2" t="s">
        <v>21</v>
      </c>
    </row>
    <row r="244" spans="1:17" x14ac:dyDescent="0.25">
      <c r="A244" s="2" t="s">
        <v>699</v>
      </c>
      <c r="B244" s="7">
        <v>45979</v>
      </c>
      <c r="C244" s="5" t="s">
        <v>76</v>
      </c>
      <c r="D244" s="5" t="s">
        <v>33</v>
      </c>
      <c r="E244" s="5" t="s">
        <v>179</v>
      </c>
      <c r="F244" s="2" t="s">
        <v>184</v>
      </c>
      <c r="G244" s="2">
        <v>6</v>
      </c>
      <c r="H244" s="25">
        <v>25500</v>
      </c>
      <c r="I244" s="8">
        <v>5</v>
      </c>
      <c r="J244" s="25">
        <v>145350</v>
      </c>
      <c r="K244" s="25">
        <f>G244*H244</f>
        <v>153000</v>
      </c>
      <c r="L244" s="8">
        <f>K244*I244/100</f>
        <v>7650</v>
      </c>
      <c r="M244" s="2" t="s">
        <v>102</v>
      </c>
      <c r="N244" s="2" t="s">
        <v>68</v>
      </c>
      <c r="O244" s="2">
        <v>2025</v>
      </c>
      <c r="P244" s="2" t="str">
        <v>November</v>
      </c>
      <c r="Q244" s="2" t="s">
        <v>21</v>
      </c>
    </row>
    <row r="245" spans="1:17" x14ac:dyDescent="0.25">
      <c r="A245" s="2" t="s">
        <v>701</v>
      </c>
      <c r="B245" s="7">
        <v>45725</v>
      </c>
      <c r="C245" s="5" t="s">
        <v>238</v>
      </c>
      <c r="D245" s="2" t="s">
        <v>51</v>
      </c>
      <c r="E245" s="2" t="s">
        <v>25</v>
      </c>
      <c r="F245" s="2" t="s">
        <v>93</v>
      </c>
      <c r="G245" s="2">
        <v>12</v>
      </c>
      <c r="H245" s="25">
        <v>7050</v>
      </c>
      <c r="I245" s="8">
        <v>5</v>
      </c>
      <c r="J245" s="25">
        <v>80370</v>
      </c>
      <c r="K245" s="25">
        <f>G245*H245</f>
        <v>84600</v>
      </c>
      <c r="L245" s="8">
        <f>K245*I245/100</f>
        <v>4230</v>
      </c>
      <c r="M245" s="2" t="s">
        <v>102</v>
      </c>
      <c r="N245" s="2" t="s">
        <v>266</v>
      </c>
      <c r="O245" s="2">
        <v>2025</v>
      </c>
      <c r="P245" s="2" t="str">
        <v>March</v>
      </c>
      <c r="Q245" s="2" t="s">
        <v>21</v>
      </c>
    </row>
    <row r="246" spans="1:17" x14ac:dyDescent="0.25">
      <c r="A246" s="2" t="s">
        <v>703</v>
      </c>
      <c r="B246" s="7">
        <v>45792</v>
      </c>
      <c r="C246" s="5" t="s">
        <v>156</v>
      </c>
      <c r="D246" s="5" t="s">
        <v>51</v>
      </c>
      <c r="E246" s="5" t="s">
        <v>295</v>
      </c>
      <c r="F246" s="2" t="s">
        <v>296</v>
      </c>
      <c r="G246" s="2">
        <v>12</v>
      </c>
      <c r="H246" s="25">
        <v>530</v>
      </c>
      <c r="I246" s="8">
        <v>10</v>
      </c>
      <c r="J246" s="25">
        <v>5724</v>
      </c>
      <c r="K246" s="25">
        <f>G246*H246</f>
        <v>6360</v>
      </c>
      <c r="L246" s="8">
        <f>K246*I246/100</f>
        <v>636</v>
      </c>
      <c r="M246" s="2" t="s">
        <v>94</v>
      </c>
      <c r="N246" s="2" t="s">
        <v>341</v>
      </c>
      <c r="O246" s="2">
        <v>2025</v>
      </c>
      <c r="P246" s="2" t="str">
        <v>May</v>
      </c>
      <c r="Q246" s="2" t="s">
        <v>21</v>
      </c>
    </row>
    <row r="247" spans="1:17" x14ac:dyDescent="0.25">
      <c r="A247" s="2" t="s">
        <v>706</v>
      </c>
      <c r="B247" s="7">
        <v>45960</v>
      </c>
      <c r="C247" s="5" t="s">
        <v>32</v>
      </c>
      <c r="D247" s="5" t="s">
        <v>33</v>
      </c>
      <c r="E247" s="5" t="s">
        <v>295</v>
      </c>
      <c r="F247" s="2" t="s">
        <v>132</v>
      </c>
      <c r="G247" s="2">
        <v>5</v>
      </c>
      <c r="H247" s="25">
        <v>16450</v>
      </c>
      <c r="I247" s="8">
        <v>0</v>
      </c>
      <c r="J247" s="25">
        <v>82250</v>
      </c>
      <c r="K247" s="25">
        <f>G247*H247</f>
        <v>82250</v>
      </c>
      <c r="L247" s="8">
        <f>K247*I247/100</f>
        <v>0</v>
      </c>
      <c r="M247" s="2" t="s">
        <v>53</v>
      </c>
      <c r="N247" s="2" t="s">
        <v>79</v>
      </c>
      <c r="O247" s="2">
        <v>2025</v>
      </c>
      <c r="P247" s="2" t="str">
        <v>October</v>
      </c>
      <c r="Q247" s="2" t="s">
        <v>21</v>
      </c>
    </row>
    <row r="248" spans="1:17" x14ac:dyDescent="0.25">
      <c r="A248" s="2" t="s">
        <v>708</v>
      </c>
      <c r="B248" s="7">
        <v>45926</v>
      </c>
      <c r="C248" s="5" t="s">
        <v>76</v>
      </c>
      <c r="D248" s="5" t="s">
        <v>33</v>
      </c>
      <c r="E248" s="5" t="s">
        <v>295</v>
      </c>
      <c r="F248" s="2" t="s">
        <v>66</v>
      </c>
      <c r="G248" s="2">
        <v>5</v>
      </c>
      <c r="H248" s="25">
        <v>26750</v>
      </c>
      <c r="I248" s="8">
        <v>5</v>
      </c>
      <c r="J248" s="25">
        <v>127062.5</v>
      </c>
      <c r="K248" s="25">
        <f>G248*H248</f>
        <v>133750</v>
      </c>
      <c r="L248" s="8">
        <f>K248*I248/100</f>
        <v>6687.5</v>
      </c>
      <c r="M248" s="2" t="s">
        <v>102</v>
      </c>
      <c r="N248" s="2" t="s">
        <v>37</v>
      </c>
      <c r="O248" s="2">
        <v>2025</v>
      </c>
      <c r="P248" s="2" t="str">
        <v>September</v>
      </c>
      <c r="Q248" s="2" t="s">
        <v>21</v>
      </c>
    </row>
    <row r="249" spans="1:17" x14ac:dyDescent="0.25">
      <c r="A249" s="2" t="s">
        <v>711</v>
      </c>
      <c r="B249" s="7">
        <v>45950</v>
      </c>
      <c r="C249" s="5" t="s">
        <v>41</v>
      </c>
      <c r="D249" s="5" t="s">
        <v>42</v>
      </c>
      <c r="E249" s="5" t="s">
        <v>148</v>
      </c>
      <c r="F249" s="2" t="s">
        <v>60</v>
      </c>
      <c r="G249" s="2">
        <v>2</v>
      </c>
      <c r="H249" s="25">
        <v>8130</v>
      </c>
      <c r="I249" s="8">
        <v>0</v>
      </c>
      <c r="J249" s="25">
        <v>16260</v>
      </c>
      <c r="K249" s="25">
        <f>G249*H249</f>
        <v>16260</v>
      </c>
      <c r="L249" s="8">
        <f>K249*I249/100</f>
        <v>0</v>
      </c>
      <c r="M249" s="2" t="s">
        <v>53</v>
      </c>
      <c r="N249" s="2" t="s">
        <v>168</v>
      </c>
      <c r="O249" s="2">
        <v>2025</v>
      </c>
      <c r="P249" s="2" t="str">
        <v>October</v>
      </c>
      <c r="Q249" s="2" t="s">
        <v>21</v>
      </c>
    </row>
    <row r="250" spans="1:17" x14ac:dyDescent="0.25">
      <c r="A250" s="2" t="s">
        <v>713</v>
      </c>
      <c r="B250" s="7">
        <v>45873</v>
      </c>
      <c r="C250" s="5" t="s">
        <v>32</v>
      </c>
      <c r="D250" s="5" t="s">
        <v>33</v>
      </c>
      <c r="E250" s="5" t="s">
        <v>25</v>
      </c>
      <c r="F250" s="2" t="s">
        <v>26</v>
      </c>
      <c r="G250" s="2">
        <v>1</v>
      </c>
      <c r="H250" s="25">
        <v>44540</v>
      </c>
      <c r="I250" s="8">
        <v>0</v>
      </c>
      <c r="J250" s="25">
        <v>44540</v>
      </c>
      <c r="K250" s="25">
        <f>G250*H250</f>
        <v>44540</v>
      </c>
      <c r="L250" s="8">
        <f>K250*I250/100</f>
        <v>0</v>
      </c>
      <c r="M250" s="2" t="s">
        <v>139</v>
      </c>
      <c r="N250" s="2" t="s">
        <v>883</v>
      </c>
      <c r="O250" s="2">
        <v>2025</v>
      </c>
      <c r="P250" s="2" t="str">
        <v>August</v>
      </c>
      <c r="Q250" s="2" t="s">
        <v>21</v>
      </c>
    </row>
    <row r="251" spans="1:17" x14ac:dyDescent="0.25">
      <c r="A251" s="2" t="s">
        <v>715</v>
      </c>
      <c r="B251" s="7">
        <v>45720</v>
      </c>
      <c r="C251" s="5" t="s">
        <v>41</v>
      </c>
      <c r="D251" s="5" t="s">
        <v>42</v>
      </c>
      <c r="E251" s="5" t="s">
        <v>34</v>
      </c>
      <c r="F251" s="2" t="s">
        <v>374</v>
      </c>
      <c r="G251" s="2">
        <v>4</v>
      </c>
      <c r="H251" s="25">
        <v>62280</v>
      </c>
      <c r="I251" s="8">
        <v>0</v>
      </c>
      <c r="J251" s="25">
        <v>249120</v>
      </c>
      <c r="K251" s="25">
        <f>G251*H251</f>
        <v>249120</v>
      </c>
      <c r="L251" s="8">
        <f>K251*I251/100</f>
        <v>0</v>
      </c>
      <c r="M251" s="2" t="s">
        <v>102</v>
      </c>
      <c r="N251" s="2" t="s">
        <v>188</v>
      </c>
      <c r="O251" s="2">
        <v>2025</v>
      </c>
      <c r="P251" s="2" t="str">
        <v>March</v>
      </c>
      <c r="Q251" s="2" t="s">
        <v>21</v>
      </c>
    </row>
    <row r="252" spans="1:17" x14ac:dyDescent="0.25">
      <c r="A252" s="2" t="s">
        <v>717</v>
      </c>
      <c r="B252" s="7">
        <v>45899</v>
      </c>
      <c r="C252" s="5" t="s">
        <v>76</v>
      </c>
      <c r="D252" s="5" t="s">
        <v>33</v>
      </c>
      <c r="E252" s="5" t="s">
        <v>34</v>
      </c>
      <c r="F252" s="2" t="s">
        <v>71</v>
      </c>
      <c r="G252" s="2">
        <v>1</v>
      </c>
      <c r="H252" s="25">
        <v>16900</v>
      </c>
      <c r="I252" s="8">
        <v>10</v>
      </c>
      <c r="J252" s="25">
        <v>15210</v>
      </c>
      <c r="K252" s="25">
        <f>G252*H252</f>
        <v>16900</v>
      </c>
      <c r="L252" s="8">
        <f>K252*I252/100</f>
        <v>1690</v>
      </c>
      <c r="M252" s="2" t="s">
        <v>53</v>
      </c>
      <c r="N252" s="2" t="s">
        <v>266</v>
      </c>
      <c r="O252" s="2">
        <v>2025</v>
      </c>
      <c r="P252" s="2" t="str">
        <v>August</v>
      </c>
      <c r="Q252" s="2" t="s">
        <v>21</v>
      </c>
    </row>
    <row r="253" spans="1:17" x14ac:dyDescent="0.25">
      <c r="A253" s="2" t="s">
        <v>719</v>
      </c>
      <c r="B253" s="7">
        <v>45721</v>
      </c>
      <c r="C253" s="5" t="s">
        <v>238</v>
      </c>
      <c r="D253" s="5" t="s">
        <v>51</v>
      </c>
      <c r="E253" s="5" t="s">
        <v>295</v>
      </c>
      <c r="F253" s="2" t="s">
        <v>219</v>
      </c>
      <c r="G253" s="2">
        <v>5</v>
      </c>
      <c r="H253" s="25">
        <v>510</v>
      </c>
      <c r="I253" s="8">
        <v>0</v>
      </c>
      <c r="J253" s="25">
        <v>2550</v>
      </c>
      <c r="K253" s="25">
        <f>G253*H253</f>
        <v>2550</v>
      </c>
      <c r="L253" s="8">
        <f>K253*I253/100</f>
        <v>0</v>
      </c>
      <c r="M253" s="2" t="s">
        <v>53</v>
      </c>
      <c r="N253" s="2" t="s">
        <v>73</v>
      </c>
      <c r="O253" s="2">
        <v>2025</v>
      </c>
      <c r="P253" s="2" t="str">
        <v>March</v>
      </c>
      <c r="Q253" s="2" t="s">
        <v>21</v>
      </c>
    </row>
    <row r="254" spans="1:17" x14ac:dyDescent="0.25">
      <c r="A254" s="2" t="s">
        <v>721</v>
      </c>
      <c r="B254" s="7">
        <v>45808</v>
      </c>
      <c r="C254" s="5" t="s">
        <v>135</v>
      </c>
      <c r="D254" s="5" t="s">
        <v>58</v>
      </c>
      <c r="E254" s="5" t="s">
        <v>34</v>
      </c>
      <c r="F254" s="2" t="s">
        <v>164</v>
      </c>
      <c r="G254" s="2">
        <v>3</v>
      </c>
      <c r="H254" s="25">
        <v>66900</v>
      </c>
      <c r="I254" s="8">
        <v>0</v>
      </c>
      <c r="J254" s="25">
        <v>200700</v>
      </c>
      <c r="K254" s="25">
        <f>G254*H254</f>
        <v>200700</v>
      </c>
      <c r="L254" s="8">
        <f>K254*I254/100</f>
        <v>0</v>
      </c>
      <c r="M254" s="2" t="s">
        <v>102</v>
      </c>
      <c r="N254" s="2" t="s">
        <v>188</v>
      </c>
      <c r="O254" s="2">
        <v>2025</v>
      </c>
      <c r="P254" s="2" t="str">
        <v>May</v>
      </c>
      <c r="Q254" s="2" t="s">
        <v>21</v>
      </c>
    </row>
    <row r="255" spans="1:17" x14ac:dyDescent="0.25">
      <c r="A255" s="2" t="s">
        <v>723</v>
      </c>
      <c r="B255" s="7">
        <v>46013</v>
      </c>
      <c r="C255" s="5" t="s">
        <v>156</v>
      </c>
      <c r="D255" s="5" t="s">
        <v>51</v>
      </c>
      <c r="E255" s="5" t="s">
        <v>148</v>
      </c>
      <c r="F255" s="2" t="s">
        <v>83</v>
      </c>
      <c r="G255" s="2">
        <v>2</v>
      </c>
      <c r="H255" s="25">
        <v>10100</v>
      </c>
      <c r="I255" s="8">
        <v>0</v>
      </c>
      <c r="J255" s="25">
        <v>20200</v>
      </c>
      <c r="K255" s="25">
        <f>G255*H255</f>
        <v>20200</v>
      </c>
      <c r="L255" s="8">
        <f>K255*I255/100</f>
        <v>0</v>
      </c>
      <c r="M255" s="2" t="s">
        <v>139</v>
      </c>
      <c r="N255" s="2" t="s">
        <v>341</v>
      </c>
      <c r="O255" s="2">
        <v>2025</v>
      </c>
      <c r="P255" s="2" t="str">
        <v>December</v>
      </c>
      <c r="Q255" s="2" t="s">
        <v>47</v>
      </c>
    </row>
    <row r="256" spans="1:17" x14ac:dyDescent="0.25">
      <c r="A256" s="2" t="s">
        <v>725</v>
      </c>
      <c r="B256" s="7">
        <v>45761</v>
      </c>
      <c r="C256" s="5" t="s">
        <v>76</v>
      </c>
      <c r="D256" s="5" t="s">
        <v>33</v>
      </c>
      <c r="E256" s="5" t="s">
        <v>148</v>
      </c>
      <c r="F256" s="2" t="s">
        <v>60</v>
      </c>
      <c r="G256" s="2">
        <v>6</v>
      </c>
      <c r="H256" s="25">
        <v>2630</v>
      </c>
      <c r="I256" s="8">
        <v>0</v>
      </c>
      <c r="J256" s="25">
        <v>15780</v>
      </c>
      <c r="K256" s="25">
        <f>G256*H256</f>
        <v>15780</v>
      </c>
      <c r="L256" s="8">
        <f>K256*I256/100</f>
        <v>0</v>
      </c>
      <c r="M256" s="2" t="s">
        <v>139</v>
      </c>
      <c r="N256" s="2" t="s">
        <v>54</v>
      </c>
      <c r="O256" s="2">
        <v>2025</v>
      </c>
      <c r="P256" s="2" t="str">
        <v>April</v>
      </c>
      <c r="Q256" s="2" t="s">
        <v>47</v>
      </c>
    </row>
    <row r="257" spans="1:17" x14ac:dyDescent="0.25">
      <c r="A257" s="2" t="s">
        <v>727</v>
      </c>
      <c r="B257" s="7">
        <v>45781</v>
      </c>
      <c r="C257" s="5" t="s">
        <v>238</v>
      </c>
      <c r="D257" s="5" t="s">
        <v>51</v>
      </c>
      <c r="E257" s="5" t="s">
        <v>179</v>
      </c>
      <c r="F257" s="2" t="s">
        <v>232</v>
      </c>
      <c r="G257" s="2">
        <v>12</v>
      </c>
      <c r="H257" s="25">
        <v>18600</v>
      </c>
      <c r="I257" s="8">
        <v>0</v>
      </c>
      <c r="J257" s="25">
        <v>223200</v>
      </c>
      <c r="K257" s="25">
        <f>G257*H257</f>
        <v>223200</v>
      </c>
      <c r="L257" s="8">
        <f>K257*I257/100</f>
        <v>0</v>
      </c>
      <c r="M257" s="2" t="s">
        <v>53</v>
      </c>
      <c r="N257" s="2" t="s">
        <v>68</v>
      </c>
      <c r="O257" s="2">
        <v>2025</v>
      </c>
      <c r="P257" s="2" t="str">
        <v>May</v>
      </c>
      <c r="Q257" s="2" t="s">
        <v>21</v>
      </c>
    </row>
    <row r="258" spans="1:17" x14ac:dyDescent="0.25">
      <c r="A258" s="2" t="s">
        <v>729</v>
      </c>
      <c r="B258" s="7">
        <v>45890</v>
      </c>
      <c r="C258" s="5" t="s">
        <v>238</v>
      </c>
      <c r="D258" s="5" t="s">
        <v>33</v>
      </c>
      <c r="E258" s="5" t="s">
        <v>34</v>
      </c>
      <c r="F258" s="2" t="s">
        <v>18</v>
      </c>
      <c r="G258" s="2">
        <v>5</v>
      </c>
      <c r="H258" s="25">
        <v>3860</v>
      </c>
      <c r="I258" s="8">
        <v>0</v>
      </c>
      <c r="J258" s="25">
        <v>19300</v>
      </c>
      <c r="K258" s="25">
        <f>G258*H258</f>
        <v>19300</v>
      </c>
      <c r="L258" s="8">
        <f>K258*I258/100</f>
        <v>0</v>
      </c>
      <c r="M258" s="2" t="s">
        <v>94</v>
      </c>
      <c r="N258" s="2" t="s">
        <v>37</v>
      </c>
      <c r="O258" s="2">
        <v>2025</v>
      </c>
      <c r="P258" s="2" t="str">
        <v>August</v>
      </c>
      <c r="Q258" s="2" t="s">
        <v>21</v>
      </c>
    </row>
    <row r="259" spans="1:17" x14ac:dyDescent="0.25">
      <c r="A259" s="2" t="s">
        <v>730</v>
      </c>
      <c r="B259" s="7">
        <v>45804</v>
      </c>
      <c r="C259" s="5" t="s">
        <v>156</v>
      </c>
      <c r="D259" s="5" t="s">
        <v>51</v>
      </c>
      <c r="E259" s="5" t="s">
        <v>179</v>
      </c>
      <c r="F259" s="2" t="s">
        <v>239</v>
      </c>
      <c r="G259" s="2">
        <v>9</v>
      </c>
      <c r="H259" s="25">
        <v>520</v>
      </c>
      <c r="I259" s="8">
        <v>0</v>
      </c>
      <c r="J259" s="25">
        <v>4680</v>
      </c>
      <c r="K259" s="25">
        <f>G259*H259</f>
        <v>4680</v>
      </c>
      <c r="L259" s="8">
        <f>K259*I259/100</f>
        <v>0</v>
      </c>
      <c r="M259" s="2" t="s">
        <v>102</v>
      </c>
      <c r="N259" s="2" t="s">
        <v>79</v>
      </c>
      <c r="O259" s="2">
        <v>2025</v>
      </c>
      <c r="P259" s="2" t="str">
        <v>May</v>
      </c>
      <c r="Q259" s="2" t="s">
        <v>47</v>
      </c>
    </row>
    <row r="260" spans="1:17" x14ac:dyDescent="0.25">
      <c r="A260" s="2" t="s">
        <v>732</v>
      </c>
      <c r="B260" s="7">
        <v>45991</v>
      </c>
      <c r="C260" s="5" t="s">
        <v>135</v>
      </c>
      <c r="D260" s="5" t="s">
        <v>58</v>
      </c>
      <c r="E260" s="5" t="s">
        <v>295</v>
      </c>
      <c r="F260" s="2" t="s">
        <v>101</v>
      </c>
      <c r="G260" s="2">
        <v>1</v>
      </c>
      <c r="H260" s="25">
        <v>7290</v>
      </c>
      <c r="I260" s="8">
        <v>0</v>
      </c>
      <c r="J260" s="25">
        <v>7290</v>
      </c>
      <c r="K260" s="25">
        <f>G260*H260</f>
        <v>7290</v>
      </c>
      <c r="L260" s="8">
        <f>K260*I260/100</f>
        <v>0</v>
      </c>
      <c r="M260" s="2" t="s">
        <v>102</v>
      </c>
      <c r="N260" s="2" t="s">
        <v>176</v>
      </c>
      <c r="O260" s="2">
        <v>2025</v>
      </c>
      <c r="P260" s="2" t="str">
        <v>November</v>
      </c>
      <c r="Q260" s="2" t="s">
        <v>47</v>
      </c>
    </row>
    <row r="261" spans="1:17" x14ac:dyDescent="0.25">
      <c r="A261" s="2" t="s">
        <v>734</v>
      </c>
      <c r="B261" s="7">
        <v>45719</v>
      </c>
      <c r="C261" s="5" t="s">
        <v>156</v>
      </c>
      <c r="D261" s="5" t="s">
        <v>51</v>
      </c>
      <c r="E261" s="5" t="s">
        <v>148</v>
      </c>
      <c r="F261" s="2" t="s">
        <v>60</v>
      </c>
      <c r="G261" s="2">
        <v>10</v>
      </c>
      <c r="H261" s="25">
        <v>11080</v>
      </c>
      <c r="I261" s="8">
        <v>0</v>
      </c>
      <c r="J261" s="25">
        <v>110800</v>
      </c>
      <c r="K261" s="25">
        <f>G261*H261</f>
        <v>110800</v>
      </c>
      <c r="L261" s="8">
        <f>K261*I261/100</f>
        <v>0</v>
      </c>
      <c r="M261" s="2" t="s">
        <v>94</v>
      </c>
      <c r="N261" s="2" t="s">
        <v>168</v>
      </c>
      <c r="O261" s="2">
        <v>2025</v>
      </c>
      <c r="P261" s="2" t="str">
        <v>March</v>
      </c>
      <c r="Q261" s="2" t="s">
        <v>47</v>
      </c>
    </row>
    <row r="262" spans="1:17" x14ac:dyDescent="0.25">
      <c r="A262" s="2" t="s">
        <v>736</v>
      </c>
      <c r="B262" s="7">
        <v>46002</v>
      </c>
      <c r="C262" s="5" t="s">
        <v>41</v>
      </c>
      <c r="D262" s="5" t="s">
        <v>42</v>
      </c>
      <c r="E262" s="5" t="s">
        <v>25</v>
      </c>
      <c r="F262" s="2" t="s">
        <v>248</v>
      </c>
      <c r="G262" s="2">
        <v>2</v>
      </c>
      <c r="H262" s="25">
        <v>480</v>
      </c>
      <c r="I262" s="8">
        <v>0</v>
      </c>
      <c r="J262" s="25">
        <v>960</v>
      </c>
      <c r="K262" s="25">
        <f>G262*H262</f>
        <v>960</v>
      </c>
      <c r="L262" s="8">
        <f>K262*I262/100</f>
        <v>0</v>
      </c>
      <c r="M262" s="2" t="s">
        <v>94</v>
      </c>
      <c r="N262" s="2" t="s">
        <v>883</v>
      </c>
      <c r="O262" s="2">
        <v>2025</v>
      </c>
      <c r="P262" s="2" t="str">
        <v>December</v>
      </c>
      <c r="Q262" s="2" t="s">
        <v>47</v>
      </c>
    </row>
    <row r="263" spans="1:17" x14ac:dyDescent="0.25">
      <c r="A263" s="2" t="s">
        <v>738</v>
      </c>
      <c r="B263" s="7">
        <v>46008</v>
      </c>
      <c r="C263" s="5" t="s">
        <v>156</v>
      </c>
      <c r="D263" s="5" t="s">
        <v>51</v>
      </c>
      <c r="E263" s="5" t="s">
        <v>295</v>
      </c>
      <c r="F263" s="2" t="s">
        <v>132</v>
      </c>
      <c r="G263" s="2">
        <v>6</v>
      </c>
      <c r="H263" s="25">
        <v>2630</v>
      </c>
      <c r="I263" s="8">
        <v>0</v>
      </c>
      <c r="J263" s="25">
        <v>15780</v>
      </c>
      <c r="K263" s="25">
        <f>G263*H263</f>
        <v>15780</v>
      </c>
      <c r="L263" s="8">
        <f>K263*I263/100</f>
        <v>0</v>
      </c>
      <c r="M263" s="2" t="s">
        <v>102</v>
      </c>
      <c r="N263" s="2" t="s">
        <v>176</v>
      </c>
      <c r="O263" s="2">
        <v>2025</v>
      </c>
      <c r="P263" s="2" t="str">
        <v>December</v>
      </c>
      <c r="Q263" s="2" t="s">
        <v>47</v>
      </c>
    </row>
    <row r="264" spans="1:17" x14ac:dyDescent="0.25">
      <c r="A264" s="2" t="s">
        <v>741</v>
      </c>
      <c r="B264" s="7">
        <v>45997</v>
      </c>
      <c r="C264" s="5" t="s">
        <v>238</v>
      </c>
      <c r="D264" s="5" t="s">
        <v>51</v>
      </c>
      <c r="E264" s="5" t="s">
        <v>148</v>
      </c>
      <c r="F264" s="2" t="s">
        <v>83</v>
      </c>
      <c r="G264" s="2">
        <v>2</v>
      </c>
      <c r="H264" s="25">
        <v>5110</v>
      </c>
      <c r="I264" s="8">
        <v>0</v>
      </c>
      <c r="J264" s="25">
        <v>10220</v>
      </c>
      <c r="K264" s="25">
        <f>G264*H264</f>
        <v>10220</v>
      </c>
      <c r="L264" s="8">
        <f>K264*I264/100</f>
        <v>0</v>
      </c>
      <c r="M264" s="2" t="s">
        <v>53</v>
      </c>
      <c r="N264" s="2" t="s">
        <v>188</v>
      </c>
      <c r="O264" s="2">
        <v>2025</v>
      </c>
      <c r="P264" s="2" t="str">
        <v>December</v>
      </c>
      <c r="Q264" s="2" t="s">
        <v>21</v>
      </c>
    </row>
    <row r="265" spans="1:17" x14ac:dyDescent="0.25">
      <c r="A265" s="2" t="s">
        <v>744</v>
      </c>
      <c r="B265" s="7">
        <v>45794</v>
      </c>
      <c r="C265" s="5" t="s">
        <v>76</v>
      </c>
      <c r="D265" s="5" t="s">
        <v>33</v>
      </c>
      <c r="E265" s="5" t="s">
        <v>295</v>
      </c>
      <c r="F265" s="2" t="s">
        <v>319</v>
      </c>
      <c r="G265" s="2">
        <v>12</v>
      </c>
      <c r="H265" s="25">
        <v>9910</v>
      </c>
      <c r="I265" s="8">
        <v>5</v>
      </c>
      <c r="J265" s="25">
        <v>112974</v>
      </c>
      <c r="K265" s="25">
        <f>G265*H265</f>
        <v>118920</v>
      </c>
      <c r="L265" s="8">
        <f>K265*I265/100</f>
        <v>5946</v>
      </c>
      <c r="M265" s="2" t="s">
        <v>94</v>
      </c>
      <c r="N265" s="2" t="s">
        <v>266</v>
      </c>
      <c r="O265" s="2">
        <v>2025</v>
      </c>
      <c r="P265" s="2" t="str">
        <v>May</v>
      </c>
      <c r="Q265" s="2" t="s">
        <v>47</v>
      </c>
    </row>
    <row r="266" spans="1:17" x14ac:dyDescent="0.25">
      <c r="A266" s="2" t="s">
        <v>746</v>
      </c>
      <c r="B266" s="7">
        <v>46011</v>
      </c>
      <c r="C266" s="5" t="s">
        <v>135</v>
      </c>
      <c r="D266" s="5" t="s">
        <v>16</v>
      </c>
      <c r="E266" s="5" t="s">
        <v>34</v>
      </c>
      <c r="F266" s="2" t="s">
        <v>171</v>
      </c>
      <c r="G266" s="2">
        <v>12</v>
      </c>
      <c r="H266" s="25">
        <v>9430</v>
      </c>
      <c r="I266" s="8">
        <v>10</v>
      </c>
      <c r="J266" s="25">
        <v>101844</v>
      </c>
      <c r="K266" s="25">
        <f>G266*H266</f>
        <v>113160</v>
      </c>
      <c r="L266" s="8">
        <f>K266*I266/100</f>
        <v>11316</v>
      </c>
      <c r="M266" s="2" t="s">
        <v>102</v>
      </c>
      <c r="N266" s="2" t="s">
        <v>37</v>
      </c>
      <c r="O266" s="2">
        <v>2025</v>
      </c>
      <c r="P266" s="2" t="str">
        <v>December</v>
      </c>
      <c r="Q266" s="2" t="s">
        <v>21</v>
      </c>
    </row>
    <row r="267" spans="1:17" x14ac:dyDescent="0.25">
      <c r="A267" s="2" t="s">
        <v>749</v>
      </c>
      <c r="B267" s="7">
        <v>45731</v>
      </c>
      <c r="C267" s="5" t="s">
        <v>156</v>
      </c>
      <c r="D267" s="5" t="s">
        <v>51</v>
      </c>
      <c r="E267" s="5" t="s">
        <v>295</v>
      </c>
      <c r="F267" s="2" t="s">
        <v>319</v>
      </c>
      <c r="G267" s="2">
        <v>6</v>
      </c>
      <c r="H267" s="25">
        <v>73660</v>
      </c>
      <c r="I267" s="8">
        <v>0</v>
      </c>
      <c r="J267" s="25">
        <v>441960</v>
      </c>
      <c r="K267" s="25">
        <f>G267*H267</f>
        <v>441960</v>
      </c>
      <c r="L267" s="8">
        <f>K267*I267/100</f>
        <v>0</v>
      </c>
      <c r="M267" s="2" t="s">
        <v>102</v>
      </c>
      <c r="N267" s="2" t="s">
        <v>406</v>
      </c>
      <c r="O267" s="2">
        <v>2025</v>
      </c>
      <c r="P267" s="2" t="str">
        <v>March</v>
      </c>
      <c r="Q267" s="2" t="s">
        <v>21</v>
      </c>
    </row>
    <row r="268" spans="1:17" x14ac:dyDescent="0.25">
      <c r="A268" s="2" t="s">
        <v>751</v>
      </c>
      <c r="B268" s="7">
        <v>46017</v>
      </c>
      <c r="C268" s="5" t="s">
        <v>76</v>
      </c>
      <c r="D268" s="5" t="s">
        <v>33</v>
      </c>
      <c r="E268" s="5" t="s">
        <v>25</v>
      </c>
      <c r="F268" s="2" t="s">
        <v>255</v>
      </c>
      <c r="G268" s="2">
        <v>5</v>
      </c>
      <c r="H268" s="25">
        <v>4540</v>
      </c>
      <c r="I268" s="8">
        <v>10</v>
      </c>
      <c r="J268" s="25">
        <v>20430</v>
      </c>
      <c r="K268" s="25">
        <f>G268*H268</f>
        <v>22700</v>
      </c>
      <c r="L268" s="8">
        <f>K268*I268/100</f>
        <v>2270</v>
      </c>
      <c r="M268" s="2" t="s">
        <v>139</v>
      </c>
      <c r="N268" s="2" t="s">
        <v>79</v>
      </c>
      <c r="O268" s="2">
        <v>2025</v>
      </c>
      <c r="P268" s="2" t="str">
        <v>December</v>
      </c>
      <c r="Q268" s="2" t="s">
        <v>47</v>
      </c>
    </row>
    <row r="269" spans="1:17" x14ac:dyDescent="0.25">
      <c r="A269" s="2" t="s">
        <v>753</v>
      </c>
      <c r="B269" s="7">
        <v>45917</v>
      </c>
      <c r="C269" s="5" t="s">
        <v>76</v>
      </c>
      <c r="D269" s="5" t="s">
        <v>33</v>
      </c>
      <c r="E269" s="5" t="s">
        <v>179</v>
      </c>
      <c r="F269" s="2" t="s">
        <v>224</v>
      </c>
      <c r="G269" s="2">
        <v>4</v>
      </c>
      <c r="H269" s="25">
        <v>18510</v>
      </c>
      <c r="I269" s="8">
        <v>0</v>
      </c>
      <c r="J269" s="25">
        <v>74040</v>
      </c>
      <c r="K269" s="25">
        <f>G269*H269</f>
        <v>74040</v>
      </c>
      <c r="L269" s="8">
        <f>K269*I269/100</f>
        <v>0</v>
      </c>
      <c r="M269" s="2" t="s">
        <v>102</v>
      </c>
      <c r="N269" s="2" t="s">
        <v>79</v>
      </c>
      <c r="O269" s="2">
        <v>2025</v>
      </c>
      <c r="P269" s="2" t="str">
        <v>September</v>
      </c>
      <c r="Q269" s="2" t="s">
        <v>47</v>
      </c>
    </row>
    <row r="270" spans="1:17" x14ac:dyDescent="0.25">
      <c r="A270" s="2" t="s">
        <v>756</v>
      </c>
      <c r="B270" s="7">
        <v>45867</v>
      </c>
      <c r="C270" s="5" t="s">
        <v>135</v>
      </c>
      <c r="D270" s="5" t="s">
        <v>33</v>
      </c>
      <c r="E270" s="5" t="s">
        <v>25</v>
      </c>
      <c r="F270" s="2" t="s">
        <v>93</v>
      </c>
      <c r="G270" s="2">
        <v>9</v>
      </c>
      <c r="H270" s="25">
        <v>11050</v>
      </c>
      <c r="I270" s="8">
        <v>0</v>
      </c>
      <c r="J270" s="25">
        <v>99450</v>
      </c>
      <c r="K270" s="25">
        <f>G270*H270</f>
        <v>99450</v>
      </c>
      <c r="L270" s="8">
        <f>K270*I270/100</f>
        <v>0</v>
      </c>
      <c r="M270" s="2" t="s">
        <v>139</v>
      </c>
      <c r="N270" s="2" t="s">
        <v>68</v>
      </c>
      <c r="O270" s="2">
        <v>2025</v>
      </c>
      <c r="P270" s="2" t="str">
        <v>July</v>
      </c>
      <c r="Q270" s="2" t="s">
        <v>21</v>
      </c>
    </row>
    <row r="271" spans="1:17" x14ac:dyDescent="0.25">
      <c r="A271" s="2" t="s">
        <v>759</v>
      </c>
      <c r="B271" s="7">
        <v>45671</v>
      </c>
      <c r="C271" s="5" t="s">
        <v>24</v>
      </c>
      <c r="D271" s="5" t="s">
        <v>16</v>
      </c>
      <c r="E271" s="5" t="s">
        <v>179</v>
      </c>
      <c r="F271" s="2" t="s">
        <v>543</v>
      </c>
      <c r="G271" s="2">
        <v>12</v>
      </c>
      <c r="H271" s="25">
        <v>5680</v>
      </c>
      <c r="I271" s="8">
        <v>0</v>
      </c>
      <c r="J271" s="25">
        <v>68160</v>
      </c>
      <c r="K271" s="25">
        <f>G271*H271</f>
        <v>68160</v>
      </c>
      <c r="L271" s="8">
        <f>K271*I271/100</f>
        <v>0</v>
      </c>
      <c r="M271" s="2" t="s">
        <v>102</v>
      </c>
      <c r="N271" s="2" t="s">
        <v>168</v>
      </c>
      <c r="O271" s="2">
        <v>2025</v>
      </c>
      <c r="P271" s="2" t="str">
        <v>January</v>
      </c>
      <c r="Q271" s="2" t="s">
        <v>21</v>
      </c>
    </row>
    <row r="272" spans="1:17" x14ac:dyDescent="0.25">
      <c r="A272" s="2" t="s">
        <v>761</v>
      </c>
      <c r="B272" s="7">
        <v>45907</v>
      </c>
      <c r="C272" s="5" t="s">
        <v>135</v>
      </c>
      <c r="D272" s="5" t="s">
        <v>58</v>
      </c>
      <c r="E272" s="5" t="s">
        <v>295</v>
      </c>
      <c r="F272" s="2" t="s">
        <v>314</v>
      </c>
      <c r="G272" s="2">
        <v>4</v>
      </c>
      <c r="H272" s="25">
        <v>3470</v>
      </c>
      <c r="I272" s="8">
        <v>0</v>
      </c>
      <c r="J272" s="25">
        <v>13880</v>
      </c>
      <c r="K272" s="25">
        <f>G272*H272</f>
        <v>13880</v>
      </c>
      <c r="L272" s="8">
        <f>K272*I272/100</f>
        <v>0</v>
      </c>
      <c r="M272" s="2" t="s">
        <v>94</v>
      </c>
      <c r="N272" s="2" t="s">
        <v>883</v>
      </c>
      <c r="O272" s="2">
        <v>2025</v>
      </c>
      <c r="P272" s="2" t="str">
        <v>September</v>
      </c>
      <c r="Q272" s="2" t="s">
        <v>47</v>
      </c>
    </row>
    <row r="273" spans="1:17" x14ac:dyDescent="0.25">
      <c r="A273" s="2" t="s">
        <v>763</v>
      </c>
      <c r="B273" s="7">
        <v>45853</v>
      </c>
      <c r="C273" s="5" t="s">
        <v>156</v>
      </c>
      <c r="D273" s="5" t="s">
        <v>51</v>
      </c>
      <c r="E273" s="5" t="s">
        <v>179</v>
      </c>
      <c r="F273" s="2" t="s">
        <v>71</v>
      </c>
      <c r="G273" s="2">
        <v>3</v>
      </c>
      <c r="H273" s="25">
        <v>1310</v>
      </c>
      <c r="I273" s="8">
        <v>5</v>
      </c>
      <c r="J273" s="25">
        <v>3733.5</v>
      </c>
      <c r="K273" s="25">
        <f>G273*H273</f>
        <v>3930</v>
      </c>
      <c r="L273" s="8">
        <f>K273*I273/100</f>
        <v>196.5</v>
      </c>
      <c r="M273" s="2" t="s">
        <v>94</v>
      </c>
      <c r="N273" s="2" t="s">
        <v>411</v>
      </c>
      <c r="O273" s="2">
        <v>2025</v>
      </c>
      <c r="P273" s="2" t="str">
        <v>July</v>
      </c>
      <c r="Q273" s="2" t="s">
        <v>47</v>
      </c>
    </row>
    <row r="274" spans="1:17" x14ac:dyDescent="0.25">
      <c r="A274" s="2" t="s">
        <v>765</v>
      </c>
      <c r="B274" s="7">
        <v>45992</v>
      </c>
      <c r="C274" s="5" t="s">
        <v>156</v>
      </c>
      <c r="D274" s="5" t="s">
        <v>51</v>
      </c>
      <c r="E274" s="5" t="s">
        <v>34</v>
      </c>
      <c r="F274" s="2" t="s">
        <v>290</v>
      </c>
      <c r="G274" s="2">
        <v>3</v>
      </c>
      <c r="H274" s="25">
        <v>25900</v>
      </c>
      <c r="I274" s="8">
        <v>0</v>
      </c>
      <c r="J274" s="25">
        <v>77700</v>
      </c>
      <c r="K274" s="25">
        <f>G274*H274</f>
        <v>77700</v>
      </c>
      <c r="L274" s="8">
        <f>K274*I274/100</f>
        <v>0</v>
      </c>
      <c r="M274" s="2" t="s">
        <v>53</v>
      </c>
      <c r="N274" s="2" t="s">
        <v>168</v>
      </c>
      <c r="O274" s="2">
        <v>2025</v>
      </c>
      <c r="P274" s="2" t="str">
        <v>December</v>
      </c>
      <c r="Q274" s="2" t="s">
        <v>47</v>
      </c>
    </row>
    <row r="275" spans="1:17" x14ac:dyDescent="0.25">
      <c r="A275" s="2" t="s">
        <v>767</v>
      </c>
      <c r="B275" s="7">
        <v>45850</v>
      </c>
      <c r="C275" s="5" t="s">
        <v>156</v>
      </c>
      <c r="D275" s="5" t="s">
        <v>51</v>
      </c>
      <c r="E275" s="5" t="s">
        <v>148</v>
      </c>
      <c r="F275" s="2" t="s">
        <v>149</v>
      </c>
      <c r="G275" s="2">
        <v>1</v>
      </c>
      <c r="H275" s="25">
        <v>4770</v>
      </c>
      <c r="I275" s="8">
        <v>0</v>
      </c>
      <c r="J275" s="25">
        <v>4770</v>
      </c>
      <c r="K275" s="25">
        <f>G275*H275</f>
        <v>4770</v>
      </c>
      <c r="L275" s="8">
        <f>K275*I275/100</f>
        <v>0</v>
      </c>
      <c r="M275" s="2" t="s">
        <v>94</v>
      </c>
      <c r="N275" s="2" t="s">
        <v>79</v>
      </c>
      <c r="O275" s="2">
        <v>2025</v>
      </c>
      <c r="P275" s="2" t="str">
        <v>July</v>
      </c>
      <c r="Q275" s="2" t="s">
        <v>47</v>
      </c>
    </row>
    <row r="276" spans="1:17" x14ac:dyDescent="0.25">
      <c r="A276" s="2" t="s">
        <v>769</v>
      </c>
      <c r="B276" s="7">
        <v>45913</v>
      </c>
      <c r="C276" s="5" t="s">
        <v>76</v>
      </c>
      <c r="D276" s="5" t="s">
        <v>33</v>
      </c>
      <c r="E276" s="5" t="s">
        <v>25</v>
      </c>
      <c r="F276" s="2" t="s">
        <v>248</v>
      </c>
      <c r="G276" s="2">
        <v>11</v>
      </c>
      <c r="H276" s="25">
        <v>1320</v>
      </c>
      <c r="I276" s="8">
        <v>10</v>
      </c>
      <c r="J276" s="25">
        <v>13068</v>
      </c>
      <c r="K276" s="25">
        <f>G276*H276</f>
        <v>14520</v>
      </c>
      <c r="L276" s="8">
        <f>K276*I276/100</f>
        <v>1452</v>
      </c>
      <c r="M276" s="2" t="s">
        <v>102</v>
      </c>
      <c r="N276" s="2" t="s">
        <v>79</v>
      </c>
      <c r="O276" s="2">
        <v>2025</v>
      </c>
      <c r="P276" s="2" t="str">
        <v>September</v>
      </c>
      <c r="Q276" s="2" t="s">
        <v>47</v>
      </c>
    </row>
    <row r="277" spans="1:17" x14ac:dyDescent="0.25">
      <c r="A277" s="2" t="s">
        <v>770</v>
      </c>
      <c r="B277" s="7">
        <v>45986</v>
      </c>
      <c r="C277" s="5" t="s">
        <v>41</v>
      </c>
      <c r="D277" s="5" t="s">
        <v>42</v>
      </c>
      <c r="E277" s="5" t="s">
        <v>25</v>
      </c>
      <c r="F277" s="2" t="s">
        <v>332</v>
      </c>
      <c r="G277" s="2">
        <v>12</v>
      </c>
      <c r="H277" s="25">
        <v>7800</v>
      </c>
      <c r="I277" s="8">
        <v>10</v>
      </c>
      <c r="J277" s="25">
        <v>84240</v>
      </c>
      <c r="K277" s="25">
        <f>G277*H277</f>
        <v>93600</v>
      </c>
      <c r="L277" s="8">
        <f>K277*I277/100</f>
        <v>9360</v>
      </c>
      <c r="M277" s="2" t="s">
        <v>53</v>
      </c>
      <c r="N277" s="2" t="s">
        <v>406</v>
      </c>
      <c r="O277" s="2">
        <v>2025</v>
      </c>
      <c r="P277" s="2" t="str">
        <v>November</v>
      </c>
      <c r="Q277" s="2" t="s">
        <v>21</v>
      </c>
    </row>
    <row r="278" spans="1:17" x14ac:dyDescent="0.25">
      <c r="A278" s="2" t="s">
        <v>772</v>
      </c>
      <c r="B278" s="7">
        <v>45716</v>
      </c>
      <c r="C278" s="5" t="s">
        <v>24</v>
      </c>
      <c r="D278" s="5" t="s">
        <v>16</v>
      </c>
      <c r="E278" s="5" t="s">
        <v>295</v>
      </c>
      <c r="F278" s="2" t="s">
        <v>132</v>
      </c>
      <c r="G278" s="2">
        <v>5</v>
      </c>
      <c r="H278" s="25">
        <v>2850</v>
      </c>
      <c r="I278" s="8">
        <v>0</v>
      </c>
      <c r="J278" s="25">
        <v>14250</v>
      </c>
      <c r="K278" s="25">
        <f>G278*H278</f>
        <v>14250</v>
      </c>
      <c r="L278" s="8">
        <f>K278*I278/100</f>
        <v>0</v>
      </c>
      <c r="M278" s="2" t="s">
        <v>139</v>
      </c>
      <c r="N278" s="2" t="s">
        <v>79</v>
      </c>
      <c r="O278" s="2">
        <v>2025</v>
      </c>
      <c r="P278" s="2" t="str">
        <v>February</v>
      </c>
      <c r="Q278" s="2" t="s">
        <v>47</v>
      </c>
    </row>
    <row r="279" spans="1:17" x14ac:dyDescent="0.25">
      <c r="A279" s="2" t="s">
        <v>774</v>
      </c>
      <c r="B279" s="7">
        <v>45759</v>
      </c>
      <c r="C279" s="5" t="s">
        <v>238</v>
      </c>
      <c r="D279" s="5" t="s">
        <v>51</v>
      </c>
      <c r="E279" s="5" t="s">
        <v>179</v>
      </c>
      <c r="F279" s="2" t="s">
        <v>184</v>
      </c>
      <c r="G279" s="2">
        <v>8</v>
      </c>
      <c r="H279" s="25">
        <v>27080</v>
      </c>
      <c r="I279" s="8">
        <v>0</v>
      </c>
      <c r="J279" s="25">
        <v>216640</v>
      </c>
      <c r="K279" s="25">
        <f>G279*H279</f>
        <v>216640</v>
      </c>
      <c r="L279" s="8">
        <f>K279*I279/100</f>
        <v>0</v>
      </c>
      <c r="M279" s="2" t="s">
        <v>139</v>
      </c>
      <c r="N279" s="2" t="s">
        <v>46</v>
      </c>
      <c r="O279" s="2">
        <v>2025</v>
      </c>
      <c r="P279" s="2" t="str">
        <v>April</v>
      </c>
      <c r="Q279" s="2" t="s">
        <v>21</v>
      </c>
    </row>
    <row r="280" spans="1:17" x14ac:dyDescent="0.25">
      <c r="A280" s="2" t="s">
        <v>777</v>
      </c>
      <c r="B280" s="7">
        <v>46014</v>
      </c>
      <c r="C280" s="5" t="s">
        <v>41</v>
      </c>
      <c r="D280" s="5" t="s">
        <v>42</v>
      </c>
      <c r="E280" s="5" t="s">
        <v>295</v>
      </c>
      <c r="F280" s="2" t="s">
        <v>314</v>
      </c>
      <c r="G280" s="2">
        <v>2</v>
      </c>
      <c r="H280" s="25">
        <v>2260</v>
      </c>
      <c r="I280" s="8">
        <v>0</v>
      </c>
      <c r="J280" s="25">
        <v>4520</v>
      </c>
      <c r="K280" s="25">
        <f>G280*H280</f>
        <v>4520</v>
      </c>
      <c r="L280" s="8">
        <f>K280*I280/100</f>
        <v>0</v>
      </c>
      <c r="M280" s="2" t="s">
        <v>102</v>
      </c>
      <c r="N280" s="2" t="s">
        <v>73</v>
      </c>
      <c r="O280" s="2">
        <v>2025</v>
      </c>
      <c r="P280" s="2" t="str">
        <v>December</v>
      </c>
      <c r="Q280" s="2" t="s">
        <v>21</v>
      </c>
    </row>
    <row r="281" spans="1:17" x14ac:dyDescent="0.25">
      <c r="A281" s="2" t="s">
        <v>779</v>
      </c>
      <c r="B281" s="7">
        <v>45879</v>
      </c>
      <c r="C281" s="5" t="s">
        <v>76</v>
      </c>
      <c r="D281" s="5" t="s">
        <v>33</v>
      </c>
      <c r="E281" s="5" t="s">
        <v>34</v>
      </c>
      <c r="F281" s="2" t="s">
        <v>171</v>
      </c>
      <c r="G281" s="2">
        <v>9</v>
      </c>
      <c r="H281" s="25">
        <v>510</v>
      </c>
      <c r="I281" s="8">
        <v>0</v>
      </c>
      <c r="J281" s="25">
        <v>4590</v>
      </c>
      <c r="K281" s="25">
        <f>G281*H281</f>
        <v>4590</v>
      </c>
      <c r="L281" s="8">
        <f>K281*I281/100</f>
        <v>0</v>
      </c>
      <c r="M281" s="2" t="s">
        <v>94</v>
      </c>
      <c r="N281" s="2" t="s">
        <v>188</v>
      </c>
      <c r="O281" s="2">
        <v>2025</v>
      </c>
      <c r="P281" s="2" t="str">
        <v>August</v>
      </c>
      <c r="Q281" s="2" t="s">
        <v>47</v>
      </c>
    </row>
    <row r="282" spans="1:17" x14ac:dyDescent="0.25">
      <c r="A282" s="2" t="s">
        <v>781</v>
      </c>
      <c r="B282" s="7">
        <v>45947</v>
      </c>
      <c r="C282" s="5" t="s">
        <v>156</v>
      </c>
      <c r="D282" s="5" t="s">
        <v>51</v>
      </c>
      <c r="E282" s="5" t="s">
        <v>25</v>
      </c>
      <c r="F282" s="2" t="s">
        <v>26</v>
      </c>
      <c r="G282" s="2">
        <v>9</v>
      </c>
      <c r="H282" s="25">
        <v>27640</v>
      </c>
      <c r="I282" s="8">
        <v>15</v>
      </c>
      <c r="J282" s="25">
        <v>211446</v>
      </c>
      <c r="K282" s="25">
        <f>G282*H282</f>
        <v>248760</v>
      </c>
      <c r="L282" s="8">
        <f>K282*I282/100</f>
        <v>37314</v>
      </c>
      <c r="M282" s="2" t="s">
        <v>102</v>
      </c>
      <c r="N282" s="2" t="s">
        <v>79</v>
      </c>
      <c r="O282" s="2">
        <v>2025</v>
      </c>
      <c r="P282" s="2" t="str">
        <v>October</v>
      </c>
      <c r="Q282" s="2" t="s">
        <v>21</v>
      </c>
    </row>
    <row r="283" spans="1:17" x14ac:dyDescent="0.25">
      <c r="A283" s="2" t="s">
        <v>783</v>
      </c>
      <c r="B283" s="7">
        <v>45943</v>
      </c>
      <c r="C283" s="5" t="s">
        <v>238</v>
      </c>
      <c r="D283" s="5" t="s">
        <v>51</v>
      </c>
      <c r="E283" s="5" t="s">
        <v>148</v>
      </c>
      <c r="F283" s="2" t="s">
        <v>209</v>
      </c>
      <c r="G283" s="2">
        <v>6</v>
      </c>
      <c r="H283" s="25">
        <v>16810</v>
      </c>
      <c r="I283" s="8">
        <v>10</v>
      </c>
      <c r="J283" s="25">
        <v>90774</v>
      </c>
      <c r="K283" s="25">
        <f>G283*H283</f>
        <v>100860</v>
      </c>
      <c r="L283" s="8">
        <f>K283*I283/100</f>
        <v>10086</v>
      </c>
      <c r="M283" s="2" t="s">
        <v>94</v>
      </c>
      <c r="N283" s="2" t="s">
        <v>79</v>
      </c>
      <c r="O283" s="2">
        <v>2025</v>
      </c>
      <c r="P283" s="2" t="str">
        <v>October</v>
      </c>
      <c r="Q283" s="2" t="s">
        <v>21</v>
      </c>
    </row>
    <row r="284" spans="1:17" x14ac:dyDescent="0.25">
      <c r="A284" s="2" t="s">
        <v>785</v>
      </c>
      <c r="B284" s="7">
        <v>45771</v>
      </c>
      <c r="C284" s="5" t="s">
        <v>32</v>
      </c>
      <c r="D284" s="5" t="s">
        <v>33</v>
      </c>
      <c r="E284" s="5" t="s">
        <v>179</v>
      </c>
      <c r="F284" s="2" t="s">
        <v>232</v>
      </c>
      <c r="G284" s="2">
        <v>10</v>
      </c>
      <c r="H284" s="25">
        <v>13060</v>
      </c>
      <c r="I284" s="8">
        <v>0</v>
      </c>
      <c r="J284" s="25">
        <v>130600</v>
      </c>
      <c r="K284" s="25">
        <f>G284*H284</f>
        <v>130600</v>
      </c>
      <c r="L284" s="8">
        <f>K284*I284/100</f>
        <v>0</v>
      </c>
      <c r="M284" s="2" t="s">
        <v>53</v>
      </c>
      <c r="N284" s="2" t="s">
        <v>37</v>
      </c>
      <c r="O284" s="2">
        <v>2025</v>
      </c>
      <c r="P284" s="2" t="str">
        <v>April</v>
      </c>
      <c r="Q284" s="2" t="s">
        <v>47</v>
      </c>
    </row>
    <row r="285" spans="1:17" x14ac:dyDescent="0.25">
      <c r="A285" s="2" t="s">
        <v>786</v>
      </c>
      <c r="B285" s="7">
        <v>45874</v>
      </c>
      <c r="C285" s="5" t="s">
        <v>156</v>
      </c>
      <c r="D285" s="5" t="s">
        <v>51</v>
      </c>
      <c r="E285" s="5" t="s">
        <v>148</v>
      </c>
      <c r="F285" s="2" t="s">
        <v>149</v>
      </c>
      <c r="G285" s="2">
        <v>11</v>
      </c>
      <c r="H285" s="25">
        <v>7220</v>
      </c>
      <c r="I285" s="8">
        <v>0</v>
      </c>
      <c r="J285" s="25">
        <v>79420</v>
      </c>
      <c r="K285" s="25">
        <f>G285*H285</f>
        <v>79420</v>
      </c>
      <c r="L285" s="8">
        <f>K285*I285/100</f>
        <v>0</v>
      </c>
      <c r="M285" s="2" t="s">
        <v>53</v>
      </c>
      <c r="N285" s="2" t="s">
        <v>37</v>
      </c>
      <c r="O285" s="2">
        <v>2025</v>
      </c>
      <c r="P285" s="2" t="str">
        <v>August</v>
      </c>
      <c r="Q285" s="2" t="s">
        <v>47</v>
      </c>
    </row>
    <row r="286" spans="1:17" x14ac:dyDescent="0.25">
      <c r="A286" s="2" t="s">
        <v>787</v>
      </c>
      <c r="B286" s="7">
        <v>45905</v>
      </c>
      <c r="C286" s="5" t="s">
        <v>41</v>
      </c>
      <c r="D286" s="5" t="s">
        <v>33</v>
      </c>
      <c r="E286" s="5" t="s">
        <v>34</v>
      </c>
      <c r="F286" s="2" t="s">
        <v>71</v>
      </c>
      <c r="G286" s="2">
        <v>6</v>
      </c>
      <c r="H286" s="25">
        <v>1290</v>
      </c>
      <c r="I286" s="8">
        <v>0</v>
      </c>
      <c r="J286" s="25">
        <v>7740</v>
      </c>
      <c r="K286" s="25">
        <f>G286*H286</f>
        <v>7740</v>
      </c>
      <c r="L286" s="8">
        <f>K286*I286/100</f>
        <v>0</v>
      </c>
      <c r="M286" s="2" t="s">
        <v>139</v>
      </c>
      <c r="N286" s="2" t="s">
        <v>79</v>
      </c>
      <c r="O286" s="2">
        <v>2025</v>
      </c>
      <c r="P286" s="2" t="str">
        <v>September</v>
      </c>
      <c r="Q286" s="2" t="s">
        <v>47</v>
      </c>
    </row>
    <row r="287" spans="1:17" x14ac:dyDescent="0.25">
      <c r="A287" s="2" t="s">
        <v>789</v>
      </c>
      <c r="B287" s="7">
        <v>45863</v>
      </c>
      <c r="C287" s="5" t="s">
        <v>156</v>
      </c>
      <c r="D287" s="5" t="s">
        <v>51</v>
      </c>
      <c r="E287" s="5" t="s">
        <v>34</v>
      </c>
      <c r="F287" s="2" t="s">
        <v>199</v>
      </c>
      <c r="G287" s="2">
        <v>9</v>
      </c>
      <c r="H287" s="25">
        <v>2390</v>
      </c>
      <c r="I287" s="8">
        <v>0</v>
      </c>
      <c r="J287" s="25">
        <v>21510</v>
      </c>
      <c r="K287" s="25">
        <f>G287*H287</f>
        <v>21510</v>
      </c>
      <c r="L287" s="8">
        <f>K287*I287/100</f>
        <v>0</v>
      </c>
      <c r="M287" s="2" t="s">
        <v>53</v>
      </c>
      <c r="N287" s="2" t="s">
        <v>73</v>
      </c>
      <c r="O287" s="2">
        <v>2025</v>
      </c>
      <c r="P287" s="2" t="str">
        <v>July</v>
      </c>
      <c r="Q287" s="2" t="s">
        <v>21</v>
      </c>
    </row>
    <row r="288" spans="1:17" x14ac:dyDescent="0.25">
      <c r="A288" s="2" t="s">
        <v>792</v>
      </c>
      <c r="B288" s="7">
        <v>45692</v>
      </c>
      <c r="C288" s="5" t="s">
        <v>135</v>
      </c>
      <c r="D288" s="5" t="s">
        <v>58</v>
      </c>
      <c r="E288" s="5" t="s">
        <v>34</v>
      </c>
      <c r="F288" s="2" t="s">
        <v>35</v>
      </c>
      <c r="G288" s="2">
        <v>12</v>
      </c>
      <c r="H288" s="25">
        <v>4560</v>
      </c>
      <c r="I288" s="8">
        <v>10</v>
      </c>
      <c r="J288" s="25">
        <v>49248</v>
      </c>
      <c r="K288" s="25">
        <f>G288*H288</f>
        <v>54720</v>
      </c>
      <c r="L288" s="8">
        <f>K288*I288/100</f>
        <v>5472</v>
      </c>
      <c r="M288" s="2" t="s">
        <v>139</v>
      </c>
      <c r="N288" s="2" t="s">
        <v>79</v>
      </c>
      <c r="O288" s="2">
        <v>2025</v>
      </c>
      <c r="P288" s="2" t="str">
        <v>February</v>
      </c>
      <c r="Q288" s="2" t="s">
        <v>47</v>
      </c>
    </row>
    <row r="289" spans="1:17" x14ac:dyDescent="0.25">
      <c r="A289" s="2" t="s">
        <v>795</v>
      </c>
      <c r="B289" s="7">
        <v>45902</v>
      </c>
      <c r="C289" s="5" t="s">
        <v>32</v>
      </c>
      <c r="D289" s="5" t="s">
        <v>33</v>
      </c>
      <c r="E289" s="5" t="s">
        <v>179</v>
      </c>
      <c r="F289" s="2" t="s">
        <v>232</v>
      </c>
      <c r="G289" s="2">
        <v>2</v>
      </c>
      <c r="H289" s="25">
        <v>2780</v>
      </c>
      <c r="I289" s="8">
        <v>0</v>
      </c>
      <c r="J289" s="25">
        <v>5560</v>
      </c>
      <c r="K289" s="25">
        <f>G289*H289</f>
        <v>5560</v>
      </c>
      <c r="L289" s="8">
        <f>K289*I289/100</f>
        <v>0</v>
      </c>
      <c r="M289" s="2" t="s">
        <v>53</v>
      </c>
      <c r="N289" s="2" t="s">
        <v>73</v>
      </c>
      <c r="O289" s="2">
        <v>2025</v>
      </c>
      <c r="P289" s="2" t="str">
        <v>September</v>
      </c>
      <c r="Q289" s="2" t="s">
        <v>21</v>
      </c>
    </row>
    <row r="290" spans="1:17" x14ac:dyDescent="0.25">
      <c r="A290" s="2" t="s">
        <v>797</v>
      </c>
      <c r="B290" s="7">
        <v>45699</v>
      </c>
      <c r="C290" s="5" t="s">
        <v>32</v>
      </c>
      <c r="D290" s="5" t="s">
        <v>33</v>
      </c>
      <c r="E290" s="5" t="s">
        <v>295</v>
      </c>
      <c r="F290" s="2" t="s">
        <v>66</v>
      </c>
      <c r="G290" s="2">
        <v>4</v>
      </c>
      <c r="H290" s="25">
        <v>5160</v>
      </c>
      <c r="I290" s="8">
        <v>0</v>
      </c>
      <c r="J290" s="25">
        <v>20640</v>
      </c>
      <c r="K290" s="25">
        <f>G290*H290</f>
        <v>20640</v>
      </c>
      <c r="L290" s="8">
        <f>K290*I290/100</f>
        <v>0</v>
      </c>
      <c r="M290" s="2" t="s">
        <v>53</v>
      </c>
      <c r="N290" s="2" t="s">
        <v>168</v>
      </c>
      <c r="O290" s="2">
        <v>2025</v>
      </c>
      <c r="P290" s="2" t="str">
        <v>February</v>
      </c>
      <c r="Q290" s="2" t="s">
        <v>21</v>
      </c>
    </row>
    <row r="291" spans="1:17" x14ac:dyDescent="0.25">
      <c r="A291" s="2" t="s">
        <v>799</v>
      </c>
      <c r="B291" s="7">
        <v>45827</v>
      </c>
      <c r="C291" s="5" t="s">
        <v>76</v>
      </c>
      <c r="D291" s="5" t="s">
        <v>33</v>
      </c>
      <c r="E291" s="5" t="s">
        <v>295</v>
      </c>
      <c r="F291" s="2" t="s">
        <v>132</v>
      </c>
      <c r="G291" s="2">
        <v>7</v>
      </c>
      <c r="H291" s="25">
        <v>19620</v>
      </c>
      <c r="I291" s="8">
        <v>0</v>
      </c>
      <c r="J291" s="25">
        <v>137340</v>
      </c>
      <c r="K291" s="25">
        <f>G291*H291</f>
        <v>137340</v>
      </c>
      <c r="L291" s="8">
        <f>K291*I291/100</f>
        <v>0</v>
      </c>
      <c r="M291" s="2" t="s">
        <v>53</v>
      </c>
      <c r="N291" s="2" t="s">
        <v>37</v>
      </c>
      <c r="O291" s="2">
        <v>2025</v>
      </c>
      <c r="P291" s="2" t="str">
        <v>June</v>
      </c>
      <c r="Q291" s="2" t="s">
        <v>47</v>
      </c>
    </row>
    <row r="292" spans="1:17" x14ac:dyDescent="0.25">
      <c r="A292" s="2" t="s">
        <v>801</v>
      </c>
      <c r="B292" s="7">
        <v>45715</v>
      </c>
      <c r="C292" s="5" t="s">
        <v>238</v>
      </c>
      <c r="D292" s="5" t="s">
        <v>51</v>
      </c>
      <c r="E292" s="5" t="s">
        <v>34</v>
      </c>
      <c r="F292" s="2" t="s">
        <v>290</v>
      </c>
      <c r="G292" s="2">
        <v>4</v>
      </c>
      <c r="H292" s="25">
        <v>1370</v>
      </c>
      <c r="I292" s="8">
        <v>10</v>
      </c>
      <c r="J292" s="25">
        <v>4932</v>
      </c>
      <c r="K292" s="25">
        <f>G292*H292</f>
        <v>5480</v>
      </c>
      <c r="L292" s="8">
        <f>K292*I292/100</f>
        <v>548</v>
      </c>
      <c r="M292" s="2" t="s">
        <v>53</v>
      </c>
      <c r="N292" s="2" t="s">
        <v>411</v>
      </c>
      <c r="O292" s="2">
        <v>2025</v>
      </c>
      <c r="P292" s="2" t="str">
        <v>February</v>
      </c>
      <c r="Q292" s="2" t="s">
        <v>47</v>
      </c>
    </row>
    <row r="293" spans="1:17" x14ac:dyDescent="0.25">
      <c r="A293" s="2" t="s">
        <v>803</v>
      </c>
      <c r="B293" s="7">
        <v>45664</v>
      </c>
      <c r="C293" s="5" t="s">
        <v>41</v>
      </c>
      <c r="D293" s="5" t="s">
        <v>42</v>
      </c>
      <c r="E293" s="5" t="s">
        <v>179</v>
      </c>
      <c r="F293" s="2" t="s">
        <v>239</v>
      </c>
      <c r="G293" s="2">
        <v>4</v>
      </c>
      <c r="H293" s="25">
        <v>42160</v>
      </c>
      <c r="I293" s="8">
        <v>0</v>
      </c>
      <c r="J293" s="25">
        <v>168640</v>
      </c>
      <c r="K293" s="25">
        <f>G293*H293</f>
        <v>168640</v>
      </c>
      <c r="L293" s="8">
        <f>K293*I293/100</f>
        <v>0</v>
      </c>
      <c r="M293" s="2" t="s">
        <v>94</v>
      </c>
      <c r="N293" s="2" t="s">
        <v>406</v>
      </c>
      <c r="O293" s="2">
        <v>2025</v>
      </c>
      <c r="P293" s="2" t="str">
        <v>January</v>
      </c>
      <c r="Q293" s="2" t="s">
        <v>47</v>
      </c>
    </row>
    <row r="294" spans="1:17" x14ac:dyDescent="0.25">
      <c r="A294" s="2" t="s">
        <v>805</v>
      </c>
      <c r="B294" s="7">
        <v>45735</v>
      </c>
      <c r="C294" s="5" t="s">
        <v>41</v>
      </c>
      <c r="D294" s="5" t="s">
        <v>42</v>
      </c>
      <c r="E294" s="5" t="s">
        <v>295</v>
      </c>
      <c r="F294" s="2" t="s">
        <v>126</v>
      </c>
      <c r="G294" s="2">
        <v>3</v>
      </c>
      <c r="H294" s="25">
        <v>60690</v>
      </c>
      <c r="I294" s="8">
        <v>0</v>
      </c>
      <c r="J294" s="25">
        <v>182070</v>
      </c>
      <c r="K294" s="25">
        <f>G294*H294</f>
        <v>182070</v>
      </c>
      <c r="L294" s="8">
        <f>K294*I294/100</f>
        <v>0</v>
      </c>
      <c r="M294" s="2" t="s">
        <v>94</v>
      </c>
      <c r="N294" s="2" t="s">
        <v>188</v>
      </c>
      <c r="O294" s="2">
        <v>2025</v>
      </c>
      <c r="P294" s="2" t="str">
        <v>March</v>
      </c>
      <c r="Q294" s="2" t="s">
        <v>47</v>
      </c>
    </row>
    <row r="295" spans="1:17" x14ac:dyDescent="0.25">
      <c r="A295" s="2" t="s">
        <v>807</v>
      </c>
      <c r="B295" s="7">
        <v>45915</v>
      </c>
      <c r="C295" s="5" t="s">
        <v>135</v>
      </c>
      <c r="D295" s="5" t="s">
        <v>58</v>
      </c>
      <c r="E295" s="5" t="s">
        <v>179</v>
      </c>
      <c r="F295" s="2" t="s">
        <v>239</v>
      </c>
      <c r="G295" s="2">
        <v>7</v>
      </c>
      <c r="H295" s="25">
        <v>18500</v>
      </c>
      <c r="I295" s="8">
        <v>15</v>
      </c>
      <c r="J295" s="25">
        <v>110075</v>
      </c>
      <c r="K295" s="25">
        <f>G295*H295</f>
        <v>129500</v>
      </c>
      <c r="L295" s="8">
        <f>K295*I295/100</f>
        <v>19425</v>
      </c>
      <c r="M295" s="2" t="s">
        <v>139</v>
      </c>
      <c r="N295" s="2" t="s">
        <v>266</v>
      </c>
      <c r="O295" s="2">
        <v>2025</v>
      </c>
      <c r="P295" s="2" t="str">
        <v>September</v>
      </c>
      <c r="Q295" s="2" t="s">
        <v>47</v>
      </c>
    </row>
    <row r="296" spans="1:17" x14ac:dyDescent="0.25">
      <c r="A296" s="2" t="s">
        <v>809</v>
      </c>
      <c r="B296" s="7">
        <v>45854</v>
      </c>
      <c r="C296" s="5" t="s">
        <v>238</v>
      </c>
      <c r="D296" s="5" t="s">
        <v>51</v>
      </c>
      <c r="E296" s="5" t="s">
        <v>179</v>
      </c>
      <c r="F296" s="2" t="s">
        <v>184</v>
      </c>
      <c r="G296" s="2">
        <v>9</v>
      </c>
      <c r="H296" s="25">
        <v>18600</v>
      </c>
      <c r="I296" s="8">
        <v>5</v>
      </c>
      <c r="J296" s="25">
        <v>159030</v>
      </c>
      <c r="K296" s="25">
        <f>G296*H296</f>
        <v>167400</v>
      </c>
      <c r="L296" s="8">
        <f>K296*I296/100</f>
        <v>8370</v>
      </c>
      <c r="M296" s="2" t="s">
        <v>139</v>
      </c>
      <c r="N296" s="2" t="s">
        <v>411</v>
      </c>
      <c r="O296" s="2">
        <v>2025</v>
      </c>
      <c r="P296" s="2" t="str">
        <v>July</v>
      </c>
      <c r="Q296" s="2" t="s">
        <v>47</v>
      </c>
    </row>
    <row r="297" spans="1:17" x14ac:dyDescent="0.25">
      <c r="A297" s="2" t="s">
        <v>812</v>
      </c>
      <c r="B297" s="7">
        <v>45794</v>
      </c>
      <c r="C297" s="5" t="s">
        <v>156</v>
      </c>
      <c r="D297" s="5" t="s">
        <v>51</v>
      </c>
      <c r="E297" s="5" t="s">
        <v>25</v>
      </c>
      <c r="F297" s="2" t="s">
        <v>115</v>
      </c>
      <c r="G297" s="2">
        <v>8</v>
      </c>
      <c r="H297" s="25">
        <v>2810</v>
      </c>
      <c r="I297" s="8">
        <v>0</v>
      </c>
      <c r="J297" s="25">
        <v>22480</v>
      </c>
      <c r="K297" s="25">
        <f>G297*H297</f>
        <v>22480</v>
      </c>
      <c r="L297" s="8">
        <f>K297*I297/100</f>
        <v>0</v>
      </c>
      <c r="M297" s="2" t="s">
        <v>53</v>
      </c>
      <c r="N297" s="2" t="s">
        <v>168</v>
      </c>
      <c r="O297" s="2">
        <v>2025</v>
      </c>
      <c r="P297" s="2" t="str">
        <v>May</v>
      </c>
      <c r="Q297" s="2" t="s">
        <v>21</v>
      </c>
    </row>
    <row r="298" spans="1:17" x14ac:dyDescent="0.25">
      <c r="A298" s="2" t="s">
        <v>814</v>
      </c>
      <c r="B298" s="7">
        <v>45756</v>
      </c>
      <c r="C298" s="5" t="s">
        <v>156</v>
      </c>
      <c r="D298" s="5" t="s">
        <v>51</v>
      </c>
      <c r="E298" s="5" t="s">
        <v>25</v>
      </c>
      <c r="F298" s="2" t="s">
        <v>93</v>
      </c>
      <c r="G298" s="2">
        <v>9</v>
      </c>
      <c r="H298" s="25">
        <v>22540</v>
      </c>
      <c r="I298" s="8">
        <v>0</v>
      </c>
      <c r="J298" s="25">
        <v>202860</v>
      </c>
      <c r="K298" s="25">
        <f>G298*H298</f>
        <v>202860</v>
      </c>
      <c r="L298" s="8">
        <f>K298*I298/100</f>
        <v>0</v>
      </c>
      <c r="M298" s="2" t="s">
        <v>53</v>
      </c>
      <c r="N298" s="2" t="s">
        <v>344</v>
      </c>
      <c r="O298" s="2">
        <v>2025</v>
      </c>
      <c r="P298" s="2" t="str">
        <v>April</v>
      </c>
      <c r="Q298" s="2" t="s">
        <v>47</v>
      </c>
    </row>
    <row r="299" spans="1:17" x14ac:dyDescent="0.25">
      <c r="A299" s="2" t="s">
        <v>816</v>
      </c>
      <c r="B299" s="7">
        <v>45894</v>
      </c>
      <c r="C299" s="5" t="s">
        <v>24</v>
      </c>
      <c r="D299" s="5" t="s">
        <v>16</v>
      </c>
      <c r="E299" s="5" t="s">
        <v>34</v>
      </c>
      <c r="F299" s="2" t="s">
        <v>18</v>
      </c>
      <c r="G299" s="2">
        <v>5</v>
      </c>
      <c r="H299" s="25">
        <v>5700</v>
      </c>
      <c r="I299" s="8">
        <v>0</v>
      </c>
      <c r="J299" s="25">
        <v>28500</v>
      </c>
      <c r="K299" s="25">
        <f>G299*H299</f>
        <v>28500</v>
      </c>
      <c r="L299" s="8">
        <f>K299*I299/100</f>
        <v>0</v>
      </c>
      <c r="M299" s="2" t="s">
        <v>139</v>
      </c>
      <c r="N299" s="2" t="s">
        <v>46</v>
      </c>
      <c r="O299" s="2">
        <v>2025</v>
      </c>
      <c r="P299" s="2" t="str">
        <v>August</v>
      </c>
      <c r="Q299" s="2" t="s">
        <v>21</v>
      </c>
    </row>
    <row r="300" spans="1:17" x14ac:dyDescent="0.25">
      <c r="A300" s="2" t="s">
        <v>818</v>
      </c>
      <c r="B300" s="7">
        <v>45901</v>
      </c>
      <c r="C300" s="5" t="s">
        <v>32</v>
      </c>
      <c r="D300" s="5" t="s">
        <v>33</v>
      </c>
      <c r="E300" s="5" t="s">
        <v>148</v>
      </c>
      <c r="F300" s="2" t="s">
        <v>83</v>
      </c>
      <c r="G300" s="2">
        <v>5</v>
      </c>
      <c r="H300" s="25">
        <v>570</v>
      </c>
      <c r="I300" s="8">
        <v>10</v>
      </c>
      <c r="J300" s="25">
        <v>2565</v>
      </c>
      <c r="K300" s="25">
        <f>G300*H300</f>
        <v>2850</v>
      </c>
      <c r="L300" s="8">
        <f>K300*I300/100</f>
        <v>285</v>
      </c>
      <c r="M300" s="2" t="s">
        <v>102</v>
      </c>
      <c r="N300" s="2" t="s">
        <v>54</v>
      </c>
      <c r="O300" s="2">
        <v>2025</v>
      </c>
      <c r="P300" s="2" t="str">
        <v>September</v>
      </c>
      <c r="Q300" s="2" t="s">
        <v>21</v>
      </c>
    </row>
    <row r="301" spans="1:17" x14ac:dyDescent="0.25">
      <c r="A301" s="2" t="s">
        <v>822</v>
      </c>
      <c r="B301" s="7">
        <v>45897</v>
      </c>
      <c r="C301" s="5" t="s">
        <v>24</v>
      </c>
      <c r="D301" s="5" t="s">
        <v>16</v>
      </c>
      <c r="E301" s="5" t="s">
        <v>148</v>
      </c>
      <c r="F301" s="2" t="s">
        <v>252</v>
      </c>
      <c r="G301" s="2">
        <v>7</v>
      </c>
      <c r="H301" s="25">
        <v>8490</v>
      </c>
      <c r="I301" s="8">
        <v>15</v>
      </c>
      <c r="J301" s="25">
        <v>50515.5</v>
      </c>
      <c r="K301" s="25">
        <f>G301*H301</f>
        <v>59430</v>
      </c>
      <c r="L301" s="8">
        <f>K301*I301/100</f>
        <v>8914.5</v>
      </c>
      <c r="M301" s="2" t="s">
        <v>94</v>
      </c>
      <c r="N301" s="2" t="s">
        <v>68</v>
      </c>
      <c r="O301" s="2">
        <v>2025</v>
      </c>
      <c r="P301" s="2" t="str">
        <v>August</v>
      </c>
      <c r="Q301" s="2" t="s">
        <v>47</v>
      </c>
    </row>
    <row r="302" spans="1:17" x14ac:dyDescent="0.25">
      <c r="A302" s="2" t="s">
        <v>826</v>
      </c>
      <c r="B302" s="7">
        <v>45867</v>
      </c>
      <c r="C302" s="5" t="s">
        <v>238</v>
      </c>
      <c r="D302" s="5" t="s">
        <v>51</v>
      </c>
      <c r="E302" s="5" t="s">
        <v>148</v>
      </c>
      <c r="F302" s="2" t="s">
        <v>83</v>
      </c>
      <c r="G302" s="2">
        <v>9</v>
      </c>
      <c r="H302" s="25">
        <v>3860</v>
      </c>
      <c r="I302" s="8">
        <v>0</v>
      </c>
      <c r="J302" s="25">
        <v>34740</v>
      </c>
      <c r="K302" s="25">
        <f>G302*H302</f>
        <v>34740</v>
      </c>
      <c r="L302" s="8">
        <f>K302*I302/100</f>
        <v>0</v>
      </c>
      <c r="M302" s="2" t="s">
        <v>94</v>
      </c>
      <c r="N302" s="2" t="s">
        <v>79</v>
      </c>
      <c r="O302" s="2">
        <v>2025</v>
      </c>
      <c r="P302" s="2" t="str">
        <v>July</v>
      </c>
      <c r="Q302" s="2" t="s">
        <v>21</v>
      </c>
    </row>
    <row r="303" spans="1:17" x14ac:dyDescent="0.25">
      <c r="A303" s="2" t="s">
        <v>828</v>
      </c>
      <c r="B303" s="7">
        <v>45933</v>
      </c>
      <c r="C303" s="5" t="s">
        <v>238</v>
      </c>
      <c r="D303" s="5" t="s">
        <v>51</v>
      </c>
      <c r="E303" s="5" t="s">
        <v>34</v>
      </c>
      <c r="F303" s="2" t="s">
        <v>18</v>
      </c>
      <c r="G303" s="2">
        <v>10</v>
      </c>
      <c r="H303" s="25">
        <v>8360</v>
      </c>
      <c r="I303" s="8">
        <v>15</v>
      </c>
      <c r="J303" s="25">
        <v>71060</v>
      </c>
      <c r="K303" s="25">
        <f>G303*H303</f>
        <v>83600</v>
      </c>
      <c r="L303" s="8">
        <f>K303*I303/100</f>
        <v>12540</v>
      </c>
      <c r="M303" s="2" t="s">
        <v>139</v>
      </c>
      <c r="N303" s="2" t="s">
        <v>344</v>
      </c>
      <c r="O303" s="2">
        <v>2025</v>
      </c>
      <c r="P303" s="2" t="str">
        <v>October</v>
      </c>
      <c r="Q303" s="2" t="s">
        <v>21</v>
      </c>
    </row>
    <row r="304" spans="1:17" x14ac:dyDescent="0.25">
      <c r="A304" s="2" t="s">
        <v>829</v>
      </c>
      <c r="B304" s="7">
        <v>45800</v>
      </c>
      <c r="C304" s="5" t="s">
        <v>135</v>
      </c>
      <c r="D304" s="5" t="s">
        <v>58</v>
      </c>
      <c r="E304" s="5" t="s">
        <v>34</v>
      </c>
      <c r="F304" s="2" t="s">
        <v>199</v>
      </c>
      <c r="G304" s="2">
        <v>1</v>
      </c>
      <c r="H304" s="25">
        <v>3940</v>
      </c>
      <c r="I304" s="8">
        <v>0</v>
      </c>
      <c r="J304" s="25">
        <v>3940</v>
      </c>
      <c r="K304" s="25">
        <f>G304*H304</f>
        <v>3940</v>
      </c>
      <c r="L304" s="8">
        <f>K304*I304/100</f>
        <v>0</v>
      </c>
      <c r="M304" s="2" t="s">
        <v>139</v>
      </c>
      <c r="N304" s="2" t="s">
        <v>176</v>
      </c>
      <c r="O304" s="2">
        <v>2025</v>
      </c>
      <c r="P304" s="2" t="str">
        <v>May</v>
      </c>
      <c r="Q304" s="2" t="s">
        <v>47</v>
      </c>
    </row>
    <row r="305" spans="1:17" x14ac:dyDescent="0.25">
      <c r="A305" s="2" t="s">
        <v>831</v>
      </c>
      <c r="B305" s="7">
        <v>45768</v>
      </c>
      <c r="C305" s="5" t="s">
        <v>135</v>
      </c>
      <c r="D305" s="5" t="s">
        <v>58</v>
      </c>
      <c r="E305" s="5" t="s">
        <v>34</v>
      </c>
      <c r="F305" s="2" t="s">
        <v>18</v>
      </c>
      <c r="G305" s="2">
        <v>9</v>
      </c>
      <c r="H305" s="25">
        <v>8180</v>
      </c>
      <c r="I305" s="8">
        <v>0</v>
      </c>
      <c r="J305" s="25">
        <v>73620</v>
      </c>
      <c r="K305" s="25">
        <f>G305*H305</f>
        <v>73620</v>
      </c>
      <c r="L305" s="8">
        <f>K305*I305/100</f>
        <v>0</v>
      </c>
      <c r="M305" s="2" t="s">
        <v>139</v>
      </c>
      <c r="N305" s="2" t="s">
        <v>176</v>
      </c>
      <c r="O305" s="2">
        <v>2025</v>
      </c>
      <c r="P305" s="2" t="str">
        <v>April</v>
      </c>
      <c r="Q305" s="2" t="s">
        <v>47</v>
      </c>
    </row>
    <row r="306" spans="1:17" x14ac:dyDescent="0.25">
      <c r="A306" s="2" t="s">
        <v>833</v>
      </c>
      <c r="B306" s="7">
        <v>45958</v>
      </c>
      <c r="C306" s="5" t="s">
        <v>32</v>
      </c>
      <c r="D306" s="5" t="s">
        <v>33</v>
      </c>
      <c r="E306" s="5" t="s">
        <v>148</v>
      </c>
      <c r="F306" s="2" t="s">
        <v>149</v>
      </c>
      <c r="G306" s="2">
        <v>4</v>
      </c>
      <c r="H306" s="25">
        <v>47560</v>
      </c>
      <c r="I306" s="8">
        <v>0</v>
      </c>
      <c r="J306" s="25">
        <v>190240</v>
      </c>
      <c r="K306" s="25">
        <f>G306*H306</f>
        <v>190240</v>
      </c>
      <c r="L306" s="8">
        <f>K306*I306/100</f>
        <v>0</v>
      </c>
      <c r="M306" s="2" t="s">
        <v>53</v>
      </c>
      <c r="N306" s="2" t="s">
        <v>168</v>
      </c>
      <c r="O306" s="2">
        <v>2025</v>
      </c>
      <c r="P306" s="2" t="str">
        <v>October</v>
      </c>
      <c r="Q306" s="2" t="s">
        <v>21</v>
      </c>
    </row>
    <row r="307" spans="1:17" x14ac:dyDescent="0.25">
      <c r="A307" s="2" t="s">
        <v>835</v>
      </c>
      <c r="B307" s="7">
        <v>45904</v>
      </c>
      <c r="C307" s="5" t="s">
        <v>76</v>
      </c>
      <c r="D307" s="5" t="s">
        <v>33</v>
      </c>
      <c r="E307" s="5" t="s">
        <v>295</v>
      </c>
      <c r="F307" s="2" t="s">
        <v>101</v>
      </c>
      <c r="G307" s="2">
        <v>11</v>
      </c>
      <c r="H307" s="25">
        <v>61360</v>
      </c>
      <c r="I307" s="8">
        <v>0</v>
      </c>
      <c r="J307" s="25">
        <v>674960</v>
      </c>
      <c r="K307" s="25">
        <f>G307*H307</f>
        <v>674960</v>
      </c>
      <c r="L307" s="8">
        <f>K307*I307/100</f>
        <v>0</v>
      </c>
      <c r="M307" s="2" t="s">
        <v>53</v>
      </c>
      <c r="N307" s="2" t="s">
        <v>266</v>
      </c>
      <c r="O307" s="2">
        <v>2025</v>
      </c>
      <c r="P307" s="2" t="str">
        <v>September</v>
      </c>
      <c r="Q307" s="2" t="s">
        <v>21</v>
      </c>
    </row>
    <row r="308" spans="1:17" x14ac:dyDescent="0.25">
      <c r="A308" s="2" t="s">
        <v>839</v>
      </c>
      <c r="B308" s="7">
        <v>45856</v>
      </c>
      <c r="C308" s="5" t="s">
        <v>24</v>
      </c>
      <c r="D308" s="5" t="s">
        <v>16</v>
      </c>
      <c r="E308" s="5" t="s">
        <v>179</v>
      </c>
      <c r="F308" s="2" t="s">
        <v>78</v>
      </c>
      <c r="G308" s="2">
        <v>9</v>
      </c>
      <c r="H308" s="25">
        <v>4580</v>
      </c>
      <c r="I308" s="8">
        <v>5</v>
      </c>
      <c r="J308" s="25">
        <v>39159</v>
      </c>
      <c r="K308" s="25">
        <f>G308*H308</f>
        <v>41220</v>
      </c>
      <c r="L308" s="8">
        <f>K308*I308/100</f>
        <v>2061</v>
      </c>
      <c r="M308" s="2" t="s">
        <v>102</v>
      </c>
      <c r="N308" s="2" t="s">
        <v>411</v>
      </c>
      <c r="O308" s="2">
        <v>2025</v>
      </c>
      <c r="P308" s="2" t="str">
        <v>July</v>
      </c>
      <c r="Q308" s="2" t="s">
        <v>21</v>
      </c>
    </row>
    <row r="309" spans="1:17" x14ac:dyDescent="0.25">
      <c r="A309" s="2" t="s">
        <v>840</v>
      </c>
      <c r="B309" s="7">
        <v>45894</v>
      </c>
      <c r="C309" s="5" t="s">
        <v>238</v>
      </c>
      <c r="D309" s="5" t="s">
        <v>51</v>
      </c>
      <c r="E309" s="5" t="s">
        <v>25</v>
      </c>
      <c r="F309" s="2" t="s">
        <v>332</v>
      </c>
      <c r="G309" s="2">
        <v>2</v>
      </c>
      <c r="H309" s="25">
        <v>1120</v>
      </c>
      <c r="I309" s="8">
        <v>5</v>
      </c>
      <c r="J309" s="25">
        <v>2128</v>
      </c>
      <c r="K309" s="25">
        <f>G309*H309</f>
        <v>2240</v>
      </c>
      <c r="L309" s="8">
        <f>K309*I309/100</f>
        <v>112</v>
      </c>
      <c r="M309" s="2" t="s">
        <v>94</v>
      </c>
      <c r="N309" s="2" t="s">
        <v>341</v>
      </c>
      <c r="O309" s="2">
        <v>2025</v>
      </c>
      <c r="P309" s="2" t="str">
        <v>August</v>
      </c>
      <c r="Q309" s="2" t="s">
        <v>47</v>
      </c>
    </row>
    <row r="310" spans="1:17" x14ac:dyDescent="0.25">
      <c r="A310" s="2" t="s">
        <v>842</v>
      </c>
      <c r="B310" s="7">
        <v>45924</v>
      </c>
      <c r="C310" s="5" t="s">
        <v>238</v>
      </c>
      <c r="D310" s="5" t="s">
        <v>51</v>
      </c>
      <c r="E310" s="5" t="s">
        <v>295</v>
      </c>
      <c r="F310" s="2" t="s">
        <v>319</v>
      </c>
      <c r="G310" s="2">
        <v>5</v>
      </c>
      <c r="H310" s="25">
        <v>2720</v>
      </c>
      <c r="I310" s="8">
        <v>5</v>
      </c>
      <c r="J310" s="25">
        <v>12920</v>
      </c>
      <c r="K310" s="25">
        <f>G310*H310</f>
        <v>13600</v>
      </c>
      <c r="L310" s="8">
        <f>K310*I310/100</f>
        <v>680</v>
      </c>
      <c r="M310" s="2" t="s">
        <v>53</v>
      </c>
      <c r="N310" s="2" t="s">
        <v>344</v>
      </c>
      <c r="O310" s="2">
        <v>2025</v>
      </c>
      <c r="P310" s="2" t="str">
        <v>September</v>
      </c>
      <c r="Q310" s="2" t="s">
        <v>47</v>
      </c>
    </row>
    <row r="311" spans="1:17" x14ac:dyDescent="0.25">
      <c r="A311" s="2" t="s">
        <v>844</v>
      </c>
      <c r="B311" s="7">
        <v>45939</v>
      </c>
      <c r="C311" s="5" t="s">
        <v>32</v>
      </c>
      <c r="D311" s="5" t="s">
        <v>33</v>
      </c>
      <c r="E311" s="5" t="s">
        <v>179</v>
      </c>
      <c r="F311" s="2" t="s">
        <v>232</v>
      </c>
      <c r="G311" s="2">
        <v>5</v>
      </c>
      <c r="H311" s="25">
        <v>2340</v>
      </c>
      <c r="I311" s="8">
        <v>10</v>
      </c>
      <c r="J311" s="25">
        <v>10530</v>
      </c>
      <c r="K311" s="25">
        <f>G311*H311</f>
        <v>11700</v>
      </c>
      <c r="L311" s="8">
        <f>K311*I311/100</f>
        <v>1170</v>
      </c>
      <c r="M311" s="2" t="s">
        <v>53</v>
      </c>
      <c r="N311" s="2" t="s">
        <v>344</v>
      </c>
      <c r="O311" s="2">
        <v>2025</v>
      </c>
      <c r="P311" s="2" t="str">
        <v>October</v>
      </c>
      <c r="Q311" s="2" t="s">
        <v>47</v>
      </c>
    </row>
    <row r="312" spans="1:17" x14ac:dyDescent="0.25">
      <c r="A312" s="2" t="s">
        <v>845</v>
      </c>
      <c r="B312" s="7">
        <v>45727</v>
      </c>
      <c r="C312" s="5" t="s">
        <v>76</v>
      </c>
      <c r="D312" s="5" t="s">
        <v>33</v>
      </c>
      <c r="E312" s="5" t="s">
        <v>25</v>
      </c>
      <c r="F312" s="2" t="s">
        <v>248</v>
      </c>
      <c r="G312" s="2">
        <v>4</v>
      </c>
      <c r="H312" s="25">
        <v>10000</v>
      </c>
      <c r="I312" s="8">
        <v>0</v>
      </c>
      <c r="J312" s="25">
        <v>40000</v>
      </c>
      <c r="K312" s="25">
        <f>G312*H312</f>
        <v>40000</v>
      </c>
      <c r="L312" s="8">
        <f>K312*I312/100</f>
        <v>0</v>
      </c>
      <c r="M312" s="2" t="s">
        <v>102</v>
      </c>
      <c r="N312" s="2" t="s">
        <v>46</v>
      </c>
      <c r="O312" s="2">
        <v>2025</v>
      </c>
      <c r="P312" s="2" t="str">
        <v>March</v>
      </c>
      <c r="Q312" s="2" t="s">
        <v>47</v>
      </c>
    </row>
    <row r="313" spans="1:17" x14ac:dyDescent="0.25">
      <c r="A313" s="2" t="s">
        <v>847</v>
      </c>
      <c r="B313" s="7">
        <v>45859</v>
      </c>
      <c r="C313" s="5" t="s">
        <v>76</v>
      </c>
      <c r="D313" s="5" t="s">
        <v>33</v>
      </c>
      <c r="E313" s="5" t="s">
        <v>295</v>
      </c>
      <c r="F313" s="2" t="s">
        <v>132</v>
      </c>
      <c r="G313" s="2">
        <v>12</v>
      </c>
      <c r="H313" s="25">
        <v>2740</v>
      </c>
      <c r="I313" s="8">
        <v>0</v>
      </c>
      <c r="J313" s="25">
        <v>32880</v>
      </c>
      <c r="K313" s="25">
        <f>G313*H313</f>
        <v>32880</v>
      </c>
      <c r="L313" s="8">
        <f>K313*I313/100</f>
        <v>0</v>
      </c>
      <c r="M313" s="2" t="s">
        <v>139</v>
      </c>
      <c r="N313" s="2" t="s">
        <v>73</v>
      </c>
      <c r="O313" s="2">
        <v>2025</v>
      </c>
      <c r="P313" s="2" t="str">
        <v>July</v>
      </c>
      <c r="Q313" s="2" t="s">
        <v>21</v>
      </c>
    </row>
    <row r="314" spans="1:17" x14ac:dyDescent="0.25">
      <c r="A314" s="2" t="s">
        <v>849</v>
      </c>
      <c r="B314" s="7">
        <v>45709</v>
      </c>
      <c r="C314" s="5" t="s">
        <v>24</v>
      </c>
      <c r="D314" s="5" t="s">
        <v>16</v>
      </c>
      <c r="E314" s="5" t="s">
        <v>148</v>
      </c>
      <c r="F314" s="2" t="s">
        <v>149</v>
      </c>
      <c r="G314" s="2">
        <v>6</v>
      </c>
      <c r="H314" s="25">
        <v>9470</v>
      </c>
      <c r="I314" s="8">
        <v>15</v>
      </c>
      <c r="J314" s="25">
        <v>48297</v>
      </c>
      <c r="K314" s="25">
        <f>G314*H314</f>
        <v>56820</v>
      </c>
      <c r="L314" s="8">
        <f>K314*I314/100</f>
        <v>8523</v>
      </c>
      <c r="M314" s="2" t="s">
        <v>102</v>
      </c>
      <c r="N314" s="2" t="s">
        <v>68</v>
      </c>
      <c r="O314" s="2">
        <v>2025</v>
      </c>
      <c r="P314" s="2" t="str">
        <v>February</v>
      </c>
      <c r="Q314" s="2" t="s">
        <v>47</v>
      </c>
    </row>
    <row r="315" spans="1:17" x14ac:dyDescent="0.25">
      <c r="A315" s="2" t="s">
        <v>851</v>
      </c>
      <c r="B315" s="7">
        <v>45840</v>
      </c>
      <c r="C315" s="5" t="s">
        <v>32</v>
      </c>
      <c r="D315" s="5" t="s">
        <v>33</v>
      </c>
      <c r="E315" s="5" t="s">
        <v>179</v>
      </c>
      <c r="F315" s="2" t="s">
        <v>332</v>
      </c>
      <c r="G315" s="2">
        <v>10</v>
      </c>
      <c r="H315" s="25">
        <v>28270</v>
      </c>
      <c r="I315" s="8">
        <v>5</v>
      </c>
      <c r="J315" s="25">
        <v>268565</v>
      </c>
      <c r="K315" s="25">
        <f>G315*H315</f>
        <v>282700</v>
      </c>
      <c r="L315" s="8">
        <f>K315*I315/100</f>
        <v>14135</v>
      </c>
      <c r="M315" s="2" t="s">
        <v>139</v>
      </c>
      <c r="N315" s="2" t="s">
        <v>176</v>
      </c>
      <c r="O315" s="2">
        <v>2025</v>
      </c>
      <c r="P315" s="2" t="str">
        <v>July</v>
      </c>
      <c r="Q315" s="2" t="s">
        <v>21</v>
      </c>
    </row>
    <row r="316" spans="1:17" x14ac:dyDescent="0.25">
      <c r="A316" s="2" t="s">
        <v>853</v>
      </c>
      <c r="B316" s="7">
        <v>45924</v>
      </c>
      <c r="C316" s="5" t="s">
        <v>41</v>
      </c>
      <c r="D316" s="5" t="s">
        <v>42</v>
      </c>
      <c r="E316" s="5" t="s">
        <v>179</v>
      </c>
      <c r="F316" s="2" t="s">
        <v>78</v>
      </c>
      <c r="G316" s="2">
        <v>2</v>
      </c>
      <c r="H316" s="25">
        <v>13110</v>
      </c>
      <c r="I316" s="8">
        <v>10</v>
      </c>
      <c r="J316" s="25">
        <v>23598</v>
      </c>
      <c r="K316" s="25">
        <f>G316*H316</f>
        <v>26220</v>
      </c>
      <c r="L316" s="8">
        <f>K316*I316/100</f>
        <v>2622</v>
      </c>
      <c r="M316" s="2" t="s">
        <v>102</v>
      </c>
      <c r="N316" s="2" t="s">
        <v>79</v>
      </c>
      <c r="O316" s="2">
        <v>2025</v>
      </c>
      <c r="P316" s="2" t="str">
        <v>September</v>
      </c>
      <c r="Q316" s="2" t="s">
        <v>47</v>
      </c>
    </row>
    <row r="317" spans="1:17" x14ac:dyDescent="0.25">
      <c r="A317" s="2" t="s">
        <v>854</v>
      </c>
      <c r="B317" s="7">
        <v>45773</v>
      </c>
      <c r="C317" s="5" t="s">
        <v>24</v>
      </c>
      <c r="D317" s="5" t="s">
        <v>16</v>
      </c>
      <c r="E317" s="5" t="s">
        <v>295</v>
      </c>
      <c r="F317" s="2" t="s">
        <v>296</v>
      </c>
      <c r="G317" s="2">
        <v>8</v>
      </c>
      <c r="H317" s="25">
        <v>480</v>
      </c>
      <c r="I317" s="8">
        <v>10</v>
      </c>
      <c r="J317" s="25">
        <v>3456</v>
      </c>
      <c r="K317" s="25">
        <f>G317*H317</f>
        <v>3840</v>
      </c>
      <c r="L317" s="8">
        <f>K317*I317/100</f>
        <v>384</v>
      </c>
      <c r="M317" s="2" t="s">
        <v>102</v>
      </c>
      <c r="N317" s="2" t="s">
        <v>266</v>
      </c>
      <c r="O317" s="2">
        <v>2025</v>
      </c>
      <c r="P317" s="2" t="str">
        <v>April</v>
      </c>
      <c r="Q317" s="2" t="s">
        <v>47</v>
      </c>
    </row>
    <row r="318" spans="1:17" x14ac:dyDescent="0.25">
      <c r="A318" s="2" t="s">
        <v>856</v>
      </c>
      <c r="B318" s="7">
        <v>45744</v>
      </c>
      <c r="C318" s="5" t="s">
        <v>156</v>
      </c>
      <c r="D318" s="5" t="s">
        <v>51</v>
      </c>
      <c r="E318" s="5" t="s">
        <v>295</v>
      </c>
      <c r="F318" s="2" t="s">
        <v>314</v>
      </c>
      <c r="G318" s="2">
        <v>2</v>
      </c>
      <c r="H318" s="25">
        <v>51590</v>
      </c>
      <c r="I318" s="8">
        <v>10</v>
      </c>
      <c r="J318" s="25">
        <v>92862</v>
      </c>
      <c r="K318" s="25">
        <f>G318*H318</f>
        <v>103180</v>
      </c>
      <c r="L318" s="8">
        <f>K318*I318/100</f>
        <v>10318</v>
      </c>
      <c r="M318" s="2" t="s">
        <v>102</v>
      </c>
      <c r="N318" s="2" t="s">
        <v>406</v>
      </c>
      <c r="O318" s="2">
        <v>2025</v>
      </c>
      <c r="P318" s="2" t="str">
        <v>March</v>
      </c>
      <c r="Q318" s="2" t="s">
        <v>21</v>
      </c>
    </row>
    <row r="319" spans="1:17" x14ac:dyDescent="0.25">
      <c r="A319" s="2" t="s">
        <v>858</v>
      </c>
      <c r="B319" s="7">
        <v>45690</v>
      </c>
      <c r="C319" s="5" t="s">
        <v>24</v>
      </c>
      <c r="D319" s="5" t="s">
        <v>16</v>
      </c>
      <c r="E319" s="5" t="s">
        <v>179</v>
      </c>
      <c r="F319" s="2" t="s">
        <v>239</v>
      </c>
      <c r="G319" s="2">
        <v>10</v>
      </c>
      <c r="H319" s="25">
        <v>3520</v>
      </c>
      <c r="I319" s="8">
        <v>0</v>
      </c>
      <c r="J319" s="25">
        <v>35200</v>
      </c>
      <c r="K319" s="25">
        <f>G319*H319</f>
        <v>35200</v>
      </c>
      <c r="L319" s="8">
        <f>K319*I319/100</f>
        <v>0</v>
      </c>
      <c r="M319" s="2" t="s">
        <v>102</v>
      </c>
      <c r="N319" s="2" t="s">
        <v>73</v>
      </c>
      <c r="O319" s="2">
        <v>2025</v>
      </c>
      <c r="P319" s="2" t="str">
        <v>February</v>
      </c>
      <c r="Q319" s="2" t="s">
        <v>21</v>
      </c>
    </row>
    <row r="320" spans="1:17" x14ac:dyDescent="0.25">
      <c r="A320" s="2" t="s">
        <v>860</v>
      </c>
      <c r="B320" s="7">
        <v>45811</v>
      </c>
      <c r="C320" s="5" t="s">
        <v>156</v>
      </c>
      <c r="D320" s="5" t="s">
        <v>51</v>
      </c>
      <c r="E320" s="5" t="s">
        <v>295</v>
      </c>
      <c r="F320" s="2" t="s">
        <v>132</v>
      </c>
      <c r="G320" s="2">
        <v>6</v>
      </c>
      <c r="H320" s="25">
        <v>6810</v>
      </c>
      <c r="I320" s="8">
        <v>0</v>
      </c>
      <c r="J320" s="25">
        <v>40860</v>
      </c>
      <c r="K320" s="25">
        <f>G320*H320</f>
        <v>40860</v>
      </c>
      <c r="L320" s="8">
        <f>K320*I320/100</f>
        <v>0</v>
      </c>
      <c r="M320" s="2" t="s">
        <v>102</v>
      </c>
      <c r="N320" s="2" t="s">
        <v>37</v>
      </c>
      <c r="O320" s="2">
        <v>2025</v>
      </c>
      <c r="P320" s="2" t="str">
        <v>June</v>
      </c>
      <c r="Q320" s="2" t="s">
        <v>47</v>
      </c>
    </row>
    <row r="321" spans="1:17" x14ac:dyDescent="0.25">
      <c r="A321" s="2" t="s">
        <v>862</v>
      </c>
      <c r="B321" s="7">
        <v>46001</v>
      </c>
      <c r="C321" s="5" t="s">
        <v>41</v>
      </c>
      <c r="D321" s="5" t="s">
        <v>42</v>
      </c>
      <c r="E321" s="5" t="s">
        <v>34</v>
      </c>
      <c r="F321" s="2" t="s">
        <v>171</v>
      </c>
      <c r="G321" s="2">
        <v>7</v>
      </c>
      <c r="H321" s="25">
        <v>26330</v>
      </c>
      <c r="I321" s="8">
        <v>15</v>
      </c>
      <c r="J321" s="25">
        <v>156663.5</v>
      </c>
      <c r="K321" s="25">
        <f>G321*H321</f>
        <v>184310</v>
      </c>
      <c r="L321" s="8">
        <f>K321*I321/100</f>
        <v>27646.5</v>
      </c>
      <c r="M321" s="2" t="s">
        <v>53</v>
      </c>
      <c r="N321" s="2" t="s">
        <v>266</v>
      </c>
      <c r="O321" s="2">
        <v>2025</v>
      </c>
      <c r="P321" s="2" t="str">
        <v>December</v>
      </c>
      <c r="Q321" s="2" t="s">
        <v>47</v>
      </c>
    </row>
    <row r="322" spans="1:17" x14ac:dyDescent="0.25">
      <c r="A322" s="2" t="s">
        <v>864</v>
      </c>
      <c r="B322" s="7">
        <v>45988</v>
      </c>
      <c r="C322" s="5" t="s">
        <v>135</v>
      </c>
      <c r="D322" s="5" t="s">
        <v>33</v>
      </c>
      <c r="E322" s="5" t="s">
        <v>148</v>
      </c>
      <c r="F322" s="2" t="s">
        <v>149</v>
      </c>
      <c r="G322" s="2">
        <v>1</v>
      </c>
      <c r="H322" s="25">
        <v>49500</v>
      </c>
      <c r="I322" s="8">
        <v>0</v>
      </c>
      <c r="J322" s="25">
        <v>49500</v>
      </c>
      <c r="K322" s="25">
        <f>G322*H322</f>
        <v>49500</v>
      </c>
      <c r="L322" s="8">
        <f>K322*I322/100</f>
        <v>0</v>
      </c>
      <c r="M322" s="2" t="s">
        <v>102</v>
      </c>
      <c r="N322" s="2" t="s">
        <v>73</v>
      </c>
      <c r="O322" s="2">
        <v>2025</v>
      </c>
      <c r="P322" s="2" t="str">
        <v>November</v>
      </c>
      <c r="Q322" s="2" t="s">
        <v>21</v>
      </c>
    </row>
    <row r="323" spans="1:17" x14ac:dyDescent="0.25">
      <c r="A323" s="2" t="s">
        <v>866</v>
      </c>
      <c r="B323" s="7">
        <v>45689</v>
      </c>
      <c r="C323" s="5" t="s">
        <v>41</v>
      </c>
      <c r="D323" s="5" t="s">
        <v>42</v>
      </c>
      <c r="E323" s="5" t="s">
        <v>295</v>
      </c>
      <c r="F323" s="2" t="s">
        <v>296</v>
      </c>
      <c r="G323" s="2">
        <v>1</v>
      </c>
      <c r="H323" s="25">
        <v>13390</v>
      </c>
      <c r="I323" s="8">
        <v>0</v>
      </c>
      <c r="J323" s="25">
        <v>13390</v>
      </c>
      <c r="K323" s="25">
        <f>G323*H323</f>
        <v>13390</v>
      </c>
      <c r="L323" s="8">
        <f>K323*I323/100</f>
        <v>0</v>
      </c>
      <c r="M323" s="2" t="s">
        <v>139</v>
      </c>
      <c r="N323" s="2" t="s">
        <v>411</v>
      </c>
      <c r="O323" s="2">
        <v>2025</v>
      </c>
      <c r="P323" s="2" t="str">
        <v>February</v>
      </c>
      <c r="Q323" s="2" t="s">
        <v>47</v>
      </c>
    </row>
    <row r="324" spans="1:17" x14ac:dyDescent="0.25">
      <c r="A324" s="2" t="s">
        <v>867</v>
      </c>
      <c r="B324" s="7">
        <v>45898</v>
      </c>
      <c r="C324" s="5" t="s">
        <v>135</v>
      </c>
      <c r="D324" s="5" t="s">
        <v>33</v>
      </c>
      <c r="E324" s="5" t="s">
        <v>34</v>
      </c>
      <c r="F324" s="2" t="s">
        <v>171</v>
      </c>
      <c r="G324" s="2">
        <v>3</v>
      </c>
      <c r="H324" s="25">
        <v>2280</v>
      </c>
      <c r="I324" s="8">
        <v>0</v>
      </c>
      <c r="J324" s="25">
        <v>6840</v>
      </c>
      <c r="K324" s="25">
        <f>G324*H324</f>
        <v>6840</v>
      </c>
      <c r="L324" s="8">
        <f>K324*I324/100</f>
        <v>0</v>
      </c>
      <c r="M324" s="2" t="s">
        <v>94</v>
      </c>
      <c r="N324" s="2" t="s">
        <v>37</v>
      </c>
      <c r="O324" s="2">
        <v>2025</v>
      </c>
      <c r="P324" s="2" t="str">
        <v>August</v>
      </c>
      <c r="Q324" s="2" t="s">
        <v>21</v>
      </c>
    </row>
    <row r="325" spans="1:17" x14ac:dyDescent="0.25">
      <c r="A325" s="2" t="s">
        <v>869</v>
      </c>
      <c r="B325" s="7">
        <v>45749</v>
      </c>
      <c r="C325" s="5" t="s">
        <v>238</v>
      </c>
      <c r="D325" s="5" t="s">
        <v>51</v>
      </c>
      <c r="E325" s="5" t="s">
        <v>148</v>
      </c>
      <c r="F325" s="2" t="s">
        <v>209</v>
      </c>
      <c r="G325" s="2">
        <v>5</v>
      </c>
      <c r="H325" s="25">
        <v>11740</v>
      </c>
      <c r="I325" s="8">
        <v>0</v>
      </c>
      <c r="J325" s="25">
        <v>58700</v>
      </c>
      <c r="K325" s="25">
        <f>G325*H325</f>
        <v>58700</v>
      </c>
      <c r="L325" s="8">
        <f>K325*I325/100</f>
        <v>0</v>
      </c>
      <c r="M325" s="2" t="s">
        <v>139</v>
      </c>
      <c r="N325" s="2" t="s">
        <v>79</v>
      </c>
      <c r="O325" s="2">
        <v>2025</v>
      </c>
      <c r="P325" s="2" t="str">
        <v>April</v>
      </c>
      <c r="Q325" s="2" t="s">
        <v>21</v>
      </c>
    </row>
    <row r="326" spans="1:17" x14ac:dyDescent="0.25">
      <c r="A326" s="2" t="s">
        <v>871</v>
      </c>
      <c r="B326" s="7">
        <v>45700</v>
      </c>
      <c r="C326" s="5" t="s">
        <v>24</v>
      </c>
      <c r="D326" s="5" t="s">
        <v>16</v>
      </c>
      <c r="E326" s="5" t="s">
        <v>34</v>
      </c>
      <c r="F326" s="2" t="s">
        <v>71</v>
      </c>
      <c r="G326" s="2">
        <v>4</v>
      </c>
      <c r="H326" s="25">
        <v>62780</v>
      </c>
      <c r="I326" s="8">
        <v>15</v>
      </c>
      <c r="J326" s="25">
        <v>213452</v>
      </c>
      <c r="K326" s="25">
        <f>G326*H326</f>
        <v>251120</v>
      </c>
      <c r="L326" s="8">
        <f>K326*I326/100</f>
        <v>37668</v>
      </c>
      <c r="M326" s="2" t="s">
        <v>139</v>
      </c>
      <c r="N326" s="2" t="s">
        <v>46</v>
      </c>
      <c r="O326" s="2">
        <v>2025</v>
      </c>
      <c r="P326" s="2" t="str">
        <v>February</v>
      </c>
      <c r="Q326" s="2" t="s">
        <v>47</v>
      </c>
    </row>
    <row r="327" spans="1:17" x14ac:dyDescent="0.25">
      <c r="A327" s="2" t="s">
        <v>873</v>
      </c>
      <c r="B327" s="7">
        <v>45992</v>
      </c>
      <c r="C327" s="5" t="s">
        <v>32</v>
      </c>
      <c r="D327" s="5" t="s">
        <v>33</v>
      </c>
      <c r="E327" s="5" t="s">
        <v>34</v>
      </c>
      <c r="F327" s="2" t="s">
        <v>290</v>
      </c>
      <c r="G327" s="2">
        <v>1</v>
      </c>
      <c r="H327" s="25">
        <v>9180</v>
      </c>
      <c r="I327" s="8">
        <v>0</v>
      </c>
      <c r="J327" s="25">
        <v>9180</v>
      </c>
      <c r="K327" s="25">
        <f>G327*H327</f>
        <v>9180</v>
      </c>
      <c r="L327" s="8">
        <f>K327*I327/100</f>
        <v>0</v>
      </c>
      <c r="M327" s="2" t="s">
        <v>102</v>
      </c>
      <c r="N327" s="2" t="s">
        <v>344</v>
      </c>
      <c r="O327" s="2">
        <v>2025</v>
      </c>
      <c r="P327" s="2" t="str">
        <v>December</v>
      </c>
      <c r="Q327" s="2" t="s">
        <v>47</v>
      </c>
    </row>
    <row r="328" spans="1:17" x14ac:dyDescent="0.25">
      <c r="A328" s="2" t="s">
        <v>875</v>
      </c>
      <c r="B328" s="7">
        <v>45868</v>
      </c>
      <c r="C328" s="5" t="s">
        <v>41</v>
      </c>
      <c r="D328" s="5" t="s">
        <v>42</v>
      </c>
      <c r="E328" s="5" t="s">
        <v>34</v>
      </c>
      <c r="F328" s="2" t="s">
        <v>164</v>
      </c>
      <c r="G328" s="2">
        <v>6</v>
      </c>
      <c r="H328" s="25">
        <v>8320</v>
      </c>
      <c r="I328" s="8">
        <v>15</v>
      </c>
      <c r="J328" s="25">
        <v>42432</v>
      </c>
      <c r="K328" s="25">
        <f>G328*H328</f>
        <v>49920</v>
      </c>
      <c r="L328" s="8">
        <f>K328*I328/100</f>
        <v>7488</v>
      </c>
      <c r="M328" s="2" t="s">
        <v>53</v>
      </c>
      <c r="N328" s="2" t="s">
        <v>176</v>
      </c>
      <c r="O328" s="2">
        <v>2025</v>
      </c>
      <c r="P328" s="2" t="str">
        <v>July</v>
      </c>
      <c r="Q328" s="2" t="s">
        <v>47</v>
      </c>
    </row>
    <row r="329" spans="1:17" x14ac:dyDescent="0.25">
      <c r="A329" s="2" t="s">
        <v>877</v>
      </c>
      <c r="B329" s="7">
        <v>45732</v>
      </c>
      <c r="C329" s="5" t="s">
        <v>135</v>
      </c>
      <c r="D329" s="5" t="s">
        <v>58</v>
      </c>
      <c r="E329" s="5" t="s">
        <v>179</v>
      </c>
      <c r="F329" s="2" t="s">
        <v>224</v>
      </c>
      <c r="G329" s="2">
        <v>4</v>
      </c>
      <c r="H329" s="25">
        <v>5750</v>
      </c>
      <c r="I329" s="8">
        <v>0</v>
      </c>
      <c r="J329" s="25">
        <v>23000</v>
      </c>
      <c r="K329" s="25">
        <f>G329*H329</f>
        <v>23000</v>
      </c>
      <c r="L329" s="8">
        <f>K329*I329/100</f>
        <v>0</v>
      </c>
      <c r="M329" s="2" t="s">
        <v>94</v>
      </c>
      <c r="N329" s="2" t="s">
        <v>266</v>
      </c>
      <c r="O329" s="2">
        <v>2025</v>
      </c>
      <c r="P329" s="2" t="str">
        <v>March</v>
      </c>
      <c r="Q329" s="2" t="s">
        <v>47</v>
      </c>
    </row>
    <row r="330" spans="1:17" x14ac:dyDescent="0.25">
      <c r="A330" s="2" t="s">
        <v>879</v>
      </c>
      <c r="B330" s="7">
        <v>45893</v>
      </c>
      <c r="C330" s="5" t="s">
        <v>32</v>
      </c>
      <c r="D330" s="5" t="s">
        <v>33</v>
      </c>
      <c r="E330" s="5" t="s">
        <v>34</v>
      </c>
      <c r="F330" s="2" t="s">
        <v>171</v>
      </c>
      <c r="G330" s="2">
        <v>2</v>
      </c>
      <c r="H330" s="25">
        <v>11650</v>
      </c>
      <c r="I330" s="8">
        <v>0</v>
      </c>
      <c r="J330" s="25">
        <v>23300</v>
      </c>
      <c r="K330" s="25">
        <f>G330*H330</f>
        <v>23300</v>
      </c>
      <c r="L330" s="8">
        <f>K330*I330/100</f>
        <v>0</v>
      </c>
      <c r="M330" s="2" t="s">
        <v>53</v>
      </c>
      <c r="N330" s="2" t="s">
        <v>411</v>
      </c>
      <c r="O330" s="2">
        <v>2025</v>
      </c>
      <c r="P330" s="2" t="str">
        <v>August</v>
      </c>
      <c r="Q330" s="2" t="s">
        <v>21</v>
      </c>
    </row>
    <row r="331" spans="1:17" x14ac:dyDescent="0.25">
      <c r="A331" s="2" t="s">
        <v>881</v>
      </c>
      <c r="B331" s="7">
        <v>45714</v>
      </c>
      <c r="C331" s="5" t="s">
        <v>135</v>
      </c>
      <c r="D331" s="5" t="s">
        <v>58</v>
      </c>
      <c r="E331" s="5" t="s">
        <v>25</v>
      </c>
      <c r="F331" s="2" t="s">
        <v>332</v>
      </c>
      <c r="G331" s="2">
        <v>7</v>
      </c>
      <c r="H331" s="25">
        <v>23120</v>
      </c>
      <c r="I331" s="8">
        <v>0</v>
      </c>
      <c r="J331" s="25">
        <v>161840</v>
      </c>
      <c r="K331" s="25">
        <f>G331*H331</f>
        <v>161840</v>
      </c>
      <c r="L331" s="8">
        <f>K331*I331/100</f>
        <v>0</v>
      </c>
      <c r="M331" s="2" t="s">
        <v>139</v>
      </c>
      <c r="N331" s="2" t="s">
        <v>883</v>
      </c>
      <c r="O331" s="2">
        <v>2025</v>
      </c>
      <c r="P331" s="2" t="str">
        <v>February</v>
      </c>
      <c r="Q331" s="2" t="s">
        <v>21</v>
      </c>
    </row>
    <row r="332" spans="1:17" x14ac:dyDescent="0.25">
      <c r="A332" s="2" t="s">
        <v>884</v>
      </c>
      <c r="B332" s="7">
        <v>45702</v>
      </c>
      <c r="C332" s="5" t="s">
        <v>135</v>
      </c>
      <c r="D332" s="5" t="s">
        <v>33</v>
      </c>
      <c r="E332" s="5" t="s">
        <v>25</v>
      </c>
      <c r="F332" s="2" t="s">
        <v>332</v>
      </c>
      <c r="G332" s="2">
        <v>7</v>
      </c>
      <c r="H332" s="25">
        <v>41070</v>
      </c>
      <c r="I332" s="8">
        <v>0</v>
      </c>
      <c r="J332" s="25">
        <v>287490</v>
      </c>
      <c r="K332" s="25">
        <f>G332*H332</f>
        <v>287490</v>
      </c>
      <c r="L332" s="8">
        <f>K332*I332/100</f>
        <v>0</v>
      </c>
      <c r="M332" s="2" t="s">
        <v>94</v>
      </c>
      <c r="N332" s="2" t="s">
        <v>37</v>
      </c>
      <c r="O332" s="2">
        <v>2025</v>
      </c>
      <c r="P332" s="2" t="str">
        <v>February</v>
      </c>
      <c r="Q332" s="2" t="s">
        <v>47</v>
      </c>
    </row>
    <row r="333" spans="1:17" x14ac:dyDescent="0.25">
      <c r="A333" s="2" t="s">
        <v>886</v>
      </c>
      <c r="B333" s="7">
        <v>45952</v>
      </c>
      <c r="C333" s="5" t="s">
        <v>135</v>
      </c>
      <c r="D333" s="5" t="s">
        <v>58</v>
      </c>
      <c r="E333" s="5" t="s">
        <v>25</v>
      </c>
      <c r="F333" s="2" t="s">
        <v>115</v>
      </c>
      <c r="G333" s="2">
        <v>1</v>
      </c>
      <c r="H333" s="25">
        <v>1150</v>
      </c>
      <c r="I333" s="8">
        <v>0</v>
      </c>
      <c r="J333" s="25">
        <v>1150</v>
      </c>
      <c r="K333" s="25">
        <f>G333*H333</f>
        <v>1150</v>
      </c>
      <c r="L333" s="8">
        <f>K333*I333/100</f>
        <v>0</v>
      </c>
      <c r="M333" s="2" t="s">
        <v>139</v>
      </c>
      <c r="N333" s="2" t="s">
        <v>344</v>
      </c>
      <c r="O333" s="2">
        <v>2025</v>
      </c>
      <c r="P333" s="2" t="str">
        <v>October</v>
      </c>
      <c r="Q333" s="2" t="s">
        <v>21</v>
      </c>
    </row>
    <row r="334" spans="1:17" x14ac:dyDescent="0.25">
      <c r="A334" s="2" t="s">
        <v>889</v>
      </c>
      <c r="B334" s="7">
        <v>45745</v>
      </c>
      <c r="C334" s="5" t="s">
        <v>24</v>
      </c>
      <c r="D334" s="5" t="s">
        <v>16</v>
      </c>
      <c r="E334" s="5" t="s">
        <v>34</v>
      </c>
      <c r="F334" s="2" t="s">
        <v>199</v>
      </c>
      <c r="G334" s="2">
        <v>3</v>
      </c>
      <c r="H334" s="25">
        <v>17660</v>
      </c>
      <c r="I334" s="8">
        <v>10</v>
      </c>
      <c r="J334" s="25">
        <v>47682</v>
      </c>
      <c r="K334" s="25">
        <f>G334*H334</f>
        <v>52980</v>
      </c>
      <c r="L334" s="8">
        <f>K334*I334/100</f>
        <v>5298</v>
      </c>
      <c r="M334" s="2" t="s">
        <v>102</v>
      </c>
      <c r="N334" s="2" t="s">
        <v>883</v>
      </c>
      <c r="O334" s="2">
        <v>2025</v>
      </c>
      <c r="P334" s="2" t="str">
        <v>March</v>
      </c>
      <c r="Q334" s="2" t="s">
        <v>47</v>
      </c>
    </row>
    <row r="335" spans="1:17" x14ac:dyDescent="0.25">
      <c r="A335" s="2" t="s">
        <v>891</v>
      </c>
      <c r="B335" s="7">
        <v>45929</v>
      </c>
      <c r="C335" s="5" t="s">
        <v>76</v>
      </c>
      <c r="D335" s="5" t="s">
        <v>33</v>
      </c>
      <c r="E335" s="5" t="s">
        <v>179</v>
      </c>
      <c r="F335" s="2" t="s">
        <v>224</v>
      </c>
      <c r="G335" s="2">
        <v>5</v>
      </c>
      <c r="H335" s="25">
        <v>3420</v>
      </c>
      <c r="I335" s="8">
        <v>15</v>
      </c>
      <c r="J335" s="25">
        <v>14535</v>
      </c>
      <c r="K335" s="25">
        <f>G335*H335</f>
        <v>17100</v>
      </c>
      <c r="L335" s="8">
        <f>K335*I335/100</f>
        <v>2565</v>
      </c>
      <c r="M335" s="2" t="s">
        <v>139</v>
      </c>
      <c r="N335" s="2" t="s">
        <v>176</v>
      </c>
      <c r="O335" s="2">
        <v>2025</v>
      </c>
      <c r="P335" s="2" t="str">
        <v>September</v>
      </c>
      <c r="Q335" s="2" t="s">
        <v>21</v>
      </c>
    </row>
    <row r="336" spans="1:17" x14ac:dyDescent="0.25">
      <c r="A336" s="2" t="s">
        <v>893</v>
      </c>
      <c r="B336" s="7">
        <v>45793</v>
      </c>
      <c r="C336" s="5" t="s">
        <v>238</v>
      </c>
      <c r="D336" s="5" t="s">
        <v>51</v>
      </c>
      <c r="E336" s="5" t="s">
        <v>179</v>
      </c>
      <c r="F336" s="2" t="s">
        <v>78</v>
      </c>
      <c r="G336" s="2">
        <v>6</v>
      </c>
      <c r="H336" s="25">
        <v>10300</v>
      </c>
      <c r="I336" s="8">
        <v>0</v>
      </c>
      <c r="J336" s="25">
        <v>61800</v>
      </c>
      <c r="K336" s="25">
        <f>G336*H336</f>
        <v>61800</v>
      </c>
      <c r="L336" s="8">
        <f>K336*I336/100</f>
        <v>0</v>
      </c>
      <c r="M336" s="2" t="s">
        <v>139</v>
      </c>
      <c r="N336" s="2" t="s">
        <v>176</v>
      </c>
      <c r="O336" s="2">
        <v>2025</v>
      </c>
      <c r="P336" s="2" t="str">
        <v>May</v>
      </c>
      <c r="Q336" s="2" t="s">
        <v>47</v>
      </c>
    </row>
    <row r="337" spans="1:17" x14ac:dyDescent="0.25">
      <c r="A337" s="2" t="s">
        <v>895</v>
      </c>
      <c r="B337" s="7">
        <v>46005</v>
      </c>
      <c r="C337" s="5" t="s">
        <v>76</v>
      </c>
      <c r="D337" s="5" t="s">
        <v>33</v>
      </c>
      <c r="E337" s="5" t="s">
        <v>179</v>
      </c>
      <c r="F337" s="2" t="s">
        <v>543</v>
      </c>
      <c r="G337" s="2">
        <v>6</v>
      </c>
      <c r="H337" s="25">
        <v>69080</v>
      </c>
      <c r="I337" s="8">
        <v>0</v>
      </c>
      <c r="J337" s="25">
        <v>414480</v>
      </c>
      <c r="K337" s="25">
        <f>G337*H337</f>
        <v>414480</v>
      </c>
      <c r="L337" s="8">
        <f>K337*I337/100</f>
        <v>0</v>
      </c>
      <c r="M337" s="2" t="s">
        <v>102</v>
      </c>
      <c r="N337" s="2" t="s">
        <v>176</v>
      </c>
      <c r="O337" s="2">
        <v>2025</v>
      </c>
      <c r="P337" s="2" t="str">
        <v>December</v>
      </c>
      <c r="Q337" s="2" t="s">
        <v>21</v>
      </c>
    </row>
    <row r="338" spans="1:17" x14ac:dyDescent="0.25">
      <c r="A338" s="2" t="s">
        <v>897</v>
      </c>
      <c r="B338" s="7">
        <v>45676</v>
      </c>
      <c r="C338" s="5" t="s">
        <v>156</v>
      </c>
      <c r="D338" s="5" t="s">
        <v>51</v>
      </c>
      <c r="E338" s="5" t="s">
        <v>34</v>
      </c>
      <c r="F338" s="2" t="s">
        <v>164</v>
      </c>
      <c r="G338" s="2">
        <v>7</v>
      </c>
      <c r="H338" s="25">
        <v>3940</v>
      </c>
      <c r="I338" s="8">
        <v>0</v>
      </c>
      <c r="J338" s="25">
        <v>27580</v>
      </c>
      <c r="K338" s="25">
        <f>G338*H338</f>
        <v>27580</v>
      </c>
      <c r="L338" s="8">
        <f>K338*I338/100</f>
        <v>0</v>
      </c>
      <c r="M338" s="2" t="s">
        <v>53</v>
      </c>
      <c r="N338" s="2" t="s">
        <v>188</v>
      </c>
      <c r="O338" s="2">
        <v>2025</v>
      </c>
      <c r="P338" s="2" t="str">
        <v>January</v>
      </c>
      <c r="Q338" s="2" t="s">
        <v>47</v>
      </c>
    </row>
    <row r="339" spans="1:17" x14ac:dyDescent="0.25">
      <c r="A339" s="2" t="s">
        <v>899</v>
      </c>
      <c r="B339" s="7">
        <v>45817</v>
      </c>
      <c r="C339" s="5" t="s">
        <v>76</v>
      </c>
      <c r="D339" s="5" t="s">
        <v>33</v>
      </c>
      <c r="E339" s="5" t="s">
        <v>295</v>
      </c>
      <c r="F339" s="2" t="s">
        <v>101</v>
      </c>
      <c r="G339" s="2">
        <v>5</v>
      </c>
      <c r="H339" s="25">
        <v>3170</v>
      </c>
      <c r="I339" s="8">
        <v>0</v>
      </c>
      <c r="J339" s="25">
        <v>15850</v>
      </c>
      <c r="K339" s="25">
        <f>G339*H339</f>
        <v>15850</v>
      </c>
      <c r="L339" s="8">
        <f>K339*I339/100</f>
        <v>0</v>
      </c>
      <c r="M339" s="2" t="s">
        <v>102</v>
      </c>
      <c r="N339" s="2" t="s">
        <v>73</v>
      </c>
      <c r="O339" s="2">
        <v>2025</v>
      </c>
      <c r="P339" s="2" t="str">
        <v>June</v>
      </c>
      <c r="Q339" s="2" t="s">
        <v>21</v>
      </c>
    </row>
    <row r="340" spans="1:17" x14ac:dyDescent="0.25">
      <c r="A340" s="2" t="s">
        <v>902</v>
      </c>
      <c r="B340" s="7">
        <v>45957</v>
      </c>
      <c r="C340" s="5" t="s">
        <v>238</v>
      </c>
      <c r="D340" s="5" t="s">
        <v>51</v>
      </c>
      <c r="E340" s="5" t="s">
        <v>148</v>
      </c>
      <c r="F340" s="2" t="s">
        <v>167</v>
      </c>
      <c r="G340" s="2">
        <v>8</v>
      </c>
      <c r="H340" s="25">
        <v>5140</v>
      </c>
      <c r="I340" s="8">
        <v>0</v>
      </c>
      <c r="J340" s="25">
        <v>41120</v>
      </c>
      <c r="K340" s="25">
        <f>G340*H340</f>
        <v>41120</v>
      </c>
      <c r="L340" s="8">
        <f>K340*I340/100</f>
        <v>0</v>
      </c>
      <c r="M340" s="2" t="s">
        <v>53</v>
      </c>
      <c r="N340" s="2" t="s">
        <v>37</v>
      </c>
      <c r="O340" s="2">
        <v>2025</v>
      </c>
      <c r="P340" s="2" t="str">
        <v>October</v>
      </c>
      <c r="Q340" s="2" t="s">
        <v>47</v>
      </c>
    </row>
    <row r="341" spans="1:17" x14ac:dyDescent="0.25">
      <c r="A341" s="2" t="s">
        <v>904</v>
      </c>
      <c r="B341" s="7">
        <v>45995</v>
      </c>
      <c r="C341" s="5" t="s">
        <v>41</v>
      </c>
      <c r="D341" s="5" t="s">
        <v>42</v>
      </c>
      <c r="E341" s="5" t="s">
        <v>34</v>
      </c>
      <c r="F341" s="2" t="s">
        <v>35</v>
      </c>
      <c r="G341" s="2">
        <v>3</v>
      </c>
      <c r="H341" s="25">
        <v>16780</v>
      </c>
      <c r="I341" s="8">
        <v>5</v>
      </c>
      <c r="J341" s="25">
        <v>47823</v>
      </c>
      <c r="K341" s="25">
        <f>G341*H341</f>
        <v>50340</v>
      </c>
      <c r="L341" s="8">
        <f>K341*I341/100</f>
        <v>2517</v>
      </c>
      <c r="M341" s="2" t="s">
        <v>102</v>
      </c>
      <c r="N341" s="2" t="s">
        <v>266</v>
      </c>
      <c r="O341" s="2">
        <v>2025</v>
      </c>
      <c r="P341" s="2" t="str">
        <v>December</v>
      </c>
      <c r="Q341" s="2" t="s">
        <v>21</v>
      </c>
    </row>
    <row r="342" spans="1:17" x14ac:dyDescent="0.25">
      <c r="A342" s="2" t="s">
        <v>906</v>
      </c>
      <c r="B342" s="7">
        <v>45810</v>
      </c>
      <c r="C342" s="5" t="s">
        <v>135</v>
      </c>
      <c r="D342" s="5" t="s">
        <v>58</v>
      </c>
      <c r="E342" s="5" t="s">
        <v>25</v>
      </c>
      <c r="F342" s="2" t="s">
        <v>332</v>
      </c>
      <c r="G342" s="2">
        <v>6</v>
      </c>
      <c r="H342" s="25">
        <v>1190</v>
      </c>
      <c r="I342" s="8">
        <v>0</v>
      </c>
      <c r="J342" s="25">
        <v>7140</v>
      </c>
      <c r="K342" s="25">
        <f>G342*H342</f>
        <v>7140</v>
      </c>
      <c r="L342" s="8">
        <f>K342*I342/100</f>
        <v>0</v>
      </c>
      <c r="M342" s="2" t="s">
        <v>94</v>
      </c>
      <c r="N342" s="2" t="s">
        <v>46</v>
      </c>
      <c r="O342" s="2">
        <v>2025</v>
      </c>
      <c r="P342" s="2" t="str">
        <v>June</v>
      </c>
      <c r="Q342" s="2" t="s">
        <v>47</v>
      </c>
    </row>
    <row r="343" spans="1:17" x14ac:dyDescent="0.25">
      <c r="A343" s="2" t="s">
        <v>908</v>
      </c>
      <c r="B343" s="7">
        <v>45980</v>
      </c>
      <c r="C343" s="5" t="s">
        <v>32</v>
      </c>
      <c r="D343" s="5" t="s">
        <v>33</v>
      </c>
      <c r="E343" s="5" t="s">
        <v>179</v>
      </c>
      <c r="F343" s="2" t="s">
        <v>239</v>
      </c>
      <c r="G343" s="2">
        <v>6</v>
      </c>
      <c r="H343" s="25">
        <v>51070</v>
      </c>
      <c r="I343" s="8">
        <v>0</v>
      </c>
      <c r="J343" s="25">
        <v>306420</v>
      </c>
      <c r="K343" s="25">
        <f>G343*H343</f>
        <v>306420</v>
      </c>
      <c r="L343" s="8">
        <f>K343*I343/100</f>
        <v>0</v>
      </c>
      <c r="M343" s="2" t="s">
        <v>94</v>
      </c>
      <c r="N343" s="2" t="s">
        <v>54</v>
      </c>
      <c r="O343" s="2">
        <v>2025</v>
      </c>
      <c r="P343" s="2" t="str">
        <v>November</v>
      </c>
      <c r="Q343" s="2" t="s">
        <v>21</v>
      </c>
    </row>
    <row r="344" spans="1:17" x14ac:dyDescent="0.25">
      <c r="A344" s="2" t="s">
        <v>910</v>
      </c>
      <c r="B344" s="7">
        <v>45973</v>
      </c>
      <c r="C344" s="5" t="s">
        <v>41</v>
      </c>
      <c r="D344" s="5" t="s">
        <v>42</v>
      </c>
      <c r="E344" s="5" t="s">
        <v>148</v>
      </c>
      <c r="F344" s="2" t="s">
        <v>167</v>
      </c>
      <c r="G344" s="2">
        <v>10</v>
      </c>
      <c r="H344" s="25">
        <v>3990</v>
      </c>
      <c r="I344" s="8">
        <v>0</v>
      </c>
      <c r="J344" s="25">
        <v>39900</v>
      </c>
      <c r="K344" s="25">
        <f>G344*H344</f>
        <v>39900</v>
      </c>
      <c r="L344" s="8">
        <f>K344*I344/100</f>
        <v>0</v>
      </c>
      <c r="M344" s="2" t="s">
        <v>102</v>
      </c>
      <c r="N344" s="2" t="s">
        <v>37</v>
      </c>
      <c r="O344" s="2">
        <v>2025</v>
      </c>
      <c r="P344" s="2" t="str">
        <v>November</v>
      </c>
      <c r="Q344" s="2" t="s">
        <v>21</v>
      </c>
    </row>
    <row r="345" spans="1:17" x14ac:dyDescent="0.25">
      <c r="A345" s="2" t="s">
        <v>912</v>
      </c>
      <c r="B345" s="7">
        <v>45778</v>
      </c>
      <c r="C345" s="5" t="s">
        <v>41</v>
      </c>
      <c r="D345" s="5" t="s">
        <v>42</v>
      </c>
      <c r="E345" s="5" t="s">
        <v>179</v>
      </c>
      <c r="F345" s="2" t="s">
        <v>143</v>
      </c>
      <c r="G345" s="2">
        <v>9</v>
      </c>
      <c r="H345" s="25">
        <v>2340</v>
      </c>
      <c r="I345" s="8">
        <v>0</v>
      </c>
      <c r="J345" s="25">
        <v>21060</v>
      </c>
      <c r="K345" s="25">
        <f>G345*H345</f>
        <v>21060</v>
      </c>
      <c r="L345" s="8">
        <f>K345*I345/100</f>
        <v>0</v>
      </c>
      <c r="M345" s="2" t="s">
        <v>102</v>
      </c>
      <c r="N345" s="2" t="s">
        <v>73</v>
      </c>
      <c r="O345" s="2">
        <v>2025</v>
      </c>
      <c r="P345" s="2" t="str">
        <v>May</v>
      </c>
      <c r="Q345" s="2" t="s">
        <v>21</v>
      </c>
    </row>
    <row r="346" spans="1:17" x14ac:dyDescent="0.25">
      <c r="A346" s="2" t="s">
        <v>914</v>
      </c>
      <c r="B346" s="7">
        <v>45947</v>
      </c>
      <c r="C346" s="5" t="s">
        <v>135</v>
      </c>
      <c r="D346" s="5" t="s">
        <v>58</v>
      </c>
      <c r="E346" s="5" t="s">
        <v>25</v>
      </c>
      <c r="F346" s="2" t="s">
        <v>44</v>
      </c>
      <c r="G346" s="2">
        <v>4</v>
      </c>
      <c r="H346" s="25">
        <v>470</v>
      </c>
      <c r="I346" s="8">
        <v>0</v>
      </c>
      <c r="J346" s="25">
        <v>1880</v>
      </c>
      <c r="K346" s="25">
        <f>G346*H346</f>
        <v>1880</v>
      </c>
      <c r="L346" s="8">
        <f>K346*I346/100</f>
        <v>0</v>
      </c>
      <c r="M346" s="2" t="s">
        <v>94</v>
      </c>
      <c r="N346" s="2" t="s">
        <v>883</v>
      </c>
      <c r="O346" s="2">
        <v>2025</v>
      </c>
      <c r="P346" s="2" t="str">
        <v>October</v>
      </c>
      <c r="Q346" s="2" t="s">
        <v>47</v>
      </c>
    </row>
    <row r="347" spans="1:17" x14ac:dyDescent="0.25">
      <c r="A347" s="2" t="s">
        <v>916</v>
      </c>
      <c r="B347" s="7">
        <v>45978</v>
      </c>
      <c r="C347" s="5" t="s">
        <v>76</v>
      </c>
      <c r="D347" s="5" t="s">
        <v>33</v>
      </c>
      <c r="E347" s="5" t="s">
        <v>179</v>
      </c>
      <c r="F347" s="2" t="s">
        <v>180</v>
      </c>
      <c r="G347" s="2">
        <v>7</v>
      </c>
      <c r="H347" s="25">
        <v>3380</v>
      </c>
      <c r="I347" s="8">
        <v>0</v>
      </c>
      <c r="J347" s="25">
        <v>23660</v>
      </c>
      <c r="K347" s="25">
        <f>G347*H347</f>
        <v>23660</v>
      </c>
      <c r="L347" s="8">
        <f>K347*I347/100</f>
        <v>0</v>
      </c>
      <c r="M347" s="2" t="s">
        <v>53</v>
      </c>
      <c r="N347" s="2" t="s">
        <v>883</v>
      </c>
      <c r="O347" s="2">
        <v>2025</v>
      </c>
      <c r="P347" s="2" t="str">
        <v>November</v>
      </c>
      <c r="Q347" s="2" t="s">
        <v>21</v>
      </c>
    </row>
    <row r="348" spans="1:17" x14ac:dyDescent="0.25">
      <c r="A348" s="2" t="s">
        <v>918</v>
      </c>
      <c r="B348" s="7">
        <v>45968</v>
      </c>
      <c r="C348" s="5" t="s">
        <v>135</v>
      </c>
      <c r="D348" s="5" t="s">
        <v>58</v>
      </c>
      <c r="E348" s="5" t="s">
        <v>25</v>
      </c>
      <c r="F348" s="2" t="s">
        <v>26</v>
      </c>
      <c r="G348" s="2">
        <v>2</v>
      </c>
      <c r="H348" s="25">
        <v>51540</v>
      </c>
      <c r="I348" s="8">
        <v>0</v>
      </c>
      <c r="J348" s="25">
        <v>103080</v>
      </c>
      <c r="K348" s="25">
        <f>G348*H348</f>
        <v>103080</v>
      </c>
      <c r="L348" s="8">
        <f>K348*I348/100</f>
        <v>0</v>
      </c>
      <c r="M348" s="2" t="s">
        <v>139</v>
      </c>
      <c r="N348" s="2" t="s">
        <v>37</v>
      </c>
      <c r="O348" s="2">
        <v>2025</v>
      </c>
      <c r="P348" s="2" t="str">
        <v>November</v>
      </c>
      <c r="Q348" s="2" t="s">
        <v>47</v>
      </c>
    </row>
    <row r="349" spans="1:17" x14ac:dyDescent="0.25">
      <c r="A349" s="2" t="s">
        <v>921</v>
      </c>
      <c r="B349" s="7">
        <v>45685</v>
      </c>
      <c r="C349" s="5" t="s">
        <v>238</v>
      </c>
      <c r="D349" s="5" t="s">
        <v>51</v>
      </c>
      <c r="E349" s="5" t="s">
        <v>295</v>
      </c>
      <c r="F349" s="2" t="s">
        <v>66</v>
      </c>
      <c r="G349" s="2">
        <v>1</v>
      </c>
      <c r="H349" s="25">
        <v>13450</v>
      </c>
      <c r="I349" s="8">
        <v>0</v>
      </c>
      <c r="J349" s="25">
        <v>13450</v>
      </c>
      <c r="K349" s="25">
        <f>G349*H349</f>
        <v>13450</v>
      </c>
      <c r="L349" s="8">
        <f>K349*I349/100</f>
        <v>0</v>
      </c>
      <c r="M349" s="2" t="s">
        <v>53</v>
      </c>
      <c r="N349" s="2" t="s">
        <v>176</v>
      </c>
      <c r="O349" s="2">
        <v>2025</v>
      </c>
      <c r="P349" s="2" t="str">
        <v>January</v>
      </c>
      <c r="Q349" s="2" t="s">
        <v>21</v>
      </c>
    </row>
    <row r="350" spans="1:17" x14ac:dyDescent="0.25">
      <c r="A350" s="2" t="s">
        <v>923</v>
      </c>
      <c r="B350" s="7">
        <v>45682</v>
      </c>
      <c r="C350" s="5" t="s">
        <v>24</v>
      </c>
      <c r="D350" s="5" t="s">
        <v>16</v>
      </c>
      <c r="E350" s="5" t="s">
        <v>148</v>
      </c>
      <c r="F350" s="2" t="s">
        <v>167</v>
      </c>
      <c r="G350" s="2">
        <v>3</v>
      </c>
      <c r="H350" s="25">
        <v>550</v>
      </c>
      <c r="I350" s="8">
        <v>0</v>
      </c>
      <c r="J350" s="25">
        <v>1650</v>
      </c>
      <c r="K350" s="25">
        <f>G350*H350</f>
        <v>1650</v>
      </c>
      <c r="L350" s="8">
        <f>K350*I350/100</f>
        <v>0</v>
      </c>
      <c r="M350" s="2" t="s">
        <v>102</v>
      </c>
      <c r="N350" s="2" t="s">
        <v>188</v>
      </c>
      <c r="O350" s="2">
        <v>2025</v>
      </c>
      <c r="P350" s="2" t="str">
        <v>January</v>
      </c>
      <c r="Q350" s="2" t="s">
        <v>47</v>
      </c>
    </row>
    <row r="351" spans="1:17" x14ac:dyDescent="0.25">
      <c r="A351" s="2" t="s">
        <v>925</v>
      </c>
      <c r="B351" s="7">
        <v>45909</v>
      </c>
      <c r="C351" s="5" t="s">
        <v>135</v>
      </c>
      <c r="D351" s="5" t="s">
        <v>58</v>
      </c>
      <c r="E351" s="5" t="s">
        <v>148</v>
      </c>
      <c r="F351" s="2" t="s">
        <v>60</v>
      </c>
      <c r="G351" s="2">
        <v>1</v>
      </c>
      <c r="H351" s="25">
        <v>3770</v>
      </c>
      <c r="I351" s="8">
        <v>0</v>
      </c>
      <c r="J351" s="25">
        <v>3770</v>
      </c>
      <c r="K351" s="25">
        <f>G351*H351</f>
        <v>3770</v>
      </c>
      <c r="L351" s="8">
        <f>K351*I351/100</f>
        <v>0</v>
      </c>
      <c r="M351" s="2" t="s">
        <v>139</v>
      </c>
      <c r="N351" s="2" t="s">
        <v>341</v>
      </c>
      <c r="O351" s="2">
        <v>2025</v>
      </c>
      <c r="P351" s="2" t="str">
        <v>September</v>
      </c>
      <c r="Q351" s="2" t="s">
        <v>21</v>
      </c>
    </row>
    <row r="352" spans="1:17" x14ac:dyDescent="0.25">
      <c r="A352" s="2" t="s">
        <v>927</v>
      </c>
      <c r="B352" s="7">
        <v>45710</v>
      </c>
      <c r="C352" s="5" t="s">
        <v>32</v>
      </c>
      <c r="D352" s="5" t="s">
        <v>33</v>
      </c>
      <c r="E352" s="5" t="s">
        <v>148</v>
      </c>
      <c r="F352" s="2" t="s">
        <v>83</v>
      </c>
      <c r="G352" s="2">
        <v>10</v>
      </c>
      <c r="H352" s="25">
        <v>8780</v>
      </c>
      <c r="I352" s="8">
        <v>0</v>
      </c>
      <c r="J352" s="25">
        <v>87800</v>
      </c>
      <c r="K352" s="25">
        <f>G352*H352</f>
        <v>87800</v>
      </c>
      <c r="L352" s="8">
        <f>K352*I352/100</f>
        <v>0</v>
      </c>
      <c r="M352" s="2" t="s">
        <v>139</v>
      </c>
      <c r="N352" s="2" t="s">
        <v>73</v>
      </c>
      <c r="O352" s="2">
        <v>2025</v>
      </c>
      <c r="P352" s="2" t="str">
        <v>February</v>
      </c>
      <c r="Q352" s="2" t="s">
        <v>21</v>
      </c>
    </row>
    <row r="353" spans="1:17" x14ac:dyDescent="0.25">
      <c r="A353" s="2" t="s">
        <v>929</v>
      </c>
      <c r="B353" s="7">
        <v>45772</v>
      </c>
      <c r="C353" s="5" t="s">
        <v>76</v>
      </c>
      <c r="D353" s="5" t="s">
        <v>33</v>
      </c>
      <c r="E353" s="5" t="s">
        <v>34</v>
      </c>
      <c r="F353" s="2" t="s">
        <v>374</v>
      </c>
      <c r="G353" s="2">
        <v>8</v>
      </c>
      <c r="H353" s="25">
        <v>13280</v>
      </c>
      <c r="I353" s="8">
        <v>0</v>
      </c>
      <c r="J353" s="25">
        <v>106240</v>
      </c>
      <c r="K353" s="25">
        <f>G353*H353</f>
        <v>106240</v>
      </c>
      <c r="L353" s="8">
        <f>K353*I353/100</f>
        <v>0</v>
      </c>
      <c r="M353" s="2" t="s">
        <v>102</v>
      </c>
      <c r="N353" s="2" t="s">
        <v>37</v>
      </c>
      <c r="O353" s="2">
        <v>2025</v>
      </c>
      <c r="P353" s="2" t="str">
        <v>April</v>
      </c>
      <c r="Q353" s="2" t="s">
        <v>47</v>
      </c>
    </row>
    <row r="354" spans="1:17" x14ac:dyDescent="0.25">
      <c r="A354" s="2" t="s">
        <v>931</v>
      </c>
      <c r="B354" s="7">
        <v>45744</v>
      </c>
      <c r="C354" s="5" t="s">
        <v>24</v>
      </c>
      <c r="D354" s="5" t="s">
        <v>16</v>
      </c>
      <c r="E354" s="5" t="s">
        <v>25</v>
      </c>
      <c r="F354" s="2" t="s">
        <v>93</v>
      </c>
      <c r="G354" s="2">
        <v>5</v>
      </c>
      <c r="H354" s="25">
        <v>49400</v>
      </c>
      <c r="I354" s="8">
        <v>10</v>
      </c>
      <c r="J354" s="25">
        <v>222300</v>
      </c>
      <c r="K354" s="25">
        <f>G354*H354</f>
        <v>247000</v>
      </c>
      <c r="L354" s="8">
        <f>K354*I354/100</f>
        <v>24700</v>
      </c>
      <c r="M354" s="2" t="s">
        <v>139</v>
      </c>
      <c r="N354" s="2" t="s">
        <v>341</v>
      </c>
      <c r="O354" s="2">
        <v>2025</v>
      </c>
      <c r="P354" s="2" t="str">
        <v>March</v>
      </c>
      <c r="Q354" s="2" t="s">
        <v>21</v>
      </c>
    </row>
    <row r="355" spans="1:17" x14ac:dyDescent="0.25">
      <c r="A355" s="2" t="s">
        <v>933</v>
      </c>
      <c r="B355" s="7">
        <v>45843</v>
      </c>
      <c r="C355" s="5" t="s">
        <v>76</v>
      </c>
      <c r="D355" s="5" t="s">
        <v>33</v>
      </c>
      <c r="E355" s="5" t="s">
        <v>179</v>
      </c>
      <c r="F355" s="2" t="s">
        <v>171</v>
      </c>
      <c r="G355" s="2">
        <v>11</v>
      </c>
      <c r="H355" s="25">
        <v>1150</v>
      </c>
      <c r="I355" s="8">
        <v>15</v>
      </c>
      <c r="J355" s="25">
        <v>10752.5</v>
      </c>
      <c r="K355" s="25">
        <f>G355*H355</f>
        <v>12650</v>
      </c>
      <c r="L355" s="8">
        <f>K355*I355/100</f>
        <v>1897.5</v>
      </c>
      <c r="M355" s="2" t="s">
        <v>94</v>
      </c>
      <c r="N355" s="2" t="s">
        <v>37</v>
      </c>
      <c r="O355" s="2">
        <v>2025</v>
      </c>
      <c r="P355" s="2" t="str">
        <v>July</v>
      </c>
      <c r="Q355" s="2" t="s">
        <v>21</v>
      </c>
    </row>
    <row r="356" spans="1:17" x14ac:dyDescent="0.25">
      <c r="A356" s="2" t="s">
        <v>935</v>
      </c>
      <c r="B356" s="7">
        <v>45945</v>
      </c>
      <c r="C356" s="5" t="s">
        <v>32</v>
      </c>
      <c r="D356" s="5" t="s">
        <v>33</v>
      </c>
      <c r="E356" s="5" t="s">
        <v>25</v>
      </c>
      <c r="F356" s="2" t="s">
        <v>44</v>
      </c>
      <c r="G356" s="2">
        <v>8</v>
      </c>
      <c r="H356" s="25">
        <v>7190</v>
      </c>
      <c r="I356" s="8">
        <v>0</v>
      </c>
      <c r="J356" s="25">
        <v>57520</v>
      </c>
      <c r="K356" s="25">
        <f>G356*H356</f>
        <v>57520</v>
      </c>
      <c r="L356" s="8">
        <f>K356*I356/100</f>
        <v>0</v>
      </c>
      <c r="M356" s="2" t="s">
        <v>94</v>
      </c>
      <c r="N356" s="2" t="s">
        <v>79</v>
      </c>
      <c r="O356" s="2">
        <v>2025</v>
      </c>
      <c r="P356" s="2" t="str">
        <v>October</v>
      </c>
      <c r="Q356" s="2" t="s">
        <v>21</v>
      </c>
    </row>
    <row r="357" spans="1:17" x14ac:dyDescent="0.25">
      <c r="A357" s="2" t="s">
        <v>937</v>
      </c>
      <c r="B357" s="7">
        <v>45675</v>
      </c>
      <c r="C357" s="5" t="s">
        <v>76</v>
      </c>
      <c r="D357" s="5" t="s">
        <v>33</v>
      </c>
      <c r="E357" s="5" t="s">
        <v>295</v>
      </c>
      <c r="F357" s="2" t="s">
        <v>101</v>
      </c>
      <c r="G357" s="2">
        <v>2</v>
      </c>
      <c r="H357" s="25">
        <v>51300</v>
      </c>
      <c r="I357" s="8">
        <v>5</v>
      </c>
      <c r="J357" s="25">
        <v>97470</v>
      </c>
      <c r="K357" s="25">
        <f>G357*H357</f>
        <v>102600</v>
      </c>
      <c r="L357" s="8">
        <f>K357*I357/100</f>
        <v>5130</v>
      </c>
      <c r="M357" s="2" t="s">
        <v>102</v>
      </c>
      <c r="N357" s="2" t="s">
        <v>176</v>
      </c>
      <c r="O357" s="2">
        <v>2025</v>
      </c>
      <c r="P357" s="2" t="str">
        <v>January</v>
      </c>
      <c r="Q357" s="2" t="s">
        <v>21</v>
      </c>
    </row>
    <row r="358" spans="1:17" x14ac:dyDescent="0.25">
      <c r="A358" s="2" t="s">
        <v>939</v>
      </c>
      <c r="B358" s="7">
        <v>45814</v>
      </c>
      <c r="C358" s="5" t="s">
        <v>41</v>
      </c>
      <c r="D358" s="5" t="s">
        <v>42</v>
      </c>
      <c r="E358" s="5" t="s">
        <v>179</v>
      </c>
      <c r="F358" s="2" t="s">
        <v>290</v>
      </c>
      <c r="G358" s="2">
        <v>3</v>
      </c>
      <c r="H358" s="25">
        <v>2660</v>
      </c>
      <c r="I358" s="8">
        <v>15</v>
      </c>
      <c r="J358" s="25">
        <v>6783</v>
      </c>
      <c r="K358" s="25">
        <f>G358*H358</f>
        <v>7980</v>
      </c>
      <c r="L358" s="8">
        <f>K358*I358/100</f>
        <v>1197</v>
      </c>
      <c r="M358" s="2" t="s">
        <v>102</v>
      </c>
      <c r="N358" s="2" t="s">
        <v>411</v>
      </c>
      <c r="O358" s="2">
        <v>2025</v>
      </c>
      <c r="P358" s="2" t="str">
        <v>June</v>
      </c>
      <c r="Q358" s="2" t="s">
        <v>47</v>
      </c>
    </row>
    <row r="359" spans="1:17" x14ac:dyDescent="0.25">
      <c r="A359" s="2" t="s">
        <v>940</v>
      </c>
      <c r="B359" s="7">
        <v>45692</v>
      </c>
      <c r="C359" s="5" t="s">
        <v>135</v>
      </c>
      <c r="D359" s="5" t="s">
        <v>58</v>
      </c>
      <c r="E359" s="5" t="s">
        <v>179</v>
      </c>
      <c r="F359" s="2" t="s">
        <v>543</v>
      </c>
      <c r="G359" s="2">
        <v>10</v>
      </c>
      <c r="H359" s="25">
        <v>17780</v>
      </c>
      <c r="I359" s="8">
        <v>0</v>
      </c>
      <c r="J359" s="25">
        <v>177800</v>
      </c>
      <c r="K359" s="25">
        <f>G359*H359</f>
        <v>177800</v>
      </c>
      <c r="L359" s="8">
        <f>K359*I359/100</f>
        <v>0</v>
      </c>
      <c r="M359" s="2" t="s">
        <v>102</v>
      </c>
      <c r="N359" s="2" t="s">
        <v>406</v>
      </c>
      <c r="O359" s="2">
        <v>2025</v>
      </c>
      <c r="P359" s="2" t="str">
        <v>February</v>
      </c>
      <c r="Q359" s="2" t="s">
        <v>47</v>
      </c>
    </row>
    <row r="360" spans="1:17" x14ac:dyDescent="0.25">
      <c r="A360" s="2" t="s">
        <v>942</v>
      </c>
      <c r="B360" s="7">
        <v>45960</v>
      </c>
      <c r="C360" s="5" t="s">
        <v>76</v>
      </c>
      <c r="D360" s="5" t="s">
        <v>33</v>
      </c>
      <c r="E360" s="5" t="s">
        <v>25</v>
      </c>
      <c r="F360" s="2" t="s">
        <v>255</v>
      </c>
      <c r="G360" s="2">
        <v>2</v>
      </c>
      <c r="H360" s="25">
        <v>28650</v>
      </c>
      <c r="I360" s="8">
        <v>0</v>
      </c>
      <c r="J360" s="25">
        <v>57300</v>
      </c>
      <c r="K360" s="25">
        <f>G360*H360</f>
        <v>57300</v>
      </c>
      <c r="L360" s="8">
        <f>K360*I360/100</f>
        <v>0</v>
      </c>
      <c r="M360" s="2" t="s">
        <v>102</v>
      </c>
      <c r="N360" s="2" t="s">
        <v>37</v>
      </c>
      <c r="O360" s="2">
        <v>2025</v>
      </c>
      <c r="P360" s="2" t="str">
        <v>October</v>
      </c>
      <c r="Q360" s="2" t="s">
        <v>47</v>
      </c>
    </row>
    <row r="361" spans="1:17" x14ac:dyDescent="0.25">
      <c r="A361" s="2" t="s">
        <v>944</v>
      </c>
      <c r="B361" s="7">
        <v>45943</v>
      </c>
      <c r="C361" s="5" t="s">
        <v>41</v>
      </c>
      <c r="D361" s="5" t="s">
        <v>42</v>
      </c>
      <c r="E361" s="5" t="s">
        <v>179</v>
      </c>
      <c r="F361" s="2" t="s">
        <v>184</v>
      </c>
      <c r="G361" s="2">
        <v>2</v>
      </c>
      <c r="H361" s="25">
        <v>68200</v>
      </c>
      <c r="I361" s="8">
        <v>0</v>
      </c>
      <c r="J361" s="25">
        <v>136400</v>
      </c>
      <c r="K361" s="25">
        <f>G361*H361</f>
        <v>136400</v>
      </c>
      <c r="L361" s="8">
        <f>K361*I361/100</f>
        <v>0</v>
      </c>
      <c r="M361" s="2" t="s">
        <v>53</v>
      </c>
      <c r="N361" s="2" t="s">
        <v>883</v>
      </c>
      <c r="O361" s="2">
        <v>2025</v>
      </c>
      <c r="P361" s="2" t="str">
        <v>October</v>
      </c>
      <c r="Q361" s="2" t="s">
        <v>47</v>
      </c>
    </row>
    <row r="362" spans="1:17" x14ac:dyDescent="0.25">
      <c r="A362" s="2" t="s">
        <v>946</v>
      </c>
      <c r="B362" s="7">
        <v>45737</v>
      </c>
      <c r="C362" s="5" t="s">
        <v>76</v>
      </c>
      <c r="D362" s="5" t="s">
        <v>33</v>
      </c>
      <c r="E362" s="5" t="s">
        <v>25</v>
      </c>
      <c r="F362" s="2" t="s">
        <v>93</v>
      </c>
      <c r="G362" s="2">
        <v>10</v>
      </c>
      <c r="H362" s="25">
        <v>71610</v>
      </c>
      <c r="I362" s="8">
        <v>0</v>
      </c>
      <c r="J362" s="25">
        <v>716100</v>
      </c>
      <c r="K362" s="25">
        <f>G362*H362</f>
        <v>716100</v>
      </c>
      <c r="L362" s="8">
        <f>K362*I362/100</f>
        <v>0</v>
      </c>
      <c r="M362" s="2" t="s">
        <v>53</v>
      </c>
      <c r="N362" s="2" t="s">
        <v>37</v>
      </c>
      <c r="O362" s="2">
        <v>2025</v>
      </c>
      <c r="P362" s="2" t="str">
        <v>March</v>
      </c>
      <c r="Q362" s="2" t="s">
        <v>21</v>
      </c>
    </row>
    <row r="363" spans="1:17" x14ac:dyDescent="0.25">
      <c r="A363" s="2" t="s">
        <v>948</v>
      </c>
      <c r="B363" s="7">
        <v>45980</v>
      </c>
      <c r="C363" s="5" t="s">
        <v>238</v>
      </c>
      <c r="D363" s="5" t="s">
        <v>51</v>
      </c>
      <c r="E363" s="5" t="s">
        <v>179</v>
      </c>
      <c r="F363" s="2" t="s">
        <v>224</v>
      </c>
      <c r="G363" s="2">
        <v>10</v>
      </c>
      <c r="H363" s="25">
        <v>2660</v>
      </c>
      <c r="I363" s="8">
        <v>0</v>
      </c>
      <c r="J363" s="25">
        <v>26600</v>
      </c>
      <c r="K363" s="25">
        <f>G363*H363</f>
        <v>26600</v>
      </c>
      <c r="L363" s="8">
        <f>K363*I363/100</f>
        <v>0</v>
      </c>
      <c r="M363" s="2" t="s">
        <v>139</v>
      </c>
      <c r="N363" s="2" t="s">
        <v>68</v>
      </c>
      <c r="O363" s="2">
        <v>2025</v>
      </c>
      <c r="P363" s="2" t="str">
        <v>November</v>
      </c>
      <c r="Q363" s="2" t="s">
        <v>21</v>
      </c>
    </row>
    <row r="364" spans="1:17" x14ac:dyDescent="0.25">
      <c r="A364" s="2" t="s">
        <v>950</v>
      </c>
      <c r="B364" s="7">
        <v>45860</v>
      </c>
      <c r="C364" s="5" t="s">
        <v>238</v>
      </c>
      <c r="D364" s="5" t="s">
        <v>51</v>
      </c>
      <c r="E364" s="5" t="s">
        <v>34</v>
      </c>
      <c r="F364" s="2" t="s">
        <v>164</v>
      </c>
      <c r="G364" s="2">
        <v>4</v>
      </c>
      <c r="H364" s="25">
        <v>2310</v>
      </c>
      <c r="I364" s="8">
        <v>15</v>
      </c>
      <c r="J364" s="25">
        <v>7854</v>
      </c>
      <c r="K364" s="25">
        <f>G364*H364</f>
        <v>9240</v>
      </c>
      <c r="L364" s="8">
        <f>K364*I364/100</f>
        <v>1386</v>
      </c>
      <c r="M364" s="2" t="s">
        <v>102</v>
      </c>
      <c r="N364" s="2" t="s">
        <v>176</v>
      </c>
      <c r="O364" s="2">
        <v>2025</v>
      </c>
      <c r="P364" s="2" t="str">
        <v>July</v>
      </c>
      <c r="Q364" s="2" t="s">
        <v>47</v>
      </c>
    </row>
    <row r="365" spans="1:17" x14ac:dyDescent="0.25">
      <c r="A365" s="2" t="s">
        <v>952</v>
      </c>
      <c r="B365" s="7">
        <v>45803</v>
      </c>
      <c r="C365" s="5" t="s">
        <v>41</v>
      </c>
      <c r="D365" s="5" t="s">
        <v>42</v>
      </c>
      <c r="E365" s="5" t="s">
        <v>34</v>
      </c>
      <c r="F365" s="2" t="s">
        <v>164</v>
      </c>
      <c r="G365" s="2">
        <v>12</v>
      </c>
      <c r="H365" s="25">
        <v>8580</v>
      </c>
      <c r="I365" s="8">
        <v>10</v>
      </c>
      <c r="J365" s="25">
        <v>92664</v>
      </c>
      <c r="K365" s="25">
        <f>G365*H365</f>
        <v>102960</v>
      </c>
      <c r="L365" s="8">
        <f>K365*I365/100</f>
        <v>10296</v>
      </c>
      <c r="M365" s="2" t="s">
        <v>53</v>
      </c>
      <c r="N365" s="2" t="s">
        <v>37</v>
      </c>
      <c r="O365" s="2">
        <v>2025</v>
      </c>
      <c r="P365" s="2" t="str">
        <v>May</v>
      </c>
      <c r="Q365" s="2" t="s">
        <v>21</v>
      </c>
    </row>
    <row r="366" spans="1:17" x14ac:dyDescent="0.25">
      <c r="A366" s="2" t="s">
        <v>954</v>
      </c>
      <c r="B366" s="7">
        <v>45724</v>
      </c>
      <c r="C366" s="5" t="s">
        <v>41</v>
      </c>
      <c r="D366" s="5" t="s">
        <v>42</v>
      </c>
      <c r="E366" s="5" t="s">
        <v>34</v>
      </c>
      <c r="F366" s="2" t="s">
        <v>290</v>
      </c>
      <c r="G366" s="2">
        <v>1</v>
      </c>
      <c r="H366" s="25">
        <v>2310</v>
      </c>
      <c r="I366" s="8">
        <v>0</v>
      </c>
      <c r="J366" s="25">
        <v>2310</v>
      </c>
      <c r="K366" s="25">
        <f>G366*H366</f>
        <v>2310</v>
      </c>
      <c r="L366" s="8">
        <f>K366*I366/100</f>
        <v>0</v>
      </c>
      <c r="M366" s="2" t="s">
        <v>102</v>
      </c>
      <c r="N366" s="2" t="s">
        <v>176</v>
      </c>
      <c r="O366" s="2">
        <v>2025</v>
      </c>
      <c r="P366" s="2" t="str">
        <v>March</v>
      </c>
      <c r="Q366" s="2" t="s">
        <v>21</v>
      </c>
    </row>
    <row r="367" spans="1:17" x14ac:dyDescent="0.25">
      <c r="A367" s="2" t="s">
        <v>956</v>
      </c>
      <c r="B367" s="7">
        <v>45725</v>
      </c>
      <c r="C367" s="5" t="s">
        <v>32</v>
      </c>
      <c r="D367" s="5" t="s">
        <v>33</v>
      </c>
      <c r="E367" s="5" t="s">
        <v>25</v>
      </c>
      <c r="F367" s="2" t="s">
        <v>255</v>
      </c>
      <c r="G367" s="2">
        <v>7</v>
      </c>
      <c r="H367" s="25">
        <v>2750</v>
      </c>
      <c r="I367" s="8">
        <v>0</v>
      </c>
      <c r="J367" s="25">
        <v>19250</v>
      </c>
      <c r="K367" s="25">
        <f>G367*H367</f>
        <v>19250</v>
      </c>
      <c r="L367" s="8">
        <f>K367*I367/100</f>
        <v>0</v>
      </c>
      <c r="M367" s="2" t="s">
        <v>139</v>
      </c>
      <c r="N367" s="2" t="s">
        <v>168</v>
      </c>
      <c r="O367" s="2">
        <v>2025</v>
      </c>
      <c r="P367" s="2" t="str">
        <v>March</v>
      </c>
      <c r="Q367" s="2" t="s">
        <v>21</v>
      </c>
    </row>
    <row r="368" spans="1:17" x14ac:dyDescent="0.25">
      <c r="A368" s="2" t="s">
        <v>958</v>
      </c>
      <c r="B368" s="7">
        <v>45674</v>
      </c>
      <c r="C368" s="5" t="s">
        <v>135</v>
      </c>
      <c r="D368" s="5" t="s">
        <v>58</v>
      </c>
      <c r="E368" s="5" t="s">
        <v>34</v>
      </c>
      <c r="F368" s="2" t="s">
        <v>164</v>
      </c>
      <c r="G368" s="2">
        <v>5</v>
      </c>
      <c r="H368" s="25">
        <v>25440</v>
      </c>
      <c r="I368" s="8">
        <v>0</v>
      </c>
      <c r="J368" s="25">
        <v>127200</v>
      </c>
      <c r="K368" s="25">
        <f>G368*H368</f>
        <v>127200</v>
      </c>
      <c r="L368" s="8">
        <f>K368*I368/100</f>
        <v>0</v>
      </c>
      <c r="M368" s="2" t="s">
        <v>139</v>
      </c>
      <c r="N368" s="2" t="s">
        <v>54</v>
      </c>
      <c r="O368" s="2">
        <v>2025</v>
      </c>
      <c r="P368" s="2" t="str">
        <v>January</v>
      </c>
      <c r="Q368" s="2" t="s">
        <v>21</v>
      </c>
    </row>
    <row r="369" spans="1:17" x14ac:dyDescent="0.25">
      <c r="A369" s="2" t="s">
        <v>960</v>
      </c>
      <c r="B369" s="7">
        <v>45770</v>
      </c>
      <c r="C369" s="5" t="s">
        <v>156</v>
      </c>
      <c r="D369" s="5" t="s">
        <v>51</v>
      </c>
      <c r="E369" s="5" t="s">
        <v>25</v>
      </c>
      <c r="F369" s="2" t="s">
        <v>255</v>
      </c>
      <c r="G369" s="2">
        <v>11</v>
      </c>
      <c r="H369" s="25">
        <v>8290</v>
      </c>
      <c r="I369" s="8">
        <v>0</v>
      </c>
      <c r="J369" s="25">
        <v>91190</v>
      </c>
      <c r="K369" s="25">
        <f>G369*H369</f>
        <v>91190</v>
      </c>
      <c r="L369" s="8">
        <f>K369*I369/100</f>
        <v>0</v>
      </c>
      <c r="M369" s="2" t="s">
        <v>139</v>
      </c>
      <c r="N369" s="2" t="s">
        <v>37</v>
      </c>
      <c r="O369" s="2">
        <v>2025</v>
      </c>
      <c r="P369" s="2" t="str">
        <v>April</v>
      </c>
      <c r="Q369" s="2" t="s">
        <v>21</v>
      </c>
    </row>
    <row r="370" spans="1:17" x14ac:dyDescent="0.25">
      <c r="A370" s="2" t="s">
        <v>963</v>
      </c>
      <c r="B370" s="7">
        <v>45737</v>
      </c>
      <c r="C370" s="5" t="s">
        <v>135</v>
      </c>
      <c r="D370" s="5" t="s">
        <v>58</v>
      </c>
      <c r="E370" s="5" t="s">
        <v>179</v>
      </c>
      <c r="F370" s="2" t="s">
        <v>143</v>
      </c>
      <c r="G370" s="2">
        <v>2</v>
      </c>
      <c r="H370" s="25">
        <v>7700</v>
      </c>
      <c r="I370" s="8">
        <v>0</v>
      </c>
      <c r="J370" s="25">
        <v>15400</v>
      </c>
      <c r="K370" s="25">
        <f>G370*H370</f>
        <v>15400</v>
      </c>
      <c r="L370" s="8">
        <f>K370*I370/100</f>
        <v>0</v>
      </c>
      <c r="M370" s="2" t="s">
        <v>102</v>
      </c>
      <c r="N370" s="2" t="s">
        <v>344</v>
      </c>
      <c r="O370" s="2">
        <v>2025</v>
      </c>
      <c r="P370" s="2" t="str">
        <v>March</v>
      </c>
      <c r="Q370" s="2" t="s">
        <v>21</v>
      </c>
    </row>
    <row r="371" spans="1:17" x14ac:dyDescent="0.25">
      <c r="A371" s="2" t="s">
        <v>965</v>
      </c>
      <c r="B371" s="7">
        <v>45799</v>
      </c>
      <c r="C371" s="5" t="s">
        <v>238</v>
      </c>
      <c r="D371" s="5" t="s">
        <v>51</v>
      </c>
      <c r="E371" s="5" t="s">
        <v>34</v>
      </c>
      <c r="F371" s="2" t="s">
        <v>35</v>
      </c>
      <c r="G371" s="2">
        <v>5</v>
      </c>
      <c r="H371" s="25">
        <v>7410</v>
      </c>
      <c r="I371" s="8">
        <v>0</v>
      </c>
      <c r="J371" s="25">
        <v>37050</v>
      </c>
      <c r="K371" s="25">
        <f>G371*H371</f>
        <v>37050</v>
      </c>
      <c r="L371" s="8">
        <f>K371*I371/100</f>
        <v>0</v>
      </c>
      <c r="M371" s="2" t="s">
        <v>102</v>
      </c>
      <c r="N371" s="2" t="s">
        <v>176</v>
      </c>
      <c r="O371" s="2">
        <v>2025</v>
      </c>
      <c r="P371" s="2" t="str">
        <v>May</v>
      </c>
      <c r="Q371" s="2" t="s">
        <v>21</v>
      </c>
    </row>
    <row r="372" spans="1:17" x14ac:dyDescent="0.25">
      <c r="A372" s="2" t="s">
        <v>967</v>
      </c>
      <c r="B372" s="7">
        <v>45720</v>
      </c>
      <c r="C372" s="5" t="s">
        <v>238</v>
      </c>
      <c r="D372" s="5" t="s">
        <v>51</v>
      </c>
      <c r="E372" s="5" t="s">
        <v>25</v>
      </c>
      <c r="F372" s="2" t="s">
        <v>115</v>
      </c>
      <c r="G372" s="2">
        <v>10</v>
      </c>
      <c r="H372" s="25">
        <v>7470</v>
      </c>
      <c r="I372" s="8">
        <v>10</v>
      </c>
      <c r="J372" s="25">
        <v>67230</v>
      </c>
      <c r="K372" s="25">
        <f>G372*H372</f>
        <v>74700</v>
      </c>
      <c r="L372" s="8">
        <f>K372*I372/100</f>
        <v>7470</v>
      </c>
      <c r="M372" s="2" t="s">
        <v>139</v>
      </c>
      <c r="N372" s="2" t="s">
        <v>344</v>
      </c>
      <c r="O372" s="2">
        <v>2025</v>
      </c>
      <c r="P372" s="2" t="str">
        <v>March</v>
      </c>
      <c r="Q372" s="2" t="s">
        <v>21</v>
      </c>
    </row>
    <row r="373" spans="1:17" x14ac:dyDescent="0.25">
      <c r="A373" s="2" t="s">
        <v>969</v>
      </c>
      <c r="B373" s="7">
        <v>45802</v>
      </c>
      <c r="C373" s="5" t="s">
        <v>32</v>
      </c>
      <c r="D373" s="5" t="s">
        <v>33</v>
      </c>
      <c r="E373" s="5" t="s">
        <v>25</v>
      </c>
      <c r="F373" s="2" t="s">
        <v>115</v>
      </c>
      <c r="G373" s="2">
        <v>2</v>
      </c>
      <c r="H373" s="25">
        <v>4820</v>
      </c>
      <c r="I373" s="8">
        <v>0</v>
      </c>
      <c r="J373" s="25">
        <v>9640</v>
      </c>
      <c r="K373" s="25">
        <f>G373*H373</f>
        <v>9640</v>
      </c>
      <c r="L373" s="8">
        <f>K373*I373/100</f>
        <v>0</v>
      </c>
      <c r="M373" s="2" t="s">
        <v>94</v>
      </c>
      <c r="N373" s="2" t="s">
        <v>46</v>
      </c>
      <c r="O373" s="2">
        <v>2025</v>
      </c>
      <c r="P373" s="2" t="str">
        <v>May</v>
      </c>
      <c r="Q373" s="2" t="s">
        <v>21</v>
      </c>
    </row>
    <row r="374" spans="1:17" x14ac:dyDescent="0.25">
      <c r="A374" s="2" t="s">
        <v>972</v>
      </c>
      <c r="B374" s="7">
        <v>45789</v>
      </c>
      <c r="C374" s="5" t="s">
        <v>24</v>
      </c>
      <c r="D374" s="5" t="s">
        <v>16</v>
      </c>
      <c r="E374" s="5" t="s">
        <v>295</v>
      </c>
      <c r="F374" s="2" t="s">
        <v>101</v>
      </c>
      <c r="G374" s="2">
        <v>2</v>
      </c>
      <c r="H374" s="25">
        <v>2300</v>
      </c>
      <c r="I374" s="8">
        <v>0</v>
      </c>
      <c r="J374" s="25">
        <v>4600</v>
      </c>
      <c r="K374" s="25">
        <f>G374*H374</f>
        <v>4600</v>
      </c>
      <c r="L374" s="8">
        <f>K374*I374/100</f>
        <v>0</v>
      </c>
      <c r="M374" s="2" t="s">
        <v>94</v>
      </c>
      <c r="N374" s="2" t="s">
        <v>46</v>
      </c>
      <c r="O374" s="2">
        <v>2025</v>
      </c>
      <c r="P374" s="2" t="str">
        <v>May</v>
      </c>
      <c r="Q374" s="2" t="s">
        <v>21</v>
      </c>
    </row>
    <row r="375" spans="1:17" x14ac:dyDescent="0.25">
      <c r="A375" s="2" t="s">
        <v>973</v>
      </c>
      <c r="B375" s="7">
        <v>45985</v>
      </c>
      <c r="C375" s="5" t="s">
        <v>32</v>
      </c>
      <c r="D375" s="5" t="s">
        <v>33</v>
      </c>
      <c r="E375" s="5" t="s">
        <v>148</v>
      </c>
      <c r="F375" s="2" t="s">
        <v>167</v>
      </c>
      <c r="G375" s="2">
        <v>10</v>
      </c>
      <c r="H375" s="25">
        <v>1280</v>
      </c>
      <c r="I375" s="8">
        <v>0</v>
      </c>
      <c r="J375" s="25">
        <v>12800</v>
      </c>
      <c r="K375" s="25">
        <f>G375*H375</f>
        <v>12800</v>
      </c>
      <c r="L375" s="8">
        <f>K375*I375/100</f>
        <v>0</v>
      </c>
      <c r="M375" s="2" t="s">
        <v>53</v>
      </c>
      <c r="N375" s="2" t="s">
        <v>79</v>
      </c>
      <c r="O375" s="2">
        <v>2025</v>
      </c>
      <c r="P375" s="2" t="str">
        <v>November</v>
      </c>
      <c r="Q375" s="2" t="s">
        <v>47</v>
      </c>
    </row>
    <row r="376" spans="1:17" x14ac:dyDescent="0.25">
      <c r="A376" s="2" t="s">
        <v>975</v>
      </c>
      <c r="B376" s="7">
        <v>45926</v>
      </c>
      <c r="C376" s="5" t="s">
        <v>135</v>
      </c>
      <c r="D376" s="5" t="s">
        <v>58</v>
      </c>
      <c r="E376" s="5" t="s">
        <v>34</v>
      </c>
      <c r="F376" s="2" t="s">
        <v>35</v>
      </c>
      <c r="G376" s="2">
        <v>7</v>
      </c>
      <c r="H376" s="25">
        <v>18500</v>
      </c>
      <c r="I376" s="8">
        <v>5</v>
      </c>
      <c r="J376" s="25">
        <v>123025</v>
      </c>
      <c r="K376" s="25">
        <f>G376*H376</f>
        <v>129500</v>
      </c>
      <c r="L376" s="8">
        <f>K376*I376/100</f>
        <v>6475</v>
      </c>
      <c r="M376" s="2" t="s">
        <v>94</v>
      </c>
      <c r="N376" s="2" t="s">
        <v>54</v>
      </c>
      <c r="O376" s="2">
        <v>2025</v>
      </c>
      <c r="P376" s="2" t="str">
        <v>September</v>
      </c>
      <c r="Q376" s="2" t="s">
        <v>47</v>
      </c>
    </row>
    <row r="377" spans="1:17" x14ac:dyDescent="0.25">
      <c r="A377" s="2" t="s">
        <v>976</v>
      </c>
      <c r="B377" s="7">
        <v>45912</v>
      </c>
      <c r="C377" s="5" t="s">
        <v>156</v>
      </c>
      <c r="D377" s="5" t="s">
        <v>51</v>
      </c>
      <c r="E377" s="5" t="s">
        <v>34</v>
      </c>
      <c r="F377" s="2" t="s">
        <v>290</v>
      </c>
      <c r="G377" s="2">
        <v>2</v>
      </c>
      <c r="H377" s="25">
        <v>8070</v>
      </c>
      <c r="I377" s="8">
        <v>0</v>
      </c>
      <c r="J377" s="25">
        <v>16140</v>
      </c>
      <c r="K377" s="25">
        <f>G377*H377</f>
        <v>16140</v>
      </c>
      <c r="L377" s="8">
        <f>K377*I377/100</f>
        <v>0</v>
      </c>
      <c r="M377" s="2" t="s">
        <v>94</v>
      </c>
      <c r="N377" s="2" t="s">
        <v>79</v>
      </c>
      <c r="O377" s="2">
        <v>2025</v>
      </c>
      <c r="P377" s="2" t="str">
        <v>September</v>
      </c>
      <c r="Q377" s="2" t="s">
        <v>47</v>
      </c>
    </row>
    <row r="378" spans="1:17" x14ac:dyDescent="0.25">
      <c r="A378" s="2" t="s">
        <v>978</v>
      </c>
      <c r="B378" s="7">
        <v>45759</v>
      </c>
      <c r="C378" s="5" t="s">
        <v>32</v>
      </c>
      <c r="D378" s="2" t="s">
        <v>33</v>
      </c>
      <c r="E378" s="2" t="s">
        <v>179</v>
      </c>
      <c r="F378" s="2" t="s">
        <v>180</v>
      </c>
      <c r="G378" s="2">
        <v>5</v>
      </c>
      <c r="H378" s="25">
        <v>19300</v>
      </c>
      <c r="I378" s="8">
        <v>0</v>
      </c>
      <c r="J378" s="25">
        <v>96500</v>
      </c>
      <c r="K378" s="25">
        <f>G378*H378</f>
        <v>96500</v>
      </c>
      <c r="L378" s="8">
        <f>K378*I378/100</f>
        <v>0</v>
      </c>
      <c r="M378" s="2" t="s">
        <v>94</v>
      </c>
      <c r="N378" s="2" t="s">
        <v>341</v>
      </c>
      <c r="O378" s="2">
        <v>2025</v>
      </c>
      <c r="P378" s="2" t="str">
        <v>April</v>
      </c>
      <c r="Q378" s="2" t="s">
        <v>47</v>
      </c>
    </row>
    <row r="379" spans="1:17" x14ac:dyDescent="0.25">
      <c r="A379" s="2" t="s">
        <v>979</v>
      </c>
      <c r="B379" s="7">
        <v>45736</v>
      </c>
      <c r="C379" s="5" t="s">
        <v>24</v>
      </c>
      <c r="D379" s="5" t="s">
        <v>33</v>
      </c>
      <c r="E379" s="5" t="s">
        <v>25</v>
      </c>
      <c r="F379" s="2" t="s">
        <v>93</v>
      </c>
      <c r="G379" s="2">
        <v>6</v>
      </c>
      <c r="H379" s="25">
        <v>12250</v>
      </c>
      <c r="I379" s="8">
        <v>0</v>
      </c>
      <c r="J379" s="25">
        <v>73500</v>
      </c>
      <c r="K379" s="25">
        <f>G379*H379</f>
        <v>73500</v>
      </c>
      <c r="L379" s="8">
        <f>K379*I379/100</f>
        <v>0</v>
      </c>
      <c r="M379" s="2" t="s">
        <v>53</v>
      </c>
      <c r="N379" s="2" t="s">
        <v>406</v>
      </c>
      <c r="O379" s="2">
        <v>2025</v>
      </c>
      <c r="P379" s="2" t="str">
        <v>March</v>
      </c>
      <c r="Q379" s="2" t="s">
        <v>21</v>
      </c>
    </row>
    <row r="380" spans="1:17" x14ac:dyDescent="0.25">
      <c r="A380" s="2" t="s">
        <v>981</v>
      </c>
      <c r="B380" s="7">
        <v>45834</v>
      </c>
      <c r="C380" s="5" t="s">
        <v>156</v>
      </c>
      <c r="D380" s="5" t="s">
        <v>51</v>
      </c>
      <c r="E380" s="5" t="s">
        <v>179</v>
      </c>
      <c r="F380" s="2" t="s">
        <v>543</v>
      </c>
      <c r="G380" s="2">
        <v>6</v>
      </c>
      <c r="H380" s="25">
        <v>470</v>
      </c>
      <c r="I380" s="8">
        <v>15</v>
      </c>
      <c r="J380" s="25">
        <v>2397</v>
      </c>
      <c r="K380" s="25">
        <f>G380*H380</f>
        <v>2820</v>
      </c>
      <c r="L380" s="8">
        <f>K380*I380/100</f>
        <v>423</v>
      </c>
      <c r="M380" s="2" t="s">
        <v>53</v>
      </c>
      <c r="N380" s="2" t="s">
        <v>68</v>
      </c>
      <c r="O380" s="2">
        <v>2025</v>
      </c>
      <c r="P380" s="2" t="str">
        <v>June</v>
      </c>
      <c r="Q380" s="2" t="s">
        <v>21</v>
      </c>
    </row>
    <row r="381" spans="1:17" x14ac:dyDescent="0.25">
      <c r="A381" s="2" t="s">
        <v>983</v>
      </c>
      <c r="B381" s="7">
        <v>46008</v>
      </c>
      <c r="C381" s="5" t="s">
        <v>156</v>
      </c>
      <c r="D381" s="5" t="s">
        <v>51</v>
      </c>
      <c r="E381" s="5" t="s">
        <v>34</v>
      </c>
      <c r="F381" s="2" t="s">
        <v>199</v>
      </c>
      <c r="G381" s="2">
        <v>11</v>
      </c>
      <c r="H381" s="25">
        <v>7770</v>
      </c>
      <c r="I381" s="8">
        <v>0</v>
      </c>
      <c r="J381" s="25">
        <v>85470</v>
      </c>
      <c r="K381" s="25">
        <f>G381*H381</f>
        <v>85470</v>
      </c>
      <c r="L381" s="8">
        <f>K381*I381/100</f>
        <v>0</v>
      </c>
      <c r="M381" s="2" t="s">
        <v>139</v>
      </c>
      <c r="N381" s="2" t="s">
        <v>266</v>
      </c>
      <c r="O381" s="2">
        <v>2025</v>
      </c>
      <c r="P381" s="2" t="str">
        <v>December</v>
      </c>
      <c r="Q381" s="2" t="s">
        <v>21</v>
      </c>
    </row>
    <row r="382" spans="1:17" x14ac:dyDescent="0.25">
      <c r="A382" s="2" t="s">
        <v>985</v>
      </c>
      <c r="B382" s="7">
        <v>45705</v>
      </c>
      <c r="C382" s="5" t="s">
        <v>156</v>
      </c>
      <c r="D382" s="5" t="s">
        <v>51</v>
      </c>
      <c r="E382" s="5" t="s">
        <v>34</v>
      </c>
      <c r="F382" s="2" t="s">
        <v>35</v>
      </c>
      <c r="G382" s="2">
        <v>9</v>
      </c>
      <c r="H382" s="25">
        <v>5190</v>
      </c>
      <c r="I382" s="8">
        <v>0</v>
      </c>
      <c r="J382" s="25">
        <v>46710</v>
      </c>
      <c r="K382" s="25">
        <f>G382*H382</f>
        <v>46710</v>
      </c>
      <c r="L382" s="8">
        <f>K382*I382/100</f>
        <v>0</v>
      </c>
      <c r="M382" s="2" t="s">
        <v>102</v>
      </c>
      <c r="N382" s="2" t="s">
        <v>883</v>
      </c>
      <c r="O382" s="2">
        <v>2025</v>
      </c>
      <c r="P382" s="2" t="str">
        <v>February</v>
      </c>
      <c r="Q382" s="2" t="s">
        <v>21</v>
      </c>
    </row>
    <row r="383" spans="1:17" x14ac:dyDescent="0.25">
      <c r="A383" s="2" t="s">
        <v>987</v>
      </c>
      <c r="B383" s="7">
        <v>45936</v>
      </c>
      <c r="C383" s="5" t="s">
        <v>41</v>
      </c>
      <c r="D383" s="5" t="s">
        <v>42</v>
      </c>
      <c r="E383" s="5" t="s">
        <v>148</v>
      </c>
      <c r="F383" s="2" t="s">
        <v>435</v>
      </c>
      <c r="G383" s="2">
        <v>6</v>
      </c>
      <c r="H383" s="25">
        <v>1100</v>
      </c>
      <c r="I383" s="8">
        <v>5</v>
      </c>
      <c r="J383" s="25">
        <v>6270</v>
      </c>
      <c r="K383" s="25">
        <f>G383*H383</f>
        <v>6600</v>
      </c>
      <c r="L383" s="8">
        <f>K383*I383/100</f>
        <v>330</v>
      </c>
      <c r="M383" s="2" t="s">
        <v>94</v>
      </c>
      <c r="N383" s="2" t="s">
        <v>344</v>
      </c>
      <c r="O383" s="2">
        <v>2025</v>
      </c>
      <c r="P383" s="2" t="str">
        <v>October</v>
      </c>
      <c r="Q383" s="2" t="s">
        <v>47</v>
      </c>
    </row>
    <row r="384" spans="1:17" x14ac:dyDescent="0.25">
      <c r="A384" s="2" t="s">
        <v>989</v>
      </c>
      <c r="B384" s="7">
        <v>45846</v>
      </c>
      <c r="C384" s="5" t="s">
        <v>76</v>
      </c>
      <c r="D384" s="5" t="s">
        <v>33</v>
      </c>
      <c r="E384" s="5" t="s">
        <v>34</v>
      </c>
      <c r="F384" s="2" t="s">
        <v>164</v>
      </c>
      <c r="G384" s="2">
        <v>7</v>
      </c>
      <c r="H384" s="25">
        <v>9120</v>
      </c>
      <c r="I384" s="8">
        <v>0</v>
      </c>
      <c r="J384" s="25">
        <v>63840</v>
      </c>
      <c r="K384" s="25">
        <f>G384*H384</f>
        <v>63840</v>
      </c>
      <c r="L384" s="8">
        <f>K384*I384/100</f>
        <v>0</v>
      </c>
      <c r="M384" s="2" t="s">
        <v>94</v>
      </c>
      <c r="N384" s="2" t="s">
        <v>79</v>
      </c>
      <c r="O384" s="2">
        <v>2025</v>
      </c>
      <c r="P384" s="2" t="str">
        <v>July</v>
      </c>
      <c r="Q384" s="2" t="s">
        <v>47</v>
      </c>
    </row>
    <row r="385" spans="1:17" x14ac:dyDescent="0.25">
      <c r="A385" s="2" t="s">
        <v>991</v>
      </c>
      <c r="B385" s="7">
        <v>45796</v>
      </c>
      <c r="C385" s="5" t="s">
        <v>24</v>
      </c>
      <c r="D385" s="5" t="s">
        <v>16</v>
      </c>
      <c r="E385" s="5" t="s">
        <v>179</v>
      </c>
      <c r="F385" s="2" t="s">
        <v>239</v>
      </c>
      <c r="G385" s="2">
        <v>5</v>
      </c>
      <c r="H385" s="25">
        <v>5560</v>
      </c>
      <c r="I385" s="8">
        <v>0</v>
      </c>
      <c r="J385" s="25">
        <v>27800</v>
      </c>
      <c r="K385" s="25">
        <f>G385*H385</f>
        <v>27800</v>
      </c>
      <c r="L385" s="8">
        <f>K385*I385/100</f>
        <v>0</v>
      </c>
      <c r="M385" s="2" t="s">
        <v>94</v>
      </c>
      <c r="N385" s="2" t="s">
        <v>168</v>
      </c>
      <c r="O385" s="2">
        <v>2025</v>
      </c>
      <c r="P385" s="2" t="str">
        <v>May</v>
      </c>
      <c r="Q385" s="2" t="s">
        <v>47</v>
      </c>
    </row>
    <row r="386" spans="1:17" x14ac:dyDescent="0.25">
      <c r="A386" s="2" t="s">
        <v>993</v>
      </c>
      <c r="B386" s="7">
        <v>45885</v>
      </c>
      <c r="C386" s="5" t="s">
        <v>32</v>
      </c>
      <c r="D386" s="5" t="s">
        <v>33</v>
      </c>
      <c r="E386" s="5" t="s">
        <v>179</v>
      </c>
      <c r="F386" s="2" t="s">
        <v>224</v>
      </c>
      <c r="G386" s="2">
        <v>10</v>
      </c>
      <c r="H386" s="25">
        <v>4610</v>
      </c>
      <c r="I386" s="8">
        <v>0</v>
      </c>
      <c r="J386" s="25">
        <v>46100</v>
      </c>
      <c r="K386" s="25">
        <f>G386*H386</f>
        <v>46100</v>
      </c>
      <c r="L386" s="8">
        <f>K386*I386/100</f>
        <v>0</v>
      </c>
      <c r="M386" s="2" t="s">
        <v>139</v>
      </c>
      <c r="N386" s="2" t="s">
        <v>266</v>
      </c>
      <c r="O386" s="2">
        <v>2025</v>
      </c>
      <c r="P386" s="2" t="str">
        <v>August</v>
      </c>
      <c r="Q386" s="2" t="s">
        <v>47</v>
      </c>
    </row>
    <row r="387" spans="1:17" x14ac:dyDescent="0.25">
      <c r="A387" s="2" t="s">
        <v>995</v>
      </c>
      <c r="B387" s="7">
        <v>45777</v>
      </c>
      <c r="C387" s="5" t="s">
        <v>24</v>
      </c>
      <c r="D387" s="5" t="s">
        <v>16</v>
      </c>
      <c r="E387" s="5" t="s">
        <v>34</v>
      </c>
      <c r="F387" s="2" t="s">
        <v>35</v>
      </c>
      <c r="G387" s="2">
        <v>5</v>
      </c>
      <c r="H387" s="25">
        <v>530</v>
      </c>
      <c r="I387" s="8">
        <v>0</v>
      </c>
      <c r="J387" s="25">
        <v>2650</v>
      </c>
      <c r="K387" s="25">
        <f>G387*H387</f>
        <v>2650</v>
      </c>
      <c r="L387" s="8">
        <f>K387*I387/100</f>
        <v>0</v>
      </c>
      <c r="M387" s="2" t="s">
        <v>139</v>
      </c>
      <c r="N387" s="2" t="s">
        <v>883</v>
      </c>
      <c r="O387" s="2">
        <v>2025</v>
      </c>
      <c r="P387" s="2" t="str">
        <v>April</v>
      </c>
      <c r="Q387" s="2" t="s">
        <v>21</v>
      </c>
    </row>
    <row r="388" spans="1:17" x14ac:dyDescent="0.25">
      <c r="A388" s="2" t="s">
        <v>997</v>
      </c>
      <c r="B388" s="7">
        <v>45733</v>
      </c>
      <c r="C388" s="5" t="s">
        <v>76</v>
      </c>
      <c r="D388" s="5" t="s">
        <v>33</v>
      </c>
      <c r="E388" s="5" t="s">
        <v>179</v>
      </c>
      <c r="F388" s="2" t="s">
        <v>543</v>
      </c>
      <c r="G388" s="2">
        <v>4</v>
      </c>
      <c r="H388" s="25">
        <v>23850</v>
      </c>
      <c r="I388" s="8">
        <v>15</v>
      </c>
      <c r="J388" s="25">
        <v>81090</v>
      </c>
      <c r="K388" s="25">
        <f>G388*H388</f>
        <v>95400</v>
      </c>
      <c r="L388" s="8">
        <f>K388*I388/100</f>
        <v>14310</v>
      </c>
      <c r="M388" s="2" t="s">
        <v>139</v>
      </c>
      <c r="N388" s="2" t="s">
        <v>73</v>
      </c>
      <c r="O388" s="2">
        <v>2025</v>
      </c>
      <c r="P388" s="2" t="str">
        <v>March</v>
      </c>
      <c r="Q388" s="2" t="s">
        <v>21</v>
      </c>
    </row>
    <row r="389" spans="1:17" x14ac:dyDescent="0.25">
      <c r="A389" s="2" t="s">
        <v>1000</v>
      </c>
      <c r="B389" s="7">
        <v>45658</v>
      </c>
      <c r="C389" s="5" t="s">
        <v>156</v>
      </c>
      <c r="D389" s="5" t="s">
        <v>51</v>
      </c>
      <c r="E389" s="5" t="s">
        <v>295</v>
      </c>
      <c r="F389" s="2" t="s">
        <v>296</v>
      </c>
      <c r="G389" s="2">
        <v>4</v>
      </c>
      <c r="H389" s="25">
        <v>59970</v>
      </c>
      <c r="I389" s="8">
        <v>10</v>
      </c>
      <c r="J389" s="25">
        <v>215892</v>
      </c>
      <c r="K389" s="25">
        <f>G389*H389</f>
        <v>239880</v>
      </c>
      <c r="L389" s="8">
        <f>K389*I389/100</f>
        <v>23988</v>
      </c>
      <c r="M389" s="2" t="s">
        <v>53</v>
      </c>
      <c r="N389" s="2" t="s">
        <v>188</v>
      </c>
      <c r="O389" s="2">
        <v>2025</v>
      </c>
      <c r="P389" s="2" t="str">
        <v>January</v>
      </c>
      <c r="Q389" s="2" t="s">
        <v>21</v>
      </c>
    </row>
    <row r="390" spans="1:17" x14ac:dyDescent="0.25">
      <c r="A390" s="2" t="s">
        <v>1002</v>
      </c>
      <c r="B390" s="7">
        <v>45906</v>
      </c>
      <c r="C390" s="5" t="s">
        <v>76</v>
      </c>
      <c r="D390" s="5" t="s">
        <v>33</v>
      </c>
      <c r="E390" s="5" t="s">
        <v>179</v>
      </c>
      <c r="F390" s="2" t="s">
        <v>18</v>
      </c>
      <c r="G390" s="2">
        <v>10</v>
      </c>
      <c r="H390" s="25">
        <v>1310</v>
      </c>
      <c r="I390" s="8">
        <v>0</v>
      </c>
      <c r="J390" s="25">
        <v>13100</v>
      </c>
      <c r="K390" s="25">
        <f>G390*H390</f>
        <v>13100</v>
      </c>
      <c r="L390" s="8">
        <f>K390*I390/100</f>
        <v>0</v>
      </c>
      <c r="M390" s="2" t="s">
        <v>94</v>
      </c>
      <c r="N390" s="2" t="s">
        <v>411</v>
      </c>
      <c r="O390" s="2">
        <v>2025</v>
      </c>
      <c r="P390" s="2" t="str">
        <v>September</v>
      </c>
      <c r="Q390" s="2" t="s">
        <v>47</v>
      </c>
    </row>
    <row r="391" spans="1:17" x14ac:dyDescent="0.25">
      <c r="A391" s="2" t="s">
        <v>1004</v>
      </c>
      <c r="B391" s="7">
        <v>45994</v>
      </c>
      <c r="C391" s="5" t="s">
        <v>24</v>
      </c>
      <c r="D391" s="5" t="s">
        <v>16</v>
      </c>
      <c r="E391" s="5" t="s">
        <v>34</v>
      </c>
      <c r="F391" s="2" t="s">
        <v>171</v>
      </c>
      <c r="G391" s="2">
        <v>12</v>
      </c>
      <c r="H391" s="25">
        <v>9170</v>
      </c>
      <c r="I391" s="8">
        <v>0</v>
      </c>
      <c r="J391" s="25">
        <v>110040</v>
      </c>
      <c r="K391" s="25">
        <f>G391*H391</f>
        <v>110040</v>
      </c>
      <c r="L391" s="8">
        <f>K391*I391/100</f>
        <v>0</v>
      </c>
      <c r="M391" s="2" t="s">
        <v>139</v>
      </c>
      <c r="N391" s="2" t="s">
        <v>341</v>
      </c>
      <c r="O391" s="2">
        <v>2025</v>
      </c>
      <c r="P391" s="2" t="str">
        <v>December</v>
      </c>
      <c r="Q391" s="2" t="s">
        <v>47</v>
      </c>
    </row>
    <row r="392" spans="1:17" x14ac:dyDescent="0.25">
      <c r="A392" s="2" t="s">
        <v>1006</v>
      </c>
      <c r="B392" s="7">
        <v>45744</v>
      </c>
      <c r="C392" s="5" t="s">
        <v>238</v>
      </c>
      <c r="D392" s="5" t="s">
        <v>51</v>
      </c>
      <c r="E392" s="5" t="s">
        <v>148</v>
      </c>
      <c r="F392" s="2" t="s">
        <v>83</v>
      </c>
      <c r="G392" s="2">
        <v>12</v>
      </c>
      <c r="H392" s="25">
        <v>17030</v>
      </c>
      <c r="I392" s="8">
        <v>0</v>
      </c>
      <c r="J392" s="25">
        <v>204360</v>
      </c>
      <c r="K392" s="25">
        <f>G392*H392</f>
        <v>204360</v>
      </c>
      <c r="L392" s="8">
        <f>K392*I392/100</f>
        <v>0</v>
      </c>
      <c r="M392" s="2" t="s">
        <v>53</v>
      </c>
      <c r="N392" s="2" t="s">
        <v>176</v>
      </c>
      <c r="O392" s="2">
        <v>2025</v>
      </c>
      <c r="P392" s="2" t="str">
        <v>March</v>
      </c>
      <c r="Q392" s="2" t="s">
        <v>21</v>
      </c>
    </row>
    <row r="393" spans="1:17" x14ac:dyDescent="0.25">
      <c r="A393" s="2" t="s">
        <v>1008</v>
      </c>
      <c r="B393" s="7">
        <v>45718</v>
      </c>
      <c r="C393" s="5" t="s">
        <v>32</v>
      </c>
      <c r="D393" s="5" t="s">
        <v>33</v>
      </c>
      <c r="E393" s="5" t="s">
        <v>179</v>
      </c>
      <c r="F393" s="2" t="s">
        <v>224</v>
      </c>
      <c r="G393" s="2">
        <v>9</v>
      </c>
      <c r="H393" s="25">
        <v>16690</v>
      </c>
      <c r="I393" s="8">
        <v>0</v>
      </c>
      <c r="J393" s="25">
        <v>150210</v>
      </c>
      <c r="K393" s="25">
        <f>G393*H393</f>
        <v>150210</v>
      </c>
      <c r="L393" s="8">
        <f>K393*I393/100</f>
        <v>0</v>
      </c>
      <c r="M393" s="2" t="s">
        <v>53</v>
      </c>
      <c r="N393" s="2" t="s">
        <v>188</v>
      </c>
      <c r="O393" s="2">
        <v>2025</v>
      </c>
      <c r="P393" s="2" t="str">
        <v>March</v>
      </c>
      <c r="Q393" s="2" t="s">
        <v>21</v>
      </c>
    </row>
    <row r="394" spans="1:17" x14ac:dyDescent="0.25">
      <c r="A394" s="2" t="s">
        <v>1010</v>
      </c>
      <c r="B394" s="7">
        <v>45918</v>
      </c>
      <c r="C394" s="5" t="s">
        <v>156</v>
      </c>
      <c r="D394" s="5" t="s">
        <v>51</v>
      </c>
      <c r="E394" s="5" t="s">
        <v>25</v>
      </c>
      <c r="F394" s="2" t="s">
        <v>44</v>
      </c>
      <c r="G394" s="2">
        <v>1</v>
      </c>
      <c r="H394" s="25">
        <v>1330</v>
      </c>
      <c r="I394" s="8">
        <v>0</v>
      </c>
      <c r="J394" s="25">
        <v>1330</v>
      </c>
      <c r="K394" s="25">
        <f>G394*H394</f>
        <v>1330</v>
      </c>
      <c r="L394" s="8">
        <f>K394*I394/100</f>
        <v>0</v>
      </c>
      <c r="M394" s="2" t="s">
        <v>53</v>
      </c>
      <c r="N394" s="2" t="s">
        <v>168</v>
      </c>
      <c r="O394" s="2">
        <v>2025</v>
      </c>
      <c r="P394" s="2" t="str">
        <v>September</v>
      </c>
      <c r="Q394" s="2" t="s">
        <v>47</v>
      </c>
    </row>
    <row r="395" spans="1:17" x14ac:dyDescent="0.25">
      <c r="A395" s="2" t="s">
        <v>1012</v>
      </c>
      <c r="B395" s="7">
        <v>45884</v>
      </c>
      <c r="C395" s="5" t="s">
        <v>76</v>
      </c>
      <c r="D395" s="5" t="s">
        <v>33</v>
      </c>
      <c r="E395" s="5" t="s">
        <v>179</v>
      </c>
      <c r="F395" s="2" t="s">
        <v>224</v>
      </c>
      <c r="G395" s="2">
        <v>2</v>
      </c>
      <c r="H395" s="25">
        <v>9380</v>
      </c>
      <c r="I395" s="8">
        <v>15</v>
      </c>
      <c r="J395" s="25">
        <v>15946</v>
      </c>
      <c r="K395" s="25">
        <f>G395*H395</f>
        <v>18760</v>
      </c>
      <c r="L395" s="8">
        <f>K395*I395/100</f>
        <v>2814</v>
      </c>
      <c r="M395" s="2" t="s">
        <v>102</v>
      </c>
      <c r="N395" s="2" t="s">
        <v>406</v>
      </c>
      <c r="O395" s="2">
        <v>2025</v>
      </c>
      <c r="P395" s="2" t="str">
        <v>August</v>
      </c>
      <c r="Q395" s="2" t="s">
        <v>21</v>
      </c>
    </row>
    <row r="396" spans="1:17" x14ac:dyDescent="0.25">
      <c r="A396" s="2" t="s">
        <v>1014</v>
      </c>
      <c r="B396" s="7">
        <v>45965</v>
      </c>
      <c r="C396" s="5" t="s">
        <v>238</v>
      </c>
      <c r="D396" s="5" t="s">
        <v>51</v>
      </c>
      <c r="E396" s="5" t="s">
        <v>25</v>
      </c>
      <c r="F396" s="2" t="s">
        <v>115</v>
      </c>
      <c r="G396" s="2">
        <v>6</v>
      </c>
      <c r="H396" s="25">
        <v>2760</v>
      </c>
      <c r="I396" s="8">
        <v>10</v>
      </c>
      <c r="J396" s="25">
        <v>14904</v>
      </c>
      <c r="K396" s="25">
        <f>G396*H396</f>
        <v>16560</v>
      </c>
      <c r="L396" s="8">
        <f>K396*I396/100</f>
        <v>1656</v>
      </c>
      <c r="M396" s="2" t="s">
        <v>139</v>
      </c>
      <c r="N396" s="2" t="s">
        <v>176</v>
      </c>
      <c r="O396" s="2">
        <v>2025</v>
      </c>
      <c r="P396" s="2" t="str">
        <v>November</v>
      </c>
      <c r="Q396" s="2" t="s">
        <v>21</v>
      </c>
    </row>
    <row r="397" spans="1:17" x14ac:dyDescent="0.25">
      <c r="A397" s="2" t="s">
        <v>1016</v>
      </c>
      <c r="B397" s="7">
        <v>45827</v>
      </c>
      <c r="C397" s="5" t="s">
        <v>156</v>
      </c>
      <c r="D397" s="5" t="s">
        <v>51</v>
      </c>
      <c r="E397" s="5" t="s">
        <v>295</v>
      </c>
      <c r="F397" s="2" t="s">
        <v>101</v>
      </c>
      <c r="G397" s="2">
        <v>1</v>
      </c>
      <c r="H397" s="25">
        <v>9650</v>
      </c>
      <c r="I397" s="8">
        <v>10</v>
      </c>
      <c r="J397" s="25">
        <v>8685</v>
      </c>
      <c r="K397" s="25">
        <f>G397*H397</f>
        <v>9650</v>
      </c>
      <c r="L397" s="8">
        <f>K397*I397/100</f>
        <v>965</v>
      </c>
      <c r="M397" s="2" t="s">
        <v>139</v>
      </c>
      <c r="N397" s="2" t="s">
        <v>411</v>
      </c>
      <c r="O397" s="2">
        <v>2025</v>
      </c>
      <c r="P397" s="2" t="str">
        <v>June</v>
      </c>
      <c r="Q397" s="2" t="s">
        <v>47</v>
      </c>
    </row>
    <row r="398" spans="1:17" x14ac:dyDescent="0.25">
      <c r="A398" s="2" t="s">
        <v>1018</v>
      </c>
      <c r="B398" s="7">
        <v>45677</v>
      </c>
      <c r="C398" s="5" t="s">
        <v>238</v>
      </c>
      <c r="D398" s="5" t="s">
        <v>51</v>
      </c>
      <c r="E398" s="5" t="s">
        <v>179</v>
      </c>
      <c r="F398" s="2" t="s">
        <v>184</v>
      </c>
      <c r="G398" s="2">
        <v>9</v>
      </c>
      <c r="H398" s="25">
        <v>10040</v>
      </c>
      <c r="I398" s="8">
        <v>0</v>
      </c>
      <c r="J398" s="25">
        <v>90360</v>
      </c>
      <c r="K398" s="25">
        <f>G398*H398</f>
        <v>90360</v>
      </c>
      <c r="L398" s="8">
        <f>K398*I398/100</f>
        <v>0</v>
      </c>
      <c r="M398" s="2" t="s">
        <v>139</v>
      </c>
      <c r="N398" s="2" t="s">
        <v>54</v>
      </c>
      <c r="O398" s="2">
        <v>2025</v>
      </c>
      <c r="P398" s="2" t="str">
        <v>January</v>
      </c>
      <c r="Q398" s="2" t="s">
        <v>21</v>
      </c>
    </row>
    <row r="399" spans="1:17" x14ac:dyDescent="0.25">
      <c r="A399" s="2" t="s">
        <v>1020</v>
      </c>
      <c r="B399" s="7">
        <v>45701</v>
      </c>
      <c r="C399" s="5" t="s">
        <v>32</v>
      </c>
      <c r="D399" s="5" t="s">
        <v>33</v>
      </c>
      <c r="E399" s="5" t="s">
        <v>179</v>
      </c>
      <c r="F399" s="2" t="s">
        <v>543</v>
      </c>
      <c r="G399" s="2">
        <v>5</v>
      </c>
      <c r="H399" s="25">
        <v>9350</v>
      </c>
      <c r="I399" s="8">
        <v>10</v>
      </c>
      <c r="J399" s="25">
        <v>42075</v>
      </c>
      <c r="K399" s="25">
        <f>G399*H399</f>
        <v>46750</v>
      </c>
      <c r="L399" s="8">
        <f>K399*I399/100</f>
        <v>4675</v>
      </c>
      <c r="M399" s="2" t="s">
        <v>139</v>
      </c>
      <c r="N399" s="2" t="s">
        <v>188</v>
      </c>
      <c r="O399" s="2">
        <v>2025</v>
      </c>
      <c r="P399" s="2" t="str">
        <v>February</v>
      </c>
      <c r="Q399" s="2" t="s">
        <v>21</v>
      </c>
    </row>
    <row r="400" spans="1:17" x14ac:dyDescent="0.25">
      <c r="A400" s="2" t="s">
        <v>1022</v>
      </c>
      <c r="B400" s="7">
        <v>45790</v>
      </c>
      <c r="C400" s="5" t="s">
        <v>76</v>
      </c>
      <c r="D400" s="5" t="s">
        <v>33</v>
      </c>
      <c r="E400" s="5" t="s">
        <v>295</v>
      </c>
      <c r="F400" s="2" t="s">
        <v>101</v>
      </c>
      <c r="G400" s="2">
        <v>10</v>
      </c>
      <c r="H400" s="25">
        <v>2770</v>
      </c>
      <c r="I400" s="8">
        <v>0</v>
      </c>
      <c r="J400" s="25">
        <v>27700</v>
      </c>
      <c r="K400" s="25">
        <f>G400*H400</f>
        <v>27700</v>
      </c>
      <c r="L400" s="8">
        <f>K400*I400/100</f>
        <v>0</v>
      </c>
      <c r="M400" s="2" t="s">
        <v>102</v>
      </c>
      <c r="N400" s="2" t="s">
        <v>883</v>
      </c>
      <c r="O400" s="2">
        <v>2025</v>
      </c>
      <c r="P400" s="2" t="str">
        <v>May</v>
      </c>
      <c r="Q400" s="2" t="s">
        <v>21</v>
      </c>
    </row>
    <row r="401" spans="1:17" x14ac:dyDescent="0.25">
      <c r="A401" s="2" t="s">
        <v>1024</v>
      </c>
      <c r="B401" s="7">
        <v>45865</v>
      </c>
      <c r="C401" s="5" t="s">
        <v>238</v>
      </c>
      <c r="D401" s="5" t="s">
        <v>51</v>
      </c>
      <c r="E401" s="5" t="s">
        <v>25</v>
      </c>
      <c r="F401" s="2" t="s">
        <v>248</v>
      </c>
      <c r="G401" s="2">
        <v>11</v>
      </c>
      <c r="H401" s="25">
        <v>72060</v>
      </c>
      <c r="I401" s="8">
        <v>0</v>
      </c>
      <c r="J401" s="25">
        <v>792660</v>
      </c>
      <c r="K401" s="25">
        <f>G401*H401</f>
        <v>792660</v>
      </c>
      <c r="L401" s="8">
        <f>K401*I401/100</f>
        <v>0</v>
      </c>
      <c r="M401" s="2" t="s">
        <v>94</v>
      </c>
      <c r="N401" s="2" t="s">
        <v>73</v>
      </c>
      <c r="O401" s="2">
        <v>2025</v>
      </c>
      <c r="P401" s="2" t="str">
        <v>July</v>
      </c>
      <c r="Q401" s="2" t="s">
        <v>21</v>
      </c>
    </row>
    <row r="402" spans="1:17" x14ac:dyDescent="0.25">
      <c r="A402" s="2" t="s">
        <v>1025</v>
      </c>
      <c r="B402" s="7">
        <v>45984</v>
      </c>
      <c r="C402" s="5" t="s">
        <v>41</v>
      </c>
      <c r="D402" s="5" t="s">
        <v>42</v>
      </c>
      <c r="E402" s="5" t="s">
        <v>34</v>
      </c>
      <c r="F402" s="2" t="s">
        <v>171</v>
      </c>
      <c r="G402" s="2">
        <v>12</v>
      </c>
      <c r="H402" s="25">
        <v>17670</v>
      </c>
      <c r="I402" s="8">
        <v>0</v>
      </c>
      <c r="J402" s="25">
        <v>212040</v>
      </c>
      <c r="K402" s="25">
        <f>G402*H402</f>
        <v>212040</v>
      </c>
      <c r="L402" s="8">
        <f>K402*I402/100</f>
        <v>0</v>
      </c>
      <c r="M402" s="2" t="s">
        <v>102</v>
      </c>
      <c r="N402" s="2" t="s">
        <v>46</v>
      </c>
      <c r="O402" s="2">
        <v>2025</v>
      </c>
      <c r="P402" s="2" t="str">
        <v>November</v>
      </c>
      <c r="Q402" s="2" t="s">
        <v>47</v>
      </c>
    </row>
    <row r="403" spans="1:17" x14ac:dyDescent="0.25">
      <c r="A403" s="2" t="s">
        <v>1028</v>
      </c>
      <c r="B403" s="7">
        <v>45806</v>
      </c>
      <c r="C403" s="5" t="s">
        <v>24</v>
      </c>
      <c r="D403" s="5" t="s">
        <v>16</v>
      </c>
      <c r="E403" s="5" t="s">
        <v>295</v>
      </c>
      <c r="F403" s="2" t="s">
        <v>101</v>
      </c>
      <c r="G403" s="2">
        <v>11</v>
      </c>
      <c r="H403" s="25">
        <v>12380</v>
      </c>
      <c r="I403" s="8">
        <v>0</v>
      </c>
      <c r="J403" s="25">
        <v>136180</v>
      </c>
      <c r="K403" s="25">
        <f>G403*H403</f>
        <v>136180</v>
      </c>
      <c r="L403" s="8">
        <f>K403*I403/100</f>
        <v>0</v>
      </c>
      <c r="M403" s="2" t="s">
        <v>53</v>
      </c>
      <c r="N403" s="2" t="s">
        <v>344</v>
      </c>
      <c r="O403" s="2">
        <v>2025</v>
      </c>
      <c r="P403" s="2" t="str">
        <v>May</v>
      </c>
      <c r="Q403" s="2" t="s">
        <v>21</v>
      </c>
    </row>
    <row r="404" spans="1:17" x14ac:dyDescent="0.25">
      <c r="A404" s="2" t="s">
        <v>1030</v>
      </c>
      <c r="B404" s="7">
        <v>45769</v>
      </c>
      <c r="C404" s="5" t="s">
        <v>76</v>
      </c>
      <c r="D404" s="5" t="s">
        <v>33</v>
      </c>
      <c r="E404" s="5" t="s">
        <v>34</v>
      </c>
      <c r="F404" s="2" t="s">
        <v>290</v>
      </c>
      <c r="G404" s="2">
        <v>4</v>
      </c>
      <c r="H404" s="25">
        <v>530</v>
      </c>
      <c r="I404" s="8">
        <v>10</v>
      </c>
      <c r="J404" s="25">
        <v>1908</v>
      </c>
      <c r="K404" s="25">
        <f>G404*H404</f>
        <v>2120</v>
      </c>
      <c r="L404" s="8">
        <f>K404*I404/100</f>
        <v>212</v>
      </c>
      <c r="M404" s="2" t="s">
        <v>53</v>
      </c>
      <c r="N404" s="2" t="s">
        <v>68</v>
      </c>
      <c r="O404" s="2">
        <v>2025</v>
      </c>
      <c r="P404" s="2" t="str">
        <v>April</v>
      </c>
      <c r="Q404" s="2" t="s">
        <v>47</v>
      </c>
    </row>
    <row r="405" spans="1:17" x14ac:dyDescent="0.25">
      <c r="A405" s="2" t="s">
        <v>1032</v>
      </c>
      <c r="B405" s="7">
        <v>45782</v>
      </c>
      <c r="C405" s="5" t="s">
        <v>238</v>
      </c>
      <c r="D405" s="2" t="s">
        <v>51</v>
      </c>
      <c r="E405" s="2" t="s">
        <v>295</v>
      </c>
      <c r="F405" s="2" t="s">
        <v>314</v>
      </c>
      <c r="G405" s="2">
        <v>6</v>
      </c>
      <c r="H405" s="25">
        <v>3890</v>
      </c>
      <c r="I405" s="8">
        <v>15</v>
      </c>
      <c r="J405" s="25">
        <v>19839</v>
      </c>
      <c r="K405" s="25">
        <f>G405*H405</f>
        <v>23340</v>
      </c>
      <c r="L405" s="8">
        <f>K405*I405/100</f>
        <v>3501</v>
      </c>
      <c r="M405" s="2" t="s">
        <v>139</v>
      </c>
      <c r="N405" s="2" t="s">
        <v>176</v>
      </c>
      <c r="O405" s="2">
        <v>2025</v>
      </c>
      <c r="P405" s="2" t="str">
        <v>May</v>
      </c>
      <c r="Q405" s="2" t="s">
        <v>21</v>
      </c>
    </row>
    <row r="406" spans="1:17" x14ac:dyDescent="0.25">
      <c r="A406" s="2" t="s">
        <v>1033</v>
      </c>
      <c r="B406" s="7">
        <v>45659</v>
      </c>
      <c r="C406" s="5" t="s">
        <v>24</v>
      </c>
      <c r="D406" s="5" t="s">
        <v>16</v>
      </c>
      <c r="E406" s="5" t="s">
        <v>295</v>
      </c>
      <c r="F406" s="2" t="s">
        <v>219</v>
      </c>
      <c r="G406" s="2">
        <v>10</v>
      </c>
      <c r="H406" s="25">
        <v>9230</v>
      </c>
      <c r="I406" s="8">
        <v>0</v>
      </c>
      <c r="J406" s="25">
        <v>92300</v>
      </c>
      <c r="K406" s="25">
        <f>G406*H406</f>
        <v>92300</v>
      </c>
      <c r="L406" s="8">
        <f>K406*I406/100</f>
        <v>0</v>
      </c>
      <c r="M406" s="2" t="s">
        <v>94</v>
      </c>
      <c r="N406" s="2" t="s">
        <v>411</v>
      </c>
      <c r="O406" s="2">
        <v>2025</v>
      </c>
      <c r="P406" s="2" t="str">
        <v>January</v>
      </c>
      <c r="Q406" s="2" t="s">
        <v>47</v>
      </c>
    </row>
    <row r="407" spans="1:17" x14ac:dyDescent="0.25">
      <c r="A407" s="2" t="s">
        <v>1035</v>
      </c>
      <c r="B407" s="7">
        <v>45999</v>
      </c>
      <c r="C407" s="5" t="s">
        <v>135</v>
      </c>
      <c r="D407" s="5" t="s">
        <v>58</v>
      </c>
      <c r="E407" s="5" t="s">
        <v>179</v>
      </c>
      <c r="F407" s="2" t="s">
        <v>184</v>
      </c>
      <c r="G407" s="2">
        <v>9</v>
      </c>
      <c r="H407" s="25">
        <v>10130</v>
      </c>
      <c r="I407" s="8">
        <v>0</v>
      </c>
      <c r="J407" s="25">
        <v>91170</v>
      </c>
      <c r="K407" s="25">
        <f>G407*H407</f>
        <v>91170</v>
      </c>
      <c r="L407" s="8">
        <f>K407*I407/100</f>
        <v>0</v>
      </c>
      <c r="M407" s="2" t="s">
        <v>102</v>
      </c>
      <c r="N407" s="2" t="s">
        <v>883</v>
      </c>
      <c r="O407" s="2">
        <v>2025</v>
      </c>
      <c r="P407" s="2" t="str">
        <v>December</v>
      </c>
      <c r="Q407" s="2" t="s">
        <v>21</v>
      </c>
    </row>
    <row r="408" spans="1:17" x14ac:dyDescent="0.25">
      <c r="A408" s="2" t="s">
        <v>1037</v>
      </c>
      <c r="B408" s="7">
        <v>45916</v>
      </c>
      <c r="C408" s="5" t="s">
        <v>41</v>
      </c>
      <c r="D408" s="5" t="s">
        <v>42</v>
      </c>
      <c r="E408" s="5" t="s">
        <v>295</v>
      </c>
      <c r="F408" s="2" t="s">
        <v>132</v>
      </c>
      <c r="G408" s="2">
        <v>10</v>
      </c>
      <c r="H408" s="25">
        <v>9320</v>
      </c>
      <c r="I408" s="8">
        <v>0</v>
      </c>
      <c r="J408" s="25">
        <v>93200</v>
      </c>
      <c r="K408" s="25">
        <f>G408*H408</f>
        <v>93200</v>
      </c>
      <c r="L408" s="8">
        <f>K408*I408/100</f>
        <v>0</v>
      </c>
      <c r="M408" s="2" t="s">
        <v>53</v>
      </c>
      <c r="N408" s="2" t="s">
        <v>406</v>
      </c>
      <c r="O408" s="2">
        <v>2025</v>
      </c>
      <c r="P408" s="2" t="str">
        <v>September</v>
      </c>
      <c r="Q408" s="2" t="s">
        <v>47</v>
      </c>
    </row>
    <row r="409" spans="1:17" x14ac:dyDescent="0.25">
      <c r="A409" s="2" t="s">
        <v>1039</v>
      </c>
      <c r="B409" s="7">
        <v>46012</v>
      </c>
      <c r="C409" s="5" t="s">
        <v>238</v>
      </c>
      <c r="D409" s="5" t="s">
        <v>51</v>
      </c>
      <c r="E409" s="5" t="s">
        <v>148</v>
      </c>
      <c r="F409" s="2" t="s">
        <v>167</v>
      </c>
      <c r="G409" s="2">
        <v>2</v>
      </c>
      <c r="H409" s="25">
        <v>5700</v>
      </c>
      <c r="I409" s="8">
        <v>0</v>
      </c>
      <c r="J409" s="25">
        <v>11400</v>
      </c>
      <c r="K409" s="25">
        <f>G409*H409</f>
        <v>11400</v>
      </c>
      <c r="L409" s="8">
        <f>K409*I409/100</f>
        <v>0</v>
      </c>
      <c r="M409" s="2" t="s">
        <v>102</v>
      </c>
      <c r="N409" s="2" t="s">
        <v>266</v>
      </c>
      <c r="O409" s="2">
        <v>2025</v>
      </c>
      <c r="P409" s="2" t="str">
        <v>December</v>
      </c>
      <c r="Q409" s="2" t="s">
        <v>21</v>
      </c>
    </row>
    <row r="410" spans="1:17" x14ac:dyDescent="0.25">
      <c r="A410" s="2" t="s">
        <v>1041</v>
      </c>
      <c r="B410" s="7">
        <v>45857</v>
      </c>
      <c r="C410" s="5" t="s">
        <v>135</v>
      </c>
      <c r="D410" s="5" t="s">
        <v>58</v>
      </c>
      <c r="E410" s="5" t="s">
        <v>179</v>
      </c>
      <c r="F410" s="2" t="s">
        <v>83</v>
      </c>
      <c r="G410" s="2">
        <v>9</v>
      </c>
      <c r="H410" s="25">
        <v>17670</v>
      </c>
      <c r="I410" s="8">
        <v>0</v>
      </c>
      <c r="J410" s="25">
        <v>159030</v>
      </c>
      <c r="K410" s="25">
        <f>G410*H410</f>
        <v>159030</v>
      </c>
      <c r="L410" s="8">
        <f>K410*I410/100</f>
        <v>0</v>
      </c>
      <c r="M410" s="2" t="s">
        <v>102</v>
      </c>
      <c r="N410" s="2" t="s">
        <v>73</v>
      </c>
      <c r="O410" s="2">
        <v>2025</v>
      </c>
      <c r="P410" s="2" t="str">
        <v>July</v>
      </c>
      <c r="Q410" s="2" t="s">
        <v>21</v>
      </c>
    </row>
    <row r="411" spans="1:17" x14ac:dyDescent="0.25">
      <c r="A411" s="2" t="s">
        <v>1043</v>
      </c>
      <c r="B411" s="7">
        <v>45874</v>
      </c>
      <c r="C411" s="5" t="s">
        <v>156</v>
      </c>
      <c r="D411" s="5" t="s">
        <v>51</v>
      </c>
      <c r="E411" s="5" t="s">
        <v>148</v>
      </c>
      <c r="F411" s="2" t="s">
        <v>60</v>
      </c>
      <c r="G411" s="2">
        <v>7</v>
      </c>
      <c r="H411" s="25">
        <v>1100</v>
      </c>
      <c r="I411" s="8">
        <v>0</v>
      </c>
      <c r="J411" s="25">
        <v>7700</v>
      </c>
      <c r="K411" s="25">
        <f>G411*H411</f>
        <v>7700</v>
      </c>
      <c r="L411" s="8">
        <f>K411*I411/100</f>
        <v>0</v>
      </c>
      <c r="M411" s="2" t="s">
        <v>139</v>
      </c>
      <c r="N411" s="2" t="s">
        <v>46</v>
      </c>
      <c r="O411" s="2">
        <v>2025</v>
      </c>
      <c r="P411" s="2" t="str">
        <v>August</v>
      </c>
      <c r="Q411" s="2" t="s">
        <v>47</v>
      </c>
    </row>
    <row r="412" spans="1:17" x14ac:dyDescent="0.25">
      <c r="A412" s="2" t="s">
        <v>1045</v>
      </c>
      <c r="B412" s="7">
        <v>45707</v>
      </c>
      <c r="C412" s="5" t="s">
        <v>238</v>
      </c>
      <c r="D412" s="5" t="s">
        <v>51</v>
      </c>
      <c r="E412" s="5" t="s">
        <v>148</v>
      </c>
      <c r="F412" s="2" t="s">
        <v>149</v>
      </c>
      <c r="G412" s="2">
        <v>10</v>
      </c>
      <c r="H412" s="25">
        <v>49970</v>
      </c>
      <c r="I412" s="8">
        <v>15</v>
      </c>
      <c r="J412" s="25">
        <v>424745</v>
      </c>
      <c r="K412" s="25">
        <f>G412*H412</f>
        <v>499700</v>
      </c>
      <c r="L412" s="8">
        <f>K412*I412/100</f>
        <v>74955</v>
      </c>
      <c r="M412" s="2" t="s">
        <v>53</v>
      </c>
      <c r="N412" s="2" t="s">
        <v>344</v>
      </c>
      <c r="O412" s="2">
        <v>2025</v>
      </c>
      <c r="P412" s="2" t="str">
        <v>February</v>
      </c>
      <c r="Q412" s="2" t="s">
        <v>47</v>
      </c>
    </row>
    <row r="413" spans="1:17" x14ac:dyDescent="0.25">
      <c r="A413" s="2" t="s">
        <v>1047</v>
      </c>
      <c r="B413" s="7">
        <v>45924</v>
      </c>
      <c r="C413" s="5" t="s">
        <v>135</v>
      </c>
      <c r="D413" s="5" t="s">
        <v>58</v>
      </c>
      <c r="E413" s="5" t="s">
        <v>295</v>
      </c>
      <c r="F413" s="2" t="s">
        <v>132</v>
      </c>
      <c r="G413" s="2">
        <v>4</v>
      </c>
      <c r="H413" s="25">
        <v>3510</v>
      </c>
      <c r="I413" s="8">
        <v>0</v>
      </c>
      <c r="J413" s="25">
        <v>14040</v>
      </c>
      <c r="K413" s="25">
        <f>G413*H413</f>
        <v>14040</v>
      </c>
      <c r="L413" s="8">
        <f>K413*I413/100</f>
        <v>0</v>
      </c>
      <c r="M413" s="2" t="s">
        <v>139</v>
      </c>
      <c r="N413" s="2" t="s">
        <v>37</v>
      </c>
      <c r="O413" s="2">
        <v>2025</v>
      </c>
      <c r="P413" s="2" t="str">
        <v>September</v>
      </c>
      <c r="Q413" s="2" t="s">
        <v>47</v>
      </c>
    </row>
    <row r="414" spans="1:17" x14ac:dyDescent="0.25">
      <c r="A414" s="2" t="s">
        <v>1050</v>
      </c>
      <c r="B414" s="7">
        <v>45993</v>
      </c>
      <c r="C414" s="5" t="s">
        <v>135</v>
      </c>
      <c r="D414" s="5" t="s">
        <v>58</v>
      </c>
      <c r="E414" s="5" t="s">
        <v>295</v>
      </c>
      <c r="F414" s="2" t="s">
        <v>296</v>
      </c>
      <c r="G414" s="2">
        <v>9</v>
      </c>
      <c r="H414" s="25">
        <v>66580</v>
      </c>
      <c r="I414" s="8">
        <v>10</v>
      </c>
      <c r="J414" s="25">
        <v>539298</v>
      </c>
      <c r="K414" s="25">
        <f>G414*H414</f>
        <v>599220</v>
      </c>
      <c r="L414" s="8">
        <f>K414*I414/100</f>
        <v>59922</v>
      </c>
      <c r="M414" s="2" t="s">
        <v>53</v>
      </c>
      <c r="N414" s="2" t="s">
        <v>266</v>
      </c>
      <c r="O414" s="2">
        <v>2025</v>
      </c>
      <c r="P414" s="2" t="str">
        <v>December</v>
      </c>
      <c r="Q414" s="2" t="s">
        <v>47</v>
      </c>
    </row>
    <row r="415" spans="1:17" x14ac:dyDescent="0.25">
      <c r="A415" s="2" t="s">
        <v>1052</v>
      </c>
      <c r="B415" s="7">
        <v>45670</v>
      </c>
      <c r="C415" s="5" t="s">
        <v>76</v>
      </c>
      <c r="D415" s="5" t="s">
        <v>33</v>
      </c>
      <c r="E415" s="5" t="s">
        <v>25</v>
      </c>
      <c r="F415" s="2" t="s">
        <v>93</v>
      </c>
      <c r="G415" s="2">
        <v>5</v>
      </c>
      <c r="H415" s="25">
        <v>1200</v>
      </c>
      <c r="I415" s="8">
        <v>0</v>
      </c>
      <c r="J415" s="25">
        <v>6000</v>
      </c>
      <c r="K415" s="25">
        <f>G415*H415</f>
        <v>6000</v>
      </c>
      <c r="L415" s="8">
        <f>K415*I415/100</f>
        <v>0</v>
      </c>
      <c r="M415" s="2" t="s">
        <v>102</v>
      </c>
      <c r="N415" s="2" t="s">
        <v>188</v>
      </c>
      <c r="O415" s="2">
        <v>2025</v>
      </c>
      <c r="P415" s="2" t="str">
        <v>January</v>
      </c>
      <c r="Q415" s="2" t="s">
        <v>21</v>
      </c>
    </row>
    <row r="416" spans="1:17" x14ac:dyDescent="0.25">
      <c r="A416" s="2" t="s">
        <v>1054</v>
      </c>
      <c r="B416" s="7">
        <v>45749</v>
      </c>
      <c r="C416" s="5" t="s">
        <v>41</v>
      </c>
      <c r="D416" s="5" t="s">
        <v>42</v>
      </c>
      <c r="E416" s="5" t="s">
        <v>25</v>
      </c>
      <c r="F416" s="2" t="s">
        <v>26</v>
      </c>
      <c r="G416" s="2">
        <v>12</v>
      </c>
      <c r="H416" s="25">
        <v>12400</v>
      </c>
      <c r="I416" s="8">
        <v>5</v>
      </c>
      <c r="J416" s="25">
        <v>141360</v>
      </c>
      <c r="K416" s="25">
        <f>G416*H416</f>
        <v>148800</v>
      </c>
      <c r="L416" s="8">
        <f>K416*I416/100</f>
        <v>7440</v>
      </c>
      <c r="M416" s="2" t="s">
        <v>94</v>
      </c>
      <c r="N416" s="2" t="s">
        <v>176</v>
      </c>
      <c r="O416" s="2">
        <v>2025</v>
      </c>
      <c r="P416" s="2" t="str">
        <v>April</v>
      </c>
      <c r="Q416" s="2" t="s">
        <v>21</v>
      </c>
    </row>
    <row r="417" spans="1:17" x14ac:dyDescent="0.25">
      <c r="A417" s="2" t="s">
        <v>1056</v>
      </c>
      <c r="B417" s="7">
        <v>45690</v>
      </c>
      <c r="C417" s="5" t="s">
        <v>156</v>
      </c>
      <c r="D417" s="5" t="s">
        <v>51</v>
      </c>
      <c r="E417" s="5" t="s">
        <v>25</v>
      </c>
      <c r="F417" s="2" t="s">
        <v>44</v>
      </c>
      <c r="G417" s="2">
        <v>7</v>
      </c>
      <c r="H417" s="25">
        <v>10880</v>
      </c>
      <c r="I417" s="8">
        <v>0</v>
      </c>
      <c r="J417" s="25">
        <v>76160</v>
      </c>
      <c r="K417" s="25">
        <f>G417*H417</f>
        <v>76160</v>
      </c>
      <c r="L417" s="8">
        <f>K417*I417/100</f>
        <v>0</v>
      </c>
      <c r="M417" s="2" t="s">
        <v>102</v>
      </c>
      <c r="N417" s="2" t="s">
        <v>68</v>
      </c>
      <c r="O417" s="2">
        <v>2025</v>
      </c>
      <c r="P417" s="2" t="str">
        <v>February</v>
      </c>
      <c r="Q417" s="2" t="s">
        <v>47</v>
      </c>
    </row>
    <row r="418" spans="1:17" x14ac:dyDescent="0.25">
      <c r="A418" s="2" t="s">
        <v>1057</v>
      </c>
      <c r="B418" s="7">
        <v>45981</v>
      </c>
      <c r="C418" s="5" t="s">
        <v>135</v>
      </c>
      <c r="D418" s="5" t="s">
        <v>51</v>
      </c>
      <c r="E418" s="5" t="s">
        <v>25</v>
      </c>
      <c r="F418" s="2" t="s">
        <v>106</v>
      </c>
      <c r="G418" s="2">
        <v>1</v>
      </c>
      <c r="H418" s="25">
        <v>18250</v>
      </c>
      <c r="I418" s="8">
        <v>0</v>
      </c>
      <c r="J418" s="25">
        <v>18250</v>
      </c>
      <c r="K418" s="25">
        <f>G418*H418</f>
        <v>18250</v>
      </c>
      <c r="L418" s="8">
        <f>K418*I418/100</f>
        <v>0</v>
      </c>
      <c r="M418" s="2" t="s">
        <v>94</v>
      </c>
      <c r="N418" s="2" t="s">
        <v>176</v>
      </c>
      <c r="O418" s="2">
        <v>2025</v>
      </c>
      <c r="P418" s="2" t="str">
        <v>November</v>
      </c>
      <c r="Q418" s="2" t="s">
        <v>21</v>
      </c>
    </row>
    <row r="419" spans="1:17" x14ac:dyDescent="0.25">
      <c r="A419" s="2" t="s">
        <v>1059</v>
      </c>
      <c r="B419" s="7">
        <v>45765</v>
      </c>
      <c r="C419" s="5" t="s">
        <v>156</v>
      </c>
      <c r="D419" s="5" t="s">
        <v>51</v>
      </c>
      <c r="E419" s="5" t="s">
        <v>148</v>
      </c>
      <c r="F419" s="2" t="s">
        <v>252</v>
      </c>
      <c r="G419" s="2">
        <v>1</v>
      </c>
      <c r="H419" s="25">
        <v>490</v>
      </c>
      <c r="I419" s="8">
        <v>15</v>
      </c>
      <c r="J419" s="25">
        <v>416.5</v>
      </c>
      <c r="K419" s="25">
        <f>G419*H419</f>
        <v>490</v>
      </c>
      <c r="L419" s="8">
        <f>K419*I419/100</f>
        <v>73.5</v>
      </c>
      <c r="M419" s="2" t="s">
        <v>94</v>
      </c>
      <c r="N419" s="2" t="s">
        <v>411</v>
      </c>
      <c r="O419" s="2">
        <v>2025</v>
      </c>
      <c r="P419" s="2" t="str">
        <v>April</v>
      </c>
      <c r="Q419" s="2" t="s">
        <v>21</v>
      </c>
    </row>
    <row r="420" spans="1:17" x14ac:dyDescent="0.25">
      <c r="A420" s="2" t="s">
        <v>1062</v>
      </c>
      <c r="B420" s="7">
        <v>45911</v>
      </c>
      <c r="C420" s="5" t="s">
        <v>32</v>
      </c>
      <c r="D420" s="5" t="s">
        <v>33</v>
      </c>
      <c r="E420" s="5" t="s">
        <v>25</v>
      </c>
      <c r="F420" s="2" t="s">
        <v>248</v>
      </c>
      <c r="G420" s="2">
        <v>6</v>
      </c>
      <c r="H420" s="25">
        <v>3470</v>
      </c>
      <c r="I420" s="8">
        <v>0</v>
      </c>
      <c r="J420" s="25">
        <v>20820</v>
      </c>
      <c r="K420" s="25">
        <f>G420*H420</f>
        <v>20820</v>
      </c>
      <c r="L420" s="8">
        <f>K420*I420/100</f>
        <v>0</v>
      </c>
      <c r="M420" s="2" t="s">
        <v>139</v>
      </c>
      <c r="N420" s="2" t="s">
        <v>341</v>
      </c>
      <c r="O420" s="2">
        <v>2025</v>
      </c>
      <c r="P420" s="2" t="str">
        <v>September</v>
      </c>
      <c r="Q420" s="2" t="s">
        <v>21</v>
      </c>
    </row>
    <row r="421" spans="1:17" x14ac:dyDescent="0.25">
      <c r="A421" s="2" t="s">
        <v>1064</v>
      </c>
      <c r="B421" s="7">
        <v>46022</v>
      </c>
      <c r="C421" s="5" t="s">
        <v>41</v>
      </c>
      <c r="D421" s="5" t="s">
        <v>42</v>
      </c>
      <c r="E421" s="5" t="s">
        <v>148</v>
      </c>
      <c r="F421" s="2" t="s">
        <v>209</v>
      </c>
      <c r="G421" s="2">
        <v>1</v>
      </c>
      <c r="H421" s="25">
        <v>9210</v>
      </c>
      <c r="I421" s="8">
        <v>0</v>
      </c>
      <c r="J421" s="25">
        <v>9210</v>
      </c>
      <c r="K421" s="25">
        <f>G421*H421</f>
        <v>9210</v>
      </c>
      <c r="L421" s="8">
        <f>K421*I421/100</f>
        <v>0</v>
      </c>
      <c r="M421" s="2" t="s">
        <v>94</v>
      </c>
      <c r="N421" s="2" t="s">
        <v>176</v>
      </c>
      <c r="O421" s="2">
        <v>2025</v>
      </c>
      <c r="P421" s="2" t="str">
        <v>December</v>
      </c>
      <c r="Q421" s="2" t="s">
        <v>21</v>
      </c>
    </row>
    <row r="422" spans="1:17" x14ac:dyDescent="0.25">
      <c r="A422" s="2" t="s">
        <v>1066</v>
      </c>
      <c r="B422" s="7">
        <v>45860</v>
      </c>
      <c r="C422" s="5" t="s">
        <v>24</v>
      </c>
      <c r="D422" s="5" t="s">
        <v>16</v>
      </c>
      <c r="E422" s="5" t="s">
        <v>179</v>
      </c>
      <c r="F422" s="2" t="s">
        <v>78</v>
      </c>
      <c r="G422" s="2">
        <v>7</v>
      </c>
      <c r="H422" s="25">
        <v>16310</v>
      </c>
      <c r="I422" s="8">
        <v>15</v>
      </c>
      <c r="J422" s="25">
        <v>97044.5</v>
      </c>
      <c r="K422" s="25">
        <f>G422*H422</f>
        <v>114170</v>
      </c>
      <c r="L422" s="8">
        <f>K422*I422/100</f>
        <v>17125.5</v>
      </c>
      <c r="M422" s="2" t="s">
        <v>53</v>
      </c>
      <c r="N422" s="2" t="s">
        <v>168</v>
      </c>
      <c r="O422" s="2">
        <v>2025</v>
      </c>
      <c r="P422" s="2" t="str">
        <v>July</v>
      </c>
      <c r="Q422" s="2" t="s">
        <v>47</v>
      </c>
    </row>
    <row r="423" spans="1:17" x14ac:dyDescent="0.25">
      <c r="A423" s="2" t="s">
        <v>1068</v>
      </c>
      <c r="B423" s="7">
        <v>45797</v>
      </c>
      <c r="C423" s="5" t="s">
        <v>41</v>
      </c>
      <c r="D423" s="5" t="s">
        <v>42</v>
      </c>
      <c r="E423" s="5" t="s">
        <v>179</v>
      </c>
      <c r="F423" s="2" t="s">
        <v>239</v>
      </c>
      <c r="G423" s="2">
        <v>3</v>
      </c>
      <c r="H423" s="25">
        <v>24990</v>
      </c>
      <c r="I423" s="8">
        <v>10</v>
      </c>
      <c r="J423" s="25">
        <v>67473</v>
      </c>
      <c r="K423" s="25">
        <f>G423*H423</f>
        <v>74970</v>
      </c>
      <c r="L423" s="8">
        <f>K423*I423/100</f>
        <v>7497</v>
      </c>
      <c r="M423" s="2" t="s">
        <v>139</v>
      </c>
      <c r="N423" s="2" t="s">
        <v>54</v>
      </c>
      <c r="O423" s="2">
        <v>2025</v>
      </c>
      <c r="P423" s="2" t="str">
        <v>May</v>
      </c>
      <c r="Q423" s="2" t="s">
        <v>21</v>
      </c>
    </row>
    <row r="424" spans="1:17" x14ac:dyDescent="0.25">
      <c r="A424" s="2" t="s">
        <v>1071</v>
      </c>
      <c r="B424" s="7">
        <v>45723</v>
      </c>
      <c r="C424" s="5" t="s">
        <v>135</v>
      </c>
      <c r="D424" s="5" t="s">
        <v>58</v>
      </c>
      <c r="E424" s="5" t="s">
        <v>25</v>
      </c>
      <c r="F424" s="2" t="s">
        <v>26</v>
      </c>
      <c r="G424" s="2">
        <v>1</v>
      </c>
      <c r="H424" s="25">
        <v>65950</v>
      </c>
      <c r="I424" s="8">
        <v>0</v>
      </c>
      <c r="J424" s="25">
        <v>65950</v>
      </c>
      <c r="K424" s="25">
        <f>G424*H424</f>
        <v>65950</v>
      </c>
      <c r="L424" s="8">
        <f>K424*I424/100</f>
        <v>0</v>
      </c>
      <c r="M424" s="2" t="s">
        <v>94</v>
      </c>
      <c r="N424" s="2" t="s">
        <v>266</v>
      </c>
      <c r="O424" s="2">
        <v>2025</v>
      </c>
      <c r="P424" s="2" t="str">
        <v>March</v>
      </c>
      <c r="Q424" s="2" t="s">
        <v>47</v>
      </c>
    </row>
    <row r="425" spans="1:17" x14ac:dyDescent="0.25">
      <c r="A425" s="2" t="s">
        <v>1073</v>
      </c>
      <c r="B425" s="7">
        <v>45820</v>
      </c>
      <c r="C425" s="5" t="s">
        <v>156</v>
      </c>
      <c r="D425" s="5" t="s">
        <v>51</v>
      </c>
      <c r="E425" s="5" t="s">
        <v>34</v>
      </c>
      <c r="F425" s="2" t="s">
        <v>35</v>
      </c>
      <c r="G425" s="2">
        <v>2</v>
      </c>
      <c r="H425" s="25">
        <v>2310</v>
      </c>
      <c r="I425" s="8">
        <v>0</v>
      </c>
      <c r="J425" s="25">
        <v>4620</v>
      </c>
      <c r="K425" s="25">
        <f>G425*H425</f>
        <v>4620</v>
      </c>
      <c r="L425" s="8">
        <f>K425*I425/100</f>
        <v>0</v>
      </c>
      <c r="M425" s="2" t="s">
        <v>94</v>
      </c>
      <c r="N425" s="2" t="s">
        <v>168</v>
      </c>
      <c r="O425" s="2">
        <v>2025</v>
      </c>
      <c r="P425" s="2" t="str">
        <v>June</v>
      </c>
      <c r="Q425" s="2" t="s">
        <v>47</v>
      </c>
    </row>
    <row r="426" spans="1:17" x14ac:dyDescent="0.25">
      <c r="A426" s="2" t="s">
        <v>1074</v>
      </c>
      <c r="B426" s="7">
        <v>45931</v>
      </c>
      <c r="C426" s="5" t="s">
        <v>156</v>
      </c>
      <c r="D426" s="5" t="s">
        <v>51</v>
      </c>
      <c r="E426" s="5" t="s">
        <v>34</v>
      </c>
      <c r="F426" s="2" t="s">
        <v>199</v>
      </c>
      <c r="G426" s="2">
        <v>5</v>
      </c>
      <c r="H426" s="25">
        <v>2290</v>
      </c>
      <c r="I426" s="8">
        <v>0</v>
      </c>
      <c r="J426" s="25">
        <v>11450</v>
      </c>
      <c r="K426" s="25">
        <f>G426*H426</f>
        <v>11450</v>
      </c>
      <c r="L426" s="8">
        <f>K426*I426/100</f>
        <v>0</v>
      </c>
      <c r="M426" s="2" t="s">
        <v>139</v>
      </c>
      <c r="N426" s="2" t="s">
        <v>411</v>
      </c>
      <c r="O426" s="2">
        <v>2025</v>
      </c>
      <c r="P426" s="2" t="str">
        <v>October</v>
      </c>
      <c r="Q426" s="2" t="s">
        <v>21</v>
      </c>
    </row>
    <row r="427" spans="1:17" x14ac:dyDescent="0.25">
      <c r="A427" s="2" t="s">
        <v>1076</v>
      </c>
      <c r="B427" s="7">
        <v>45728</v>
      </c>
      <c r="C427" s="5" t="s">
        <v>76</v>
      </c>
      <c r="D427" s="5" t="s">
        <v>33</v>
      </c>
      <c r="E427" s="5" t="s">
        <v>179</v>
      </c>
      <c r="F427" s="2" t="s">
        <v>435</v>
      </c>
      <c r="G427" s="2">
        <v>9</v>
      </c>
      <c r="H427" s="25">
        <v>4510</v>
      </c>
      <c r="I427" s="8">
        <v>0</v>
      </c>
      <c r="J427" s="25">
        <v>40590</v>
      </c>
      <c r="K427" s="25">
        <f>G427*H427</f>
        <v>40590</v>
      </c>
      <c r="L427" s="8">
        <f>K427*I427/100</f>
        <v>0</v>
      </c>
      <c r="M427" s="2" t="s">
        <v>102</v>
      </c>
      <c r="N427" s="2" t="s">
        <v>79</v>
      </c>
      <c r="O427" s="2">
        <v>2025</v>
      </c>
      <c r="P427" s="2" t="str">
        <v>March</v>
      </c>
      <c r="Q427" s="2" t="s">
        <v>21</v>
      </c>
    </row>
    <row r="428" spans="1:17" x14ac:dyDescent="0.25">
      <c r="A428" s="2" t="s">
        <v>1078</v>
      </c>
      <c r="B428" s="7">
        <v>45971</v>
      </c>
      <c r="C428" s="5" t="s">
        <v>76</v>
      </c>
      <c r="D428" s="5" t="s">
        <v>33</v>
      </c>
      <c r="E428" s="5" t="s">
        <v>179</v>
      </c>
      <c r="F428" s="2" t="s">
        <v>143</v>
      </c>
      <c r="G428" s="2">
        <v>8</v>
      </c>
      <c r="H428" s="25">
        <v>18780</v>
      </c>
      <c r="I428" s="8">
        <v>0</v>
      </c>
      <c r="J428" s="25">
        <v>150240</v>
      </c>
      <c r="K428" s="25">
        <f>G428*H428</f>
        <v>150240</v>
      </c>
      <c r="L428" s="8">
        <f>K428*I428/100</f>
        <v>0</v>
      </c>
      <c r="M428" s="2" t="s">
        <v>94</v>
      </c>
      <c r="N428" s="2" t="s">
        <v>37</v>
      </c>
      <c r="O428" s="2">
        <v>2025</v>
      </c>
      <c r="P428" s="2" t="str">
        <v>November</v>
      </c>
      <c r="Q428" s="2" t="s">
        <v>47</v>
      </c>
    </row>
    <row r="429" spans="1:17" x14ac:dyDescent="0.25">
      <c r="A429" s="2" t="s">
        <v>1080</v>
      </c>
      <c r="B429" s="7">
        <v>45807</v>
      </c>
      <c r="C429" s="5" t="s">
        <v>41</v>
      </c>
      <c r="D429" s="5" t="s">
        <v>42</v>
      </c>
      <c r="E429" s="5" t="s">
        <v>25</v>
      </c>
      <c r="F429" s="2" t="s">
        <v>248</v>
      </c>
      <c r="G429" s="2">
        <v>6</v>
      </c>
      <c r="H429" s="25">
        <v>530</v>
      </c>
      <c r="I429" s="8">
        <v>0</v>
      </c>
      <c r="J429" s="25">
        <v>3180</v>
      </c>
      <c r="K429" s="25">
        <f>G429*H429</f>
        <v>3180</v>
      </c>
      <c r="L429" s="8">
        <f>K429*I429/100</f>
        <v>0</v>
      </c>
      <c r="M429" s="2" t="s">
        <v>53</v>
      </c>
      <c r="N429" s="2" t="s">
        <v>406</v>
      </c>
      <c r="O429" s="2">
        <v>2025</v>
      </c>
      <c r="P429" s="2" t="str">
        <v>May</v>
      </c>
      <c r="Q429" s="2" t="s">
        <v>21</v>
      </c>
    </row>
    <row r="430" spans="1:17" x14ac:dyDescent="0.25">
      <c r="A430" s="2" t="s">
        <v>1082</v>
      </c>
      <c r="B430" s="7">
        <v>45903</v>
      </c>
      <c r="C430" s="5" t="s">
        <v>156</v>
      </c>
      <c r="D430" s="5" t="s">
        <v>51</v>
      </c>
      <c r="E430" s="5" t="s">
        <v>295</v>
      </c>
      <c r="F430" s="2" t="s">
        <v>101</v>
      </c>
      <c r="G430" s="2">
        <v>1</v>
      </c>
      <c r="H430" s="25">
        <v>3260</v>
      </c>
      <c r="I430" s="8">
        <v>0</v>
      </c>
      <c r="J430" s="25">
        <v>3260</v>
      </c>
      <c r="K430" s="25">
        <f>G430*H430</f>
        <v>3260</v>
      </c>
      <c r="L430" s="8">
        <f>K430*I430/100</f>
        <v>0</v>
      </c>
      <c r="M430" s="2" t="s">
        <v>139</v>
      </c>
      <c r="N430" s="2" t="s">
        <v>73</v>
      </c>
      <c r="O430" s="2">
        <v>2025</v>
      </c>
      <c r="P430" s="2" t="str">
        <v>September</v>
      </c>
      <c r="Q430" s="2" t="s">
        <v>47</v>
      </c>
    </row>
    <row r="431" spans="1:17" x14ac:dyDescent="0.25">
      <c r="A431" s="2" t="s">
        <v>1084</v>
      </c>
      <c r="B431" s="7">
        <v>45912</v>
      </c>
      <c r="C431" s="5" t="s">
        <v>24</v>
      </c>
      <c r="D431" s="5" t="s">
        <v>16</v>
      </c>
      <c r="E431" s="5" t="s">
        <v>148</v>
      </c>
      <c r="F431" s="2" t="s">
        <v>252</v>
      </c>
      <c r="G431" s="2">
        <v>8</v>
      </c>
      <c r="H431" s="25">
        <v>13120</v>
      </c>
      <c r="I431" s="8">
        <v>0</v>
      </c>
      <c r="J431" s="25">
        <v>104960</v>
      </c>
      <c r="K431" s="25">
        <f>G431*H431</f>
        <v>104960</v>
      </c>
      <c r="L431" s="8">
        <f>K431*I431/100</f>
        <v>0</v>
      </c>
      <c r="M431" s="2" t="s">
        <v>94</v>
      </c>
      <c r="N431" s="2" t="s">
        <v>188</v>
      </c>
      <c r="O431" s="2">
        <v>2025</v>
      </c>
      <c r="P431" s="2" t="str">
        <v>September</v>
      </c>
      <c r="Q431" s="2" t="s">
        <v>47</v>
      </c>
    </row>
    <row r="432" spans="1:17" x14ac:dyDescent="0.25">
      <c r="A432" s="2" t="s">
        <v>1087</v>
      </c>
      <c r="B432" s="7">
        <v>45843</v>
      </c>
      <c r="C432" s="5" t="s">
        <v>76</v>
      </c>
      <c r="D432" s="5" t="s">
        <v>33</v>
      </c>
      <c r="E432" s="5" t="s">
        <v>25</v>
      </c>
      <c r="F432" s="2" t="s">
        <v>93</v>
      </c>
      <c r="G432" s="2">
        <v>9</v>
      </c>
      <c r="H432" s="25">
        <v>28000</v>
      </c>
      <c r="I432" s="8">
        <v>0</v>
      </c>
      <c r="J432" s="25">
        <v>252000</v>
      </c>
      <c r="K432" s="25">
        <f>G432*H432</f>
        <v>252000</v>
      </c>
      <c r="L432" s="8">
        <f>K432*I432/100</f>
        <v>0</v>
      </c>
      <c r="M432" s="2" t="s">
        <v>94</v>
      </c>
      <c r="N432" s="2" t="s">
        <v>37</v>
      </c>
      <c r="O432" s="2">
        <v>2025</v>
      </c>
      <c r="P432" s="2" t="str">
        <v>July</v>
      </c>
      <c r="Q432" s="2" t="s">
        <v>21</v>
      </c>
    </row>
    <row r="433" spans="1:17" x14ac:dyDescent="0.25">
      <c r="A433" s="2" t="s">
        <v>1090</v>
      </c>
      <c r="B433" s="7">
        <v>45707</v>
      </c>
      <c r="C433" s="5" t="s">
        <v>135</v>
      </c>
      <c r="D433" s="5" t="s">
        <v>58</v>
      </c>
      <c r="E433" s="5" t="s">
        <v>295</v>
      </c>
      <c r="F433" s="2" t="s">
        <v>66</v>
      </c>
      <c r="G433" s="2">
        <v>1</v>
      </c>
      <c r="H433" s="25">
        <v>5440</v>
      </c>
      <c r="I433" s="8">
        <v>0</v>
      </c>
      <c r="J433" s="25">
        <v>5440</v>
      </c>
      <c r="K433" s="25">
        <f>G433*H433</f>
        <v>5440</v>
      </c>
      <c r="L433" s="8">
        <f>K433*I433/100</f>
        <v>0</v>
      </c>
      <c r="M433" s="2" t="s">
        <v>53</v>
      </c>
      <c r="N433" s="2" t="s">
        <v>37</v>
      </c>
      <c r="O433" s="2">
        <v>2025</v>
      </c>
      <c r="P433" s="2" t="str">
        <v>February</v>
      </c>
      <c r="Q433" s="2" t="s">
        <v>21</v>
      </c>
    </row>
    <row r="434" spans="1:17" x14ac:dyDescent="0.25">
      <c r="A434" s="2" t="s">
        <v>1092</v>
      </c>
      <c r="B434" s="7">
        <v>45802</v>
      </c>
      <c r="C434" s="5" t="s">
        <v>135</v>
      </c>
      <c r="D434" s="5" t="s">
        <v>58</v>
      </c>
      <c r="E434" s="5" t="s">
        <v>148</v>
      </c>
      <c r="F434" s="2" t="s">
        <v>167</v>
      </c>
      <c r="G434" s="2">
        <v>10</v>
      </c>
      <c r="H434" s="25">
        <v>470</v>
      </c>
      <c r="I434" s="8">
        <v>10</v>
      </c>
      <c r="J434" s="25">
        <v>4230</v>
      </c>
      <c r="K434" s="25">
        <f>G434*H434</f>
        <v>4700</v>
      </c>
      <c r="L434" s="8">
        <f>K434*I434/100</f>
        <v>470</v>
      </c>
      <c r="M434" s="2" t="s">
        <v>139</v>
      </c>
      <c r="N434" s="2" t="s">
        <v>168</v>
      </c>
      <c r="O434" s="2">
        <v>2025</v>
      </c>
      <c r="P434" s="2" t="str">
        <v>May</v>
      </c>
      <c r="Q434" s="2" t="s">
        <v>21</v>
      </c>
    </row>
    <row r="435" spans="1:17" x14ac:dyDescent="0.25">
      <c r="A435" s="2" t="s">
        <v>1093</v>
      </c>
      <c r="B435" s="7">
        <v>46013</v>
      </c>
      <c r="C435" s="5" t="s">
        <v>24</v>
      </c>
      <c r="D435" s="5" t="s">
        <v>16</v>
      </c>
      <c r="E435" s="5" t="s">
        <v>148</v>
      </c>
      <c r="F435" s="2" t="s">
        <v>209</v>
      </c>
      <c r="G435" s="2">
        <v>10</v>
      </c>
      <c r="H435" s="25">
        <v>19860</v>
      </c>
      <c r="I435" s="8">
        <v>10</v>
      </c>
      <c r="J435" s="25">
        <v>178740</v>
      </c>
      <c r="K435" s="25">
        <f>G435*H435</f>
        <v>198600</v>
      </c>
      <c r="L435" s="8">
        <f>K435*I435/100</f>
        <v>19860</v>
      </c>
      <c r="M435" s="2" t="s">
        <v>53</v>
      </c>
      <c r="N435" s="2" t="s">
        <v>176</v>
      </c>
      <c r="O435" s="2">
        <v>2025</v>
      </c>
      <c r="P435" s="2" t="str">
        <v>December</v>
      </c>
      <c r="Q435" s="2" t="s">
        <v>47</v>
      </c>
    </row>
    <row r="436" spans="1:17" x14ac:dyDescent="0.25">
      <c r="A436" s="2" t="s">
        <v>1095</v>
      </c>
      <c r="B436" s="7">
        <v>45696</v>
      </c>
      <c r="C436" s="5" t="s">
        <v>24</v>
      </c>
      <c r="D436" s="5" t="s">
        <v>16</v>
      </c>
      <c r="E436" s="5" t="s">
        <v>295</v>
      </c>
      <c r="F436" s="2" t="s">
        <v>219</v>
      </c>
      <c r="G436" s="2">
        <v>12</v>
      </c>
      <c r="H436" s="25">
        <v>1370</v>
      </c>
      <c r="I436" s="8">
        <v>0</v>
      </c>
      <c r="J436" s="25">
        <v>16440</v>
      </c>
      <c r="K436" s="25">
        <f>G436*H436</f>
        <v>16440</v>
      </c>
      <c r="L436" s="8">
        <f>K436*I436/100</f>
        <v>0</v>
      </c>
      <c r="M436" s="2" t="s">
        <v>139</v>
      </c>
      <c r="N436" s="2" t="s">
        <v>344</v>
      </c>
      <c r="O436" s="2">
        <v>2025</v>
      </c>
      <c r="P436" s="2" t="str">
        <v>February</v>
      </c>
      <c r="Q436" s="2" t="s">
        <v>21</v>
      </c>
    </row>
    <row r="437" spans="1:17" x14ac:dyDescent="0.25">
      <c r="A437" s="2" t="s">
        <v>1096</v>
      </c>
      <c r="B437" s="7">
        <v>45955</v>
      </c>
      <c r="C437" s="5" t="s">
        <v>32</v>
      </c>
      <c r="D437" s="5" t="s">
        <v>33</v>
      </c>
      <c r="E437" s="5" t="s">
        <v>179</v>
      </c>
      <c r="F437" s="2" t="s">
        <v>239</v>
      </c>
      <c r="G437" s="2">
        <v>1</v>
      </c>
      <c r="H437" s="25">
        <v>59730</v>
      </c>
      <c r="I437" s="8">
        <v>0</v>
      </c>
      <c r="J437" s="25">
        <v>59730</v>
      </c>
      <c r="K437" s="25">
        <f>G437*H437</f>
        <v>59730</v>
      </c>
      <c r="L437" s="8">
        <f>K437*I437/100</f>
        <v>0</v>
      </c>
      <c r="M437" s="2" t="s">
        <v>53</v>
      </c>
      <c r="N437" s="2" t="s">
        <v>883</v>
      </c>
      <c r="O437" s="2">
        <v>2025</v>
      </c>
      <c r="P437" s="2" t="str">
        <v>October</v>
      </c>
      <c r="Q437" s="2" t="s">
        <v>47</v>
      </c>
    </row>
    <row r="438" spans="1:17" x14ac:dyDescent="0.25">
      <c r="A438" s="2" t="s">
        <v>1098</v>
      </c>
      <c r="B438" s="7">
        <v>45739</v>
      </c>
      <c r="C438" s="5" t="s">
        <v>156</v>
      </c>
      <c r="D438" s="5" t="s">
        <v>51</v>
      </c>
      <c r="E438" s="5" t="s">
        <v>34</v>
      </c>
      <c r="F438" s="2" t="s">
        <v>290</v>
      </c>
      <c r="G438" s="2">
        <v>5</v>
      </c>
      <c r="H438" s="25">
        <v>26310</v>
      </c>
      <c r="I438" s="8">
        <v>0</v>
      </c>
      <c r="J438" s="25">
        <v>131550</v>
      </c>
      <c r="K438" s="25">
        <f>G438*H438</f>
        <v>131550</v>
      </c>
      <c r="L438" s="8">
        <f>K438*I438/100</f>
        <v>0</v>
      </c>
      <c r="M438" s="2" t="s">
        <v>102</v>
      </c>
      <c r="N438" s="2" t="s">
        <v>46</v>
      </c>
      <c r="O438" s="2">
        <v>2025</v>
      </c>
      <c r="P438" s="2" t="str">
        <v>March</v>
      </c>
      <c r="Q438" s="2" t="s">
        <v>47</v>
      </c>
    </row>
    <row r="439" spans="1:17" x14ac:dyDescent="0.25">
      <c r="A439" s="2" t="s">
        <v>1100</v>
      </c>
      <c r="B439" s="7">
        <v>45966</v>
      </c>
      <c r="C439" s="5" t="s">
        <v>76</v>
      </c>
      <c r="D439" s="5" t="s">
        <v>33</v>
      </c>
      <c r="E439" s="5" t="s">
        <v>25</v>
      </c>
      <c r="F439" s="2" t="s">
        <v>248</v>
      </c>
      <c r="G439" s="2">
        <v>2</v>
      </c>
      <c r="H439" s="25">
        <v>5390</v>
      </c>
      <c r="I439" s="8">
        <v>15</v>
      </c>
      <c r="J439" s="25">
        <v>9163</v>
      </c>
      <c r="K439" s="25">
        <f>G439*H439</f>
        <v>10780</v>
      </c>
      <c r="L439" s="8">
        <f>K439*I439/100</f>
        <v>1617</v>
      </c>
      <c r="M439" s="2" t="s">
        <v>139</v>
      </c>
      <c r="N439" s="2" t="s">
        <v>344</v>
      </c>
      <c r="O439" s="2">
        <v>2025</v>
      </c>
      <c r="P439" s="2" t="str">
        <v>November</v>
      </c>
      <c r="Q439" s="2" t="s">
        <v>47</v>
      </c>
    </row>
    <row r="440" spans="1:17" x14ac:dyDescent="0.25">
      <c r="A440" s="2" t="s">
        <v>1102</v>
      </c>
      <c r="B440" s="7">
        <v>45987</v>
      </c>
      <c r="C440" s="5" t="s">
        <v>41</v>
      </c>
      <c r="D440" s="5" t="s">
        <v>42</v>
      </c>
      <c r="E440" s="5" t="s">
        <v>34</v>
      </c>
      <c r="F440" s="2" t="s">
        <v>199</v>
      </c>
      <c r="G440" s="2">
        <v>7</v>
      </c>
      <c r="H440" s="25">
        <v>20080</v>
      </c>
      <c r="I440" s="8">
        <v>15</v>
      </c>
      <c r="J440" s="25">
        <v>119476</v>
      </c>
      <c r="K440" s="25">
        <f>G440*H440</f>
        <v>140560</v>
      </c>
      <c r="L440" s="8">
        <f>K440*I440/100</f>
        <v>21084</v>
      </c>
      <c r="M440" s="2" t="s">
        <v>94</v>
      </c>
      <c r="N440" s="2" t="s">
        <v>341</v>
      </c>
      <c r="O440" s="2">
        <v>2025</v>
      </c>
      <c r="P440" s="2" t="str">
        <v>November</v>
      </c>
      <c r="Q440" s="2" t="s">
        <v>47</v>
      </c>
    </row>
    <row r="441" spans="1:17" x14ac:dyDescent="0.25">
      <c r="A441" s="2" t="s">
        <v>1105</v>
      </c>
      <c r="B441" s="7">
        <v>45704</v>
      </c>
      <c r="C441" s="5" t="s">
        <v>238</v>
      </c>
      <c r="D441" s="5" t="s">
        <v>51</v>
      </c>
      <c r="E441" s="5" t="s">
        <v>179</v>
      </c>
      <c r="F441" s="2" t="s">
        <v>180</v>
      </c>
      <c r="G441" s="2">
        <v>10</v>
      </c>
      <c r="H441" s="25">
        <v>11000</v>
      </c>
      <c r="I441" s="8">
        <v>0</v>
      </c>
      <c r="J441" s="25">
        <v>110000</v>
      </c>
      <c r="K441" s="25">
        <f>G441*H441</f>
        <v>110000</v>
      </c>
      <c r="L441" s="8">
        <f>K441*I441/100</f>
        <v>0</v>
      </c>
      <c r="M441" s="2" t="s">
        <v>53</v>
      </c>
      <c r="N441" s="2" t="s">
        <v>266</v>
      </c>
      <c r="O441" s="2">
        <v>2025</v>
      </c>
      <c r="P441" s="2" t="str">
        <v>February</v>
      </c>
      <c r="Q441" s="2" t="s">
        <v>47</v>
      </c>
    </row>
    <row r="442" spans="1:17" x14ac:dyDescent="0.25">
      <c r="A442" s="2" t="s">
        <v>1107</v>
      </c>
      <c r="B442" s="7">
        <v>45943</v>
      </c>
      <c r="C442" s="5" t="s">
        <v>41</v>
      </c>
      <c r="D442" s="5" t="s">
        <v>42</v>
      </c>
      <c r="E442" s="5" t="s">
        <v>148</v>
      </c>
      <c r="F442" s="2" t="s">
        <v>209</v>
      </c>
      <c r="G442" s="2">
        <v>4</v>
      </c>
      <c r="H442" s="25">
        <v>2720</v>
      </c>
      <c r="I442" s="8">
        <v>0</v>
      </c>
      <c r="J442" s="25">
        <v>10880</v>
      </c>
      <c r="K442" s="25">
        <f>G442*H442</f>
        <v>10880</v>
      </c>
      <c r="L442" s="8">
        <f>K442*I442/100</f>
        <v>0</v>
      </c>
      <c r="M442" s="2" t="s">
        <v>102</v>
      </c>
      <c r="N442" s="2" t="s">
        <v>79</v>
      </c>
      <c r="O442" s="2">
        <v>2025</v>
      </c>
      <c r="P442" s="2" t="str">
        <v>October</v>
      </c>
      <c r="Q442" s="2" t="s">
        <v>21</v>
      </c>
    </row>
    <row r="443" spans="1:17" x14ac:dyDescent="0.25">
      <c r="A443" s="2" t="s">
        <v>1109</v>
      </c>
      <c r="B443" s="7">
        <v>45728</v>
      </c>
      <c r="C443" s="5" t="s">
        <v>135</v>
      </c>
      <c r="D443" s="5" t="s">
        <v>58</v>
      </c>
      <c r="E443" s="5" t="s">
        <v>34</v>
      </c>
      <c r="F443" s="2" t="s">
        <v>35</v>
      </c>
      <c r="G443" s="2">
        <v>8</v>
      </c>
      <c r="H443" s="25">
        <v>8570</v>
      </c>
      <c r="I443" s="8">
        <v>0</v>
      </c>
      <c r="J443" s="25">
        <v>68560</v>
      </c>
      <c r="K443" s="25">
        <f>G443*H443</f>
        <v>68560</v>
      </c>
      <c r="L443" s="8">
        <f>K443*I443/100</f>
        <v>0</v>
      </c>
      <c r="M443" s="2" t="s">
        <v>53</v>
      </c>
      <c r="N443" s="2" t="s">
        <v>188</v>
      </c>
      <c r="O443" s="2">
        <v>2025</v>
      </c>
      <c r="P443" s="2" t="str">
        <v>March</v>
      </c>
      <c r="Q443" s="2" t="s">
        <v>47</v>
      </c>
    </row>
    <row r="444" spans="1:17" x14ac:dyDescent="0.25">
      <c r="A444" s="2" t="s">
        <v>1111</v>
      </c>
      <c r="B444" s="7">
        <v>45954</v>
      </c>
      <c r="C444" s="5" t="s">
        <v>238</v>
      </c>
      <c r="D444" s="5" t="s">
        <v>51</v>
      </c>
      <c r="E444" s="5" t="s">
        <v>295</v>
      </c>
      <c r="F444" s="2" t="s">
        <v>314</v>
      </c>
      <c r="G444" s="2">
        <v>4</v>
      </c>
      <c r="H444" s="25">
        <v>2370</v>
      </c>
      <c r="I444" s="8">
        <v>0</v>
      </c>
      <c r="J444" s="25">
        <v>9480</v>
      </c>
      <c r="K444" s="25">
        <f>G444*H444</f>
        <v>9480</v>
      </c>
      <c r="L444" s="8">
        <f>K444*I444/100</f>
        <v>0</v>
      </c>
      <c r="M444" s="2" t="s">
        <v>102</v>
      </c>
      <c r="N444" s="2" t="s">
        <v>411</v>
      </c>
      <c r="O444" s="2">
        <v>2025</v>
      </c>
      <c r="P444" s="2" t="str">
        <v>October</v>
      </c>
      <c r="Q444" s="2" t="s">
        <v>47</v>
      </c>
    </row>
    <row r="445" spans="1:17" x14ac:dyDescent="0.25">
      <c r="A445" s="2" t="s">
        <v>1112</v>
      </c>
      <c r="B445" s="7">
        <v>45724</v>
      </c>
      <c r="C445" s="5" t="s">
        <v>156</v>
      </c>
      <c r="D445" s="5" t="s">
        <v>51</v>
      </c>
      <c r="E445" s="5" t="s">
        <v>179</v>
      </c>
      <c r="F445" s="2" t="s">
        <v>78</v>
      </c>
      <c r="G445" s="2">
        <v>5</v>
      </c>
      <c r="H445" s="25">
        <v>7060</v>
      </c>
      <c r="I445" s="8">
        <v>15</v>
      </c>
      <c r="J445" s="25">
        <v>30005</v>
      </c>
      <c r="K445" s="25">
        <f>G445*H445</f>
        <v>35300</v>
      </c>
      <c r="L445" s="8">
        <f>K445*I445/100</f>
        <v>5295</v>
      </c>
      <c r="M445" s="2" t="s">
        <v>53</v>
      </c>
      <c r="N445" s="2" t="s">
        <v>79</v>
      </c>
      <c r="O445" s="2">
        <v>2025</v>
      </c>
      <c r="P445" s="2" t="str">
        <v>March</v>
      </c>
      <c r="Q445" s="2" t="s">
        <v>21</v>
      </c>
    </row>
    <row r="446" spans="1:17" x14ac:dyDescent="0.25">
      <c r="A446" s="2" t="s">
        <v>1115</v>
      </c>
      <c r="B446" s="7">
        <v>46003</v>
      </c>
      <c r="C446" s="5" t="s">
        <v>238</v>
      </c>
      <c r="D446" s="5" t="s">
        <v>51</v>
      </c>
      <c r="E446" s="5" t="s">
        <v>148</v>
      </c>
      <c r="F446" s="2" t="s">
        <v>83</v>
      </c>
      <c r="G446" s="2">
        <v>6</v>
      </c>
      <c r="H446" s="25">
        <v>2560</v>
      </c>
      <c r="I446" s="8">
        <v>0</v>
      </c>
      <c r="J446" s="25">
        <v>15360</v>
      </c>
      <c r="K446" s="25">
        <f>G446*H446</f>
        <v>15360</v>
      </c>
      <c r="L446" s="8">
        <f>K446*I446/100</f>
        <v>0</v>
      </c>
      <c r="M446" s="2" t="s">
        <v>139</v>
      </c>
      <c r="N446" s="2" t="s">
        <v>266</v>
      </c>
      <c r="O446" s="2">
        <v>2025</v>
      </c>
      <c r="P446" s="2" t="str">
        <v>December</v>
      </c>
      <c r="Q446" s="2" t="s">
        <v>47</v>
      </c>
    </row>
    <row r="447" spans="1:17" x14ac:dyDescent="0.25">
      <c r="A447" s="2" t="s">
        <v>1117</v>
      </c>
      <c r="B447" s="7">
        <v>45925</v>
      </c>
      <c r="C447" s="5" t="s">
        <v>32</v>
      </c>
      <c r="D447" s="5" t="s">
        <v>33</v>
      </c>
      <c r="E447" s="5" t="s">
        <v>295</v>
      </c>
      <c r="F447" s="2" t="s">
        <v>126</v>
      </c>
      <c r="G447" s="2">
        <v>5</v>
      </c>
      <c r="H447" s="25">
        <v>1210</v>
      </c>
      <c r="I447" s="8">
        <v>10</v>
      </c>
      <c r="J447" s="25">
        <v>5445</v>
      </c>
      <c r="K447" s="25">
        <f>G447*H447</f>
        <v>6050</v>
      </c>
      <c r="L447" s="8">
        <f>K447*I447/100</f>
        <v>605</v>
      </c>
      <c r="M447" s="2" t="s">
        <v>139</v>
      </c>
      <c r="N447" s="2" t="s">
        <v>37</v>
      </c>
      <c r="O447" s="2">
        <v>2025</v>
      </c>
      <c r="P447" s="2" t="str">
        <v>September</v>
      </c>
      <c r="Q447" s="2" t="s">
        <v>47</v>
      </c>
    </row>
    <row r="448" spans="1:17" x14ac:dyDescent="0.25">
      <c r="A448" s="2" t="s">
        <v>1119</v>
      </c>
      <c r="B448" s="7">
        <v>45837</v>
      </c>
      <c r="C448" s="5" t="s">
        <v>32</v>
      </c>
      <c r="D448" s="5" t="s">
        <v>33</v>
      </c>
      <c r="E448" s="5" t="s">
        <v>179</v>
      </c>
      <c r="F448" s="2" t="s">
        <v>224</v>
      </c>
      <c r="G448" s="2">
        <v>6</v>
      </c>
      <c r="H448" s="25">
        <v>28480</v>
      </c>
      <c r="I448" s="8">
        <v>0</v>
      </c>
      <c r="J448" s="25">
        <v>170880</v>
      </c>
      <c r="K448" s="25">
        <f>G448*H448</f>
        <v>170880</v>
      </c>
      <c r="L448" s="8">
        <f>K448*I448/100</f>
        <v>0</v>
      </c>
      <c r="M448" s="2" t="s">
        <v>53</v>
      </c>
      <c r="N448" s="2" t="s">
        <v>168</v>
      </c>
      <c r="O448" s="2">
        <v>2025</v>
      </c>
      <c r="P448" s="2" t="str">
        <v>June</v>
      </c>
      <c r="Q448" s="2" t="s">
        <v>21</v>
      </c>
    </row>
    <row r="449" spans="1:17" x14ac:dyDescent="0.25">
      <c r="A449" s="2" t="s">
        <v>1121</v>
      </c>
      <c r="B449" s="7">
        <v>45779</v>
      </c>
      <c r="C449" s="5" t="s">
        <v>32</v>
      </c>
      <c r="D449" s="5" t="s">
        <v>33</v>
      </c>
      <c r="E449" s="5" t="s">
        <v>179</v>
      </c>
      <c r="F449" s="2" t="s">
        <v>239</v>
      </c>
      <c r="G449" s="2">
        <v>11</v>
      </c>
      <c r="H449" s="25">
        <v>3710</v>
      </c>
      <c r="I449" s="8">
        <v>0</v>
      </c>
      <c r="J449" s="25">
        <v>40810</v>
      </c>
      <c r="K449" s="25">
        <f>G449*H449</f>
        <v>40810</v>
      </c>
      <c r="L449" s="8">
        <f>K449*I449/100</f>
        <v>0</v>
      </c>
      <c r="M449" s="2" t="s">
        <v>94</v>
      </c>
      <c r="N449" s="2" t="s">
        <v>266</v>
      </c>
      <c r="O449" s="2">
        <v>2025</v>
      </c>
      <c r="P449" s="2" t="str">
        <v>May</v>
      </c>
      <c r="Q449" s="2" t="s">
        <v>47</v>
      </c>
    </row>
    <row r="450" spans="1:17" x14ac:dyDescent="0.25">
      <c r="A450" s="2" t="s">
        <v>1123</v>
      </c>
      <c r="B450" s="7">
        <v>45759</v>
      </c>
      <c r="C450" s="5" t="s">
        <v>76</v>
      </c>
      <c r="D450" s="5" t="s">
        <v>33</v>
      </c>
      <c r="E450" s="5" t="s">
        <v>295</v>
      </c>
      <c r="F450" s="2" t="s">
        <v>319</v>
      </c>
      <c r="G450" s="2">
        <v>9</v>
      </c>
      <c r="H450" s="25">
        <v>570</v>
      </c>
      <c r="I450" s="8">
        <v>10</v>
      </c>
      <c r="J450" s="25">
        <v>4617</v>
      </c>
      <c r="K450" s="25">
        <f>G450*H450</f>
        <v>5130</v>
      </c>
      <c r="L450" s="8">
        <f>K450*I450/100</f>
        <v>513</v>
      </c>
      <c r="M450" s="2" t="s">
        <v>53</v>
      </c>
      <c r="N450" s="2" t="s">
        <v>46</v>
      </c>
      <c r="O450" s="2">
        <v>2025</v>
      </c>
      <c r="P450" s="2" t="str">
        <v>April</v>
      </c>
      <c r="Q450" s="2" t="s">
        <v>47</v>
      </c>
    </row>
    <row r="451" spans="1:17" x14ac:dyDescent="0.25">
      <c r="A451" s="2" t="s">
        <v>1124</v>
      </c>
      <c r="B451" s="7">
        <v>45850</v>
      </c>
      <c r="C451" s="5" t="s">
        <v>135</v>
      </c>
      <c r="D451" s="5" t="s">
        <v>58</v>
      </c>
      <c r="E451" s="5" t="s">
        <v>179</v>
      </c>
      <c r="F451" s="2" t="s">
        <v>239</v>
      </c>
      <c r="G451" s="2">
        <v>11</v>
      </c>
      <c r="H451" s="25">
        <v>8250</v>
      </c>
      <c r="I451" s="8">
        <v>0</v>
      </c>
      <c r="J451" s="25">
        <v>90750</v>
      </c>
      <c r="K451" s="25">
        <f>G451*H451</f>
        <v>90750</v>
      </c>
      <c r="L451" s="8">
        <f>K451*I451/100</f>
        <v>0</v>
      </c>
      <c r="M451" s="2" t="s">
        <v>53</v>
      </c>
      <c r="N451" s="2" t="s">
        <v>176</v>
      </c>
      <c r="O451" s="2">
        <v>2025</v>
      </c>
      <c r="P451" s="2" t="str">
        <v>July</v>
      </c>
      <c r="Q451" s="2" t="s">
        <v>47</v>
      </c>
    </row>
    <row r="452" spans="1:17" x14ac:dyDescent="0.25">
      <c r="A452" s="2" t="s">
        <v>1126</v>
      </c>
      <c r="B452" s="7">
        <v>45854</v>
      </c>
      <c r="C452" s="5" t="s">
        <v>156</v>
      </c>
      <c r="D452" s="5" t="s">
        <v>51</v>
      </c>
      <c r="E452" s="5" t="s">
        <v>25</v>
      </c>
      <c r="F452" s="2" t="s">
        <v>26</v>
      </c>
      <c r="G452" s="2">
        <v>12</v>
      </c>
      <c r="H452" s="25">
        <v>10220</v>
      </c>
      <c r="I452" s="8">
        <v>15</v>
      </c>
      <c r="J452" s="25">
        <v>104244</v>
      </c>
      <c r="K452" s="25">
        <f>G452*H452</f>
        <v>122640</v>
      </c>
      <c r="L452" s="8">
        <f>K452*I452/100</f>
        <v>18396</v>
      </c>
      <c r="M452" s="2" t="s">
        <v>94</v>
      </c>
      <c r="N452" s="2" t="s">
        <v>79</v>
      </c>
      <c r="O452" s="2">
        <v>2025</v>
      </c>
      <c r="P452" s="2" t="str">
        <v>July</v>
      </c>
      <c r="Q452" s="2" t="s">
        <v>47</v>
      </c>
    </row>
    <row r="453" spans="1:17" x14ac:dyDescent="0.25">
      <c r="A453" s="2" t="s">
        <v>1128</v>
      </c>
      <c r="B453" s="7">
        <v>45731</v>
      </c>
      <c r="C453" s="5" t="s">
        <v>32</v>
      </c>
      <c r="D453" s="5" t="s">
        <v>33</v>
      </c>
      <c r="E453" s="5" t="s">
        <v>148</v>
      </c>
      <c r="F453" s="2" t="s">
        <v>83</v>
      </c>
      <c r="G453" s="2">
        <v>8</v>
      </c>
      <c r="H453" s="25">
        <v>6800</v>
      </c>
      <c r="I453" s="8">
        <v>0</v>
      </c>
      <c r="J453" s="25">
        <v>54400</v>
      </c>
      <c r="K453" s="25">
        <f>G453*H453</f>
        <v>54400</v>
      </c>
      <c r="L453" s="8">
        <f>K453*I453/100</f>
        <v>0</v>
      </c>
      <c r="M453" s="2" t="s">
        <v>139</v>
      </c>
      <c r="N453" s="2" t="s">
        <v>176</v>
      </c>
      <c r="O453" s="2">
        <v>2025</v>
      </c>
      <c r="P453" s="2" t="str">
        <v>March</v>
      </c>
      <c r="Q453" s="2" t="s">
        <v>21</v>
      </c>
    </row>
    <row r="454" spans="1:17" x14ac:dyDescent="0.25">
      <c r="A454" s="2" t="s">
        <v>1130</v>
      </c>
      <c r="B454" s="7">
        <v>45680</v>
      </c>
      <c r="C454" s="5" t="s">
        <v>135</v>
      </c>
      <c r="D454" s="5" t="s">
        <v>58</v>
      </c>
      <c r="E454" s="5" t="s">
        <v>148</v>
      </c>
      <c r="F454" s="2" t="s">
        <v>60</v>
      </c>
      <c r="G454" s="2">
        <v>5</v>
      </c>
      <c r="H454" s="25">
        <v>44120</v>
      </c>
      <c r="I454" s="8">
        <v>0</v>
      </c>
      <c r="J454" s="25">
        <v>220600</v>
      </c>
      <c r="K454" s="25">
        <f>G454*H454</f>
        <v>220600</v>
      </c>
      <c r="L454" s="8">
        <f>K454*I454/100</f>
        <v>0</v>
      </c>
      <c r="M454" s="2" t="s">
        <v>53</v>
      </c>
      <c r="N454" s="2" t="s">
        <v>341</v>
      </c>
      <c r="O454" s="2">
        <v>2025</v>
      </c>
      <c r="P454" s="2" t="str">
        <v>January</v>
      </c>
      <c r="Q454" s="2" t="s">
        <v>47</v>
      </c>
    </row>
    <row r="455" spans="1:17" x14ac:dyDescent="0.25">
      <c r="A455" s="2" t="s">
        <v>1132</v>
      </c>
      <c r="B455" s="7">
        <v>45807</v>
      </c>
      <c r="C455" s="5" t="s">
        <v>41</v>
      </c>
      <c r="D455" s="5" t="s">
        <v>42</v>
      </c>
      <c r="E455" s="5" t="s">
        <v>34</v>
      </c>
      <c r="F455" s="2" t="s">
        <v>18</v>
      </c>
      <c r="G455" s="2">
        <v>8</v>
      </c>
      <c r="H455" s="25">
        <v>4900</v>
      </c>
      <c r="I455" s="8">
        <v>5</v>
      </c>
      <c r="J455" s="25">
        <v>37240</v>
      </c>
      <c r="K455" s="25">
        <f>G455*H455</f>
        <v>39200</v>
      </c>
      <c r="L455" s="8">
        <f>K455*I455/100</f>
        <v>1960</v>
      </c>
      <c r="M455" s="2" t="s">
        <v>94</v>
      </c>
      <c r="N455" s="2" t="s">
        <v>176</v>
      </c>
      <c r="O455" s="2">
        <v>2025</v>
      </c>
      <c r="P455" s="2" t="str">
        <v>May</v>
      </c>
      <c r="Q455" s="2" t="s">
        <v>21</v>
      </c>
    </row>
    <row r="456" spans="1:17" x14ac:dyDescent="0.25">
      <c r="A456" s="2" t="s">
        <v>1134</v>
      </c>
      <c r="B456" s="7">
        <v>46020</v>
      </c>
      <c r="C456" s="5" t="s">
        <v>32</v>
      </c>
      <c r="D456" s="5" t="s">
        <v>33</v>
      </c>
      <c r="E456" s="5" t="s">
        <v>34</v>
      </c>
      <c r="F456" s="2" t="s">
        <v>171</v>
      </c>
      <c r="G456" s="2">
        <v>10</v>
      </c>
      <c r="H456" s="25">
        <v>13220</v>
      </c>
      <c r="I456" s="8">
        <v>5</v>
      </c>
      <c r="J456" s="25">
        <v>125590</v>
      </c>
      <c r="K456" s="25">
        <f>G456*H456</f>
        <v>132200</v>
      </c>
      <c r="L456" s="8">
        <f>K456*I456/100</f>
        <v>6610</v>
      </c>
      <c r="M456" s="2" t="s">
        <v>94</v>
      </c>
      <c r="N456" s="2" t="s">
        <v>54</v>
      </c>
      <c r="O456" s="2">
        <v>2025</v>
      </c>
      <c r="P456" s="2" t="str">
        <v>December</v>
      </c>
      <c r="Q456" s="2" t="s">
        <v>47</v>
      </c>
    </row>
    <row r="457" spans="1:17" x14ac:dyDescent="0.25">
      <c r="A457" s="2" t="s">
        <v>1136</v>
      </c>
      <c r="B457" s="7">
        <v>45771</v>
      </c>
      <c r="C457" s="5" t="s">
        <v>238</v>
      </c>
      <c r="D457" s="5" t="s">
        <v>51</v>
      </c>
      <c r="E457" s="5" t="s">
        <v>25</v>
      </c>
      <c r="F457" s="2" t="s">
        <v>115</v>
      </c>
      <c r="G457" s="2">
        <v>9</v>
      </c>
      <c r="H457" s="25">
        <v>470</v>
      </c>
      <c r="I457" s="8">
        <v>0</v>
      </c>
      <c r="J457" s="25">
        <v>4230</v>
      </c>
      <c r="K457" s="25">
        <f>G457*H457</f>
        <v>4230</v>
      </c>
      <c r="L457" s="8">
        <f>K457*I457/100</f>
        <v>0</v>
      </c>
      <c r="M457" s="2" t="s">
        <v>139</v>
      </c>
      <c r="N457" s="2" t="s">
        <v>188</v>
      </c>
      <c r="O457" s="2">
        <v>2025</v>
      </c>
      <c r="P457" s="2" t="str">
        <v>April</v>
      </c>
      <c r="Q457" s="2" t="s">
        <v>47</v>
      </c>
    </row>
    <row r="458" spans="1:17" x14ac:dyDescent="0.25">
      <c r="A458" s="2" t="s">
        <v>1138</v>
      </c>
      <c r="B458" s="7">
        <v>45726</v>
      </c>
      <c r="C458" s="5" t="s">
        <v>41</v>
      </c>
      <c r="D458" s="5" t="s">
        <v>42</v>
      </c>
      <c r="E458" s="5" t="s">
        <v>148</v>
      </c>
      <c r="F458" s="2" t="s">
        <v>83</v>
      </c>
      <c r="G458" s="2">
        <v>10</v>
      </c>
      <c r="H458" s="25">
        <v>1090</v>
      </c>
      <c r="I458" s="8">
        <v>0</v>
      </c>
      <c r="J458" s="25">
        <v>10900</v>
      </c>
      <c r="K458" s="25">
        <f>G458*H458</f>
        <v>10900</v>
      </c>
      <c r="L458" s="8">
        <f>K458*I458/100</f>
        <v>0</v>
      </c>
      <c r="M458" s="2" t="s">
        <v>139</v>
      </c>
      <c r="N458" s="2" t="s">
        <v>54</v>
      </c>
      <c r="O458" s="2">
        <v>2025</v>
      </c>
      <c r="P458" s="2" t="str">
        <v>March</v>
      </c>
      <c r="Q458" s="2" t="s">
        <v>21</v>
      </c>
    </row>
    <row r="459" spans="1:17" x14ac:dyDescent="0.25">
      <c r="A459" s="2" t="s">
        <v>1140</v>
      </c>
      <c r="B459" s="7">
        <v>46010</v>
      </c>
      <c r="C459" s="5" t="s">
        <v>76</v>
      </c>
      <c r="D459" s="5" t="s">
        <v>33</v>
      </c>
      <c r="E459" s="5" t="s">
        <v>148</v>
      </c>
      <c r="F459" s="2" t="s">
        <v>252</v>
      </c>
      <c r="G459" s="2">
        <v>5</v>
      </c>
      <c r="H459" s="25">
        <v>42420</v>
      </c>
      <c r="I459" s="8">
        <v>0</v>
      </c>
      <c r="J459" s="25">
        <v>212100</v>
      </c>
      <c r="K459" s="25">
        <f>G459*H459</f>
        <v>212100</v>
      </c>
      <c r="L459" s="8">
        <f>K459*I459/100</f>
        <v>0</v>
      </c>
      <c r="M459" s="2" t="s">
        <v>102</v>
      </c>
      <c r="N459" s="2" t="s">
        <v>344</v>
      </c>
      <c r="O459" s="2">
        <v>2025</v>
      </c>
      <c r="P459" s="2" t="str">
        <v>December</v>
      </c>
      <c r="Q459" s="2" t="s">
        <v>21</v>
      </c>
    </row>
    <row r="460" spans="1:17" x14ac:dyDescent="0.25">
      <c r="A460" s="2" t="s">
        <v>1142</v>
      </c>
      <c r="B460" s="7">
        <v>45756</v>
      </c>
      <c r="C460" s="5" t="s">
        <v>156</v>
      </c>
      <c r="D460" s="5" t="s">
        <v>33</v>
      </c>
      <c r="E460" s="5" t="s">
        <v>295</v>
      </c>
      <c r="F460" s="2" t="s">
        <v>126</v>
      </c>
      <c r="G460" s="2">
        <v>4</v>
      </c>
      <c r="H460" s="25">
        <v>1340</v>
      </c>
      <c r="I460" s="8">
        <v>0</v>
      </c>
      <c r="J460" s="25">
        <v>5360</v>
      </c>
      <c r="K460" s="25">
        <f>G460*H460</f>
        <v>5360</v>
      </c>
      <c r="L460" s="8">
        <f>K460*I460/100</f>
        <v>0</v>
      </c>
      <c r="M460" s="2" t="s">
        <v>102</v>
      </c>
      <c r="N460" s="2" t="s">
        <v>54</v>
      </c>
      <c r="O460" s="2">
        <v>2025</v>
      </c>
      <c r="P460" s="2" t="str">
        <v>April</v>
      </c>
      <c r="Q460" s="2" t="s">
        <v>21</v>
      </c>
    </row>
    <row r="461" spans="1:17" x14ac:dyDescent="0.25">
      <c r="A461" s="2" t="s">
        <v>1144</v>
      </c>
      <c r="B461" s="7">
        <v>45822</v>
      </c>
      <c r="C461" s="5" t="s">
        <v>238</v>
      </c>
      <c r="D461" s="5" t="s">
        <v>51</v>
      </c>
      <c r="E461" s="5" t="s">
        <v>148</v>
      </c>
      <c r="F461" s="2" t="s">
        <v>60</v>
      </c>
      <c r="G461" s="2">
        <v>12</v>
      </c>
      <c r="H461" s="25">
        <v>12730</v>
      </c>
      <c r="I461" s="8">
        <v>0</v>
      </c>
      <c r="J461" s="25">
        <v>152760</v>
      </c>
      <c r="K461" s="25">
        <f>G461*H461</f>
        <v>152760</v>
      </c>
      <c r="L461" s="8">
        <f>K461*I461/100</f>
        <v>0</v>
      </c>
      <c r="M461" s="2" t="s">
        <v>139</v>
      </c>
      <c r="N461" s="2" t="s">
        <v>883</v>
      </c>
      <c r="O461" s="2">
        <v>2025</v>
      </c>
      <c r="P461" s="2" t="str">
        <v>June</v>
      </c>
      <c r="Q461" s="2" t="s">
        <v>21</v>
      </c>
    </row>
    <row r="462" spans="1:17" x14ac:dyDescent="0.25">
      <c r="A462" s="2" t="s">
        <v>1146</v>
      </c>
      <c r="B462" s="7">
        <v>45979</v>
      </c>
      <c r="C462" s="5" t="s">
        <v>24</v>
      </c>
      <c r="D462" s="5" t="s">
        <v>16</v>
      </c>
      <c r="E462" s="5" t="s">
        <v>25</v>
      </c>
      <c r="F462" s="2" t="s">
        <v>26</v>
      </c>
      <c r="G462" s="2">
        <v>9</v>
      </c>
      <c r="H462" s="25">
        <v>8580</v>
      </c>
      <c r="I462" s="8">
        <v>0</v>
      </c>
      <c r="J462" s="25">
        <v>77220</v>
      </c>
      <c r="K462" s="25">
        <f>G462*H462</f>
        <v>77220</v>
      </c>
      <c r="L462" s="8">
        <f>K462*I462/100</f>
        <v>0</v>
      </c>
      <c r="M462" s="2" t="s">
        <v>94</v>
      </c>
      <c r="N462" s="2" t="s">
        <v>54</v>
      </c>
      <c r="O462" s="2">
        <v>2025</v>
      </c>
      <c r="P462" s="2" t="str">
        <v>November</v>
      </c>
      <c r="Q462" s="2" t="s">
        <v>21</v>
      </c>
    </row>
    <row r="463" spans="1:17" x14ac:dyDescent="0.25">
      <c r="A463" s="2" t="s">
        <v>1148</v>
      </c>
      <c r="B463" s="7">
        <v>45714</v>
      </c>
      <c r="C463" s="5" t="s">
        <v>156</v>
      </c>
      <c r="D463" s="5" t="s">
        <v>51</v>
      </c>
      <c r="E463" s="5" t="s">
        <v>179</v>
      </c>
      <c r="F463" s="2" t="s">
        <v>78</v>
      </c>
      <c r="G463" s="2">
        <v>5</v>
      </c>
      <c r="H463" s="25">
        <v>72610</v>
      </c>
      <c r="I463" s="8">
        <v>0</v>
      </c>
      <c r="J463" s="25">
        <v>363050</v>
      </c>
      <c r="K463" s="25">
        <f>G463*H463</f>
        <v>363050</v>
      </c>
      <c r="L463" s="8">
        <f>K463*I463/100</f>
        <v>0</v>
      </c>
      <c r="M463" s="2" t="s">
        <v>94</v>
      </c>
      <c r="N463" s="2" t="s">
        <v>168</v>
      </c>
      <c r="O463" s="2">
        <v>2025</v>
      </c>
      <c r="P463" s="2" t="str">
        <v>February</v>
      </c>
      <c r="Q463" s="2" t="s">
        <v>21</v>
      </c>
    </row>
    <row r="464" spans="1:17" x14ac:dyDescent="0.25">
      <c r="A464" s="2" t="s">
        <v>1149</v>
      </c>
      <c r="B464" s="7">
        <v>45948</v>
      </c>
      <c r="C464" s="5" t="s">
        <v>156</v>
      </c>
      <c r="D464" s="5" t="s">
        <v>51</v>
      </c>
      <c r="E464" s="5" t="s">
        <v>25</v>
      </c>
      <c r="F464" s="2" t="s">
        <v>332</v>
      </c>
      <c r="G464" s="2">
        <v>12</v>
      </c>
      <c r="H464" s="25">
        <v>73300</v>
      </c>
      <c r="I464" s="8">
        <v>10</v>
      </c>
      <c r="J464" s="25">
        <v>791640</v>
      </c>
      <c r="K464" s="25">
        <f>G464*H464</f>
        <v>879600</v>
      </c>
      <c r="L464" s="8">
        <f>K464*I464/100</f>
        <v>87960</v>
      </c>
      <c r="M464" s="2" t="s">
        <v>102</v>
      </c>
      <c r="N464" s="2" t="s">
        <v>344</v>
      </c>
      <c r="O464" s="2">
        <v>2025</v>
      </c>
      <c r="P464" s="2" t="str">
        <v>October</v>
      </c>
      <c r="Q464" s="2" t="s">
        <v>47</v>
      </c>
    </row>
    <row r="465" spans="1:17" x14ac:dyDescent="0.25">
      <c r="A465" s="2" t="s">
        <v>1150</v>
      </c>
      <c r="B465" s="7">
        <v>45918</v>
      </c>
      <c r="C465" s="5" t="s">
        <v>32</v>
      </c>
      <c r="D465" s="5" t="s">
        <v>33</v>
      </c>
      <c r="E465" s="5" t="s">
        <v>179</v>
      </c>
      <c r="F465" s="2" t="s">
        <v>143</v>
      </c>
      <c r="G465" s="2">
        <v>10</v>
      </c>
      <c r="H465" s="25">
        <v>20410</v>
      </c>
      <c r="I465" s="8">
        <v>0</v>
      </c>
      <c r="J465" s="25">
        <v>204100</v>
      </c>
      <c r="K465" s="25">
        <f>G465*H465</f>
        <v>204100</v>
      </c>
      <c r="L465" s="8">
        <f>K465*I465/100</f>
        <v>0</v>
      </c>
      <c r="M465" s="2" t="s">
        <v>102</v>
      </c>
      <c r="N465" s="2" t="s">
        <v>37</v>
      </c>
      <c r="O465" s="2">
        <v>2025</v>
      </c>
      <c r="P465" s="2" t="str">
        <v>September</v>
      </c>
      <c r="Q465" s="2" t="s">
        <v>21</v>
      </c>
    </row>
    <row r="466" spans="1:17" x14ac:dyDescent="0.25">
      <c r="A466" s="2" t="s">
        <v>1152</v>
      </c>
      <c r="B466" s="7">
        <v>45842</v>
      </c>
      <c r="C466" s="5" t="s">
        <v>41</v>
      </c>
      <c r="D466" s="5" t="s">
        <v>42</v>
      </c>
      <c r="E466" s="5" t="s">
        <v>34</v>
      </c>
      <c r="F466" s="2" t="s">
        <v>171</v>
      </c>
      <c r="G466" s="2">
        <v>2</v>
      </c>
      <c r="H466" s="25">
        <v>1080</v>
      </c>
      <c r="I466" s="8">
        <v>10</v>
      </c>
      <c r="J466" s="25">
        <v>1944</v>
      </c>
      <c r="K466" s="25">
        <f>G466*H466</f>
        <v>2160</v>
      </c>
      <c r="L466" s="8">
        <f>K466*I466/100</f>
        <v>216</v>
      </c>
      <c r="M466" s="2" t="s">
        <v>139</v>
      </c>
      <c r="N466" s="2" t="s">
        <v>883</v>
      </c>
      <c r="O466" s="2">
        <v>2025</v>
      </c>
      <c r="P466" s="2" t="str">
        <v>July</v>
      </c>
      <c r="Q466" s="2" t="s">
        <v>47</v>
      </c>
    </row>
    <row r="467" spans="1:17" x14ac:dyDescent="0.25">
      <c r="A467" s="2" t="s">
        <v>1154</v>
      </c>
      <c r="B467" s="7">
        <v>45823</v>
      </c>
      <c r="C467" s="5" t="s">
        <v>76</v>
      </c>
      <c r="D467" s="5" t="s">
        <v>33</v>
      </c>
      <c r="E467" s="5" t="s">
        <v>179</v>
      </c>
      <c r="F467" s="2" t="s">
        <v>180</v>
      </c>
      <c r="G467" s="2">
        <v>10</v>
      </c>
      <c r="H467" s="25">
        <v>11800</v>
      </c>
      <c r="I467" s="8">
        <v>0</v>
      </c>
      <c r="J467" s="25">
        <v>118000</v>
      </c>
      <c r="K467" s="25">
        <f>G467*H467</f>
        <v>118000</v>
      </c>
      <c r="L467" s="8">
        <f>K467*I467/100</f>
        <v>0</v>
      </c>
      <c r="M467" s="2" t="s">
        <v>94</v>
      </c>
      <c r="N467" s="2" t="s">
        <v>188</v>
      </c>
      <c r="O467" s="2">
        <v>2025</v>
      </c>
      <c r="P467" s="2" t="str">
        <v>June</v>
      </c>
      <c r="Q467" s="2" t="s">
        <v>47</v>
      </c>
    </row>
    <row r="468" spans="1:17" x14ac:dyDescent="0.25">
      <c r="A468" s="2" t="s">
        <v>1156</v>
      </c>
      <c r="B468" s="7">
        <v>45950</v>
      </c>
      <c r="C468" s="5" t="s">
        <v>76</v>
      </c>
      <c r="D468" s="5" t="s">
        <v>33</v>
      </c>
      <c r="E468" s="5" t="s">
        <v>148</v>
      </c>
      <c r="F468" s="2" t="s">
        <v>83</v>
      </c>
      <c r="G468" s="2">
        <v>5</v>
      </c>
      <c r="H468" s="25">
        <v>40910</v>
      </c>
      <c r="I468" s="8">
        <v>0</v>
      </c>
      <c r="J468" s="25">
        <v>204550</v>
      </c>
      <c r="K468" s="25">
        <f>G468*H468</f>
        <v>204550</v>
      </c>
      <c r="L468" s="8">
        <f>K468*I468/100</f>
        <v>0</v>
      </c>
      <c r="M468" s="2" t="s">
        <v>139</v>
      </c>
      <c r="N468" s="2" t="s">
        <v>73</v>
      </c>
      <c r="O468" s="2">
        <v>2025</v>
      </c>
      <c r="P468" s="2" t="str">
        <v>October</v>
      </c>
      <c r="Q468" s="2" t="s">
        <v>47</v>
      </c>
    </row>
    <row r="469" spans="1:17" x14ac:dyDescent="0.25">
      <c r="A469" s="2" t="s">
        <v>1158</v>
      </c>
      <c r="B469" s="7">
        <v>45782</v>
      </c>
      <c r="C469" s="5" t="s">
        <v>41</v>
      </c>
      <c r="D469" s="5" t="s">
        <v>42</v>
      </c>
      <c r="E469" s="5" t="s">
        <v>295</v>
      </c>
      <c r="F469" s="2" t="s">
        <v>132</v>
      </c>
      <c r="G469" s="2">
        <v>10</v>
      </c>
      <c r="H469" s="25">
        <v>570</v>
      </c>
      <c r="I469" s="8">
        <v>10</v>
      </c>
      <c r="J469" s="25">
        <v>5130</v>
      </c>
      <c r="K469" s="25">
        <f>G469*H469</f>
        <v>5700</v>
      </c>
      <c r="L469" s="8">
        <f>K469*I469/100</f>
        <v>570</v>
      </c>
      <c r="M469" s="2" t="s">
        <v>139</v>
      </c>
      <c r="N469" s="2" t="s">
        <v>68</v>
      </c>
      <c r="O469" s="2">
        <v>2025</v>
      </c>
      <c r="P469" s="2" t="str">
        <v>May</v>
      </c>
      <c r="Q469" s="2" t="s">
        <v>47</v>
      </c>
    </row>
    <row r="470" spans="1:17" x14ac:dyDescent="0.25">
      <c r="A470" s="2" t="s">
        <v>1159</v>
      </c>
      <c r="B470" s="7">
        <v>46000</v>
      </c>
      <c r="C470" s="5" t="s">
        <v>238</v>
      </c>
      <c r="D470" s="5" t="s">
        <v>51</v>
      </c>
      <c r="E470" s="5" t="s">
        <v>179</v>
      </c>
      <c r="F470" s="2" t="s">
        <v>290</v>
      </c>
      <c r="G470" s="2">
        <v>11</v>
      </c>
      <c r="H470" s="25">
        <v>25100</v>
      </c>
      <c r="I470" s="8">
        <v>0</v>
      </c>
      <c r="J470" s="25">
        <v>276100</v>
      </c>
      <c r="K470" s="25">
        <f>G470*H470</f>
        <v>276100</v>
      </c>
      <c r="L470" s="8">
        <f>K470*I470/100</f>
        <v>0</v>
      </c>
      <c r="M470" s="2" t="s">
        <v>102</v>
      </c>
      <c r="N470" s="2" t="s">
        <v>344</v>
      </c>
      <c r="O470" s="2">
        <v>2025</v>
      </c>
      <c r="P470" s="2" t="str">
        <v>December</v>
      </c>
      <c r="Q470" s="2" t="s">
        <v>21</v>
      </c>
    </row>
    <row r="471" spans="1:17" x14ac:dyDescent="0.25">
      <c r="A471" s="2" t="s">
        <v>1161</v>
      </c>
      <c r="B471" s="7">
        <v>45669</v>
      </c>
      <c r="C471" s="5" t="s">
        <v>238</v>
      </c>
      <c r="D471" s="5" t="s">
        <v>51</v>
      </c>
      <c r="E471" s="5" t="s">
        <v>25</v>
      </c>
      <c r="F471" s="2" t="s">
        <v>26</v>
      </c>
      <c r="G471" s="2">
        <v>2</v>
      </c>
      <c r="H471" s="25">
        <v>10190</v>
      </c>
      <c r="I471" s="8">
        <v>0</v>
      </c>
      <c r="J471" s="25">
        <v>20380</v>
      </c>
      <c r="K471" s="25">
        <f>G471*H471</f>
        <v>20380</v>
      </c>
      <c r="L471" s="8">
        <f>K471*I471/100</f>
        <v>0</v>
      </c>
      <c r="M471" s="2" t="s">
        <v>94</v>
      </c>
      <c r="N471" s="2" t="s">
        <v>68</v>
      </c>
      <c r="O471" s="2">
        <v>2025</v>
      </c>
      <c r="P471" s="2" t="str">
        <v>January</v>
      </c>
      <c r="Q471" s="2" t="s">
        <v>47</v>
      </c>
    </row>
    <row r="472" spans="1:17" x14ac:dyDescent="0.25">
      <c r="A472" s="2" t="s">
        <v>1164</v>
      </c>
      <c r="B472" s="7">
        <v>45777</v>
      </c>
      <c r="C472" s="5" t="s">
        <v>76</v>
      </c>
      <c r="D472" s="5" t="s">
        <v>33</v>
      </c>
      <c r="E472" s="5" t="s">
        <v>179</v>
      </c>
      <c r="F472" s="2" t="s">
        <v>180</v>
      </c>
      <c r="G472" s="2">
        <v>4</v>
      </c>
      <c r="H472" s="25">
        <v>71560</v>
      </c>
      <c r="I472" s="8">
        <v>0</v>
      </c>
      <c r="J472" s="25">
        <v>286240</v>
      </c>
      <c r="K472" s="25">
        <f>G472*H472</f>
        <v>286240</v>
      </c>
      <c r="L472" s="8">
        <f>K472*I472/100</f>
        <v>0</v>
      </c>
      <c r="M472" s="2" t="s">
        <v>94</v>
      </c>
      <c r="N472" s="2" t="s">
        <v>188</v>
      </c>
      <c r="O472" s="2">
        <v>2025</v>
      </c>
      <c r="P472" s="2" t="str">
        <v>April</v>
      </c>
      <c r="Q472" s="2" t="s">
        <v>47</v>
      </c>
    </row>
    <row r="473" spans="1:17" x14ac:dyDescent="0.25">
      <c r="A473" s="2" t="s">
        <v>1165</v>
      </c>
      <c r="B473" s="7">
        <v>46005</v>
      </c>
      <c r="C473" s="5" t="s">
        <v>41</v>
      </c>
      <c r="D473" s="5" t="s">
        <v>42</v>
      </c>
      <c r="E473" s="5" t="s">
        <v>295</v>
      </c>
      <c r="F473" s="2" t="s">
        <v>66</v>
      </c>
      <c r="G473" s="2">
        <v>4</v>
      </c>
      <c r="H473" s="25">
        <v>2800</v>
      </c>
      <c r="I473" s="8">
        <v>0</v>
      </c>
      <c r="J473" s="25">
        <v>11200</v>
      </c>
      <c r="K473" s="25">
        <f>G473*H473</f>
        <v>11200</v>
      </c>
      <c r="L473" s="8">
        <f>K473*I473/100</f>
        <v>0</v>
      </c>
      <c r="M473" s="2" t="s">
        <v>53</v>
      </c>
      <c r="N473" s="2" t="s">
        <v>79</v>
      </c>
      <c r="O473" s="2">
        <v>2025</v>
      </c>
      <c r="P473" s="2" t="str">
        <v>December</v>
      </c>
      <c r="Q473" s="2" t="s">
        <v>21</v>
      </c>
    </row>
    <row r="474" spans="1:17" x14ac:dyDescent="0.25">
      <c r="A474" s="2" t="s">
        <v>1167</v>
      </c>
      <c r="B474" s="7">
        <v>45752</v>
      </c>
      <c r="C474" s="5" t="s">
        <v>238</v>
      </c>
      <c r="D474" s="5" t="s">
        <v>51</v>
      </c>
      <c r="E474" s="5" t="s">
        <v>179</v>
      </c>
      <c r="F474" s="2" t="s">
        <v>115</v>
      </c>
      <c r="G474" s="2">
        <v>3</v>
      </c>
      <c r="H474" s="25">
        <v>2280</v>
      </c>
      <c r="I474" s="8">
        <v>0</v>
      </c>
      <c r="J474" s="25">
        <v>6840</v>
      </c>
      <c r="K474" s="25">
        <f>G474*H474</f>
        <v>6840</v>
      </c>
      <c r="L474" s="8">
        <f>K474*I474/100</f>
        <v>0</v>
      </c>
      <c r="M474" s="2" t="s">
        <v>94</v>
      </c>
      <c r="N474" s="2" t="s">
        <v>411</v>
      </c>
      <c r="O474" s="2">
        <v>2025</v>
      </c>
      <c r="P474" s="2" t="str">
        <v>April</v>
      </c>
      <c r="Q474" s="2" t="s">
        <v>21</v>
      </c>
    </row>
    <row r="475" spans="1:17" x14ac:dyDescent="0.25">
      <c r="A475" s="2" t="s">
        <v>1169</v>
      </c>
      <c r="B475" s="7">
        <v>45902</v>
      </c>
      <c r="C475" s="5" t="s">
        <v>76</v>
      </c>
      <c r="D475" s="5" t="s">
        <v>33</v>
      </c>
      <c r="E475" s="5" t="s">
        <v>148</v>
      </c>
      <c r="F475" s="2" t="s">
        <v>209</v>
      </c>
      <c r="G475" s="2">
        <v>12</v>
      </c>
      <c r="H475" s="25">
        <v>5750</v>
      </c>
      <c r="I475" s="8">
        <v>0</v>
      </c>
      <c r="J475" s="25">
        <v>69000</v>
      </c>
      <c r="K475" s="25">
        <f>G475*H475</f>
        <v>69000</v>
      </c>
      <c r="L475" s="8">
        <f>K475*I475/100</f>
        <v>0</v>
      </c>
      <c r="M475" s="2" t="s">
        <v>139</v>
      </c>
      <c r="N475" s="2" t="s">
        <v>176</v>
      </c>
      <c r="O475" s="2">
        <v>2025</v>
      </c>
      <c r="P475" s="2" t="str">
        <v>September</v>
      </c>
      <c r="Q475" s="2" t="s">
        <v>47</v>
      </c>
    </row>
    <row r="476" spans="1:17" x14ac:dyDescent="0.25">
      <c r="A476" s="2" t="s">
        <v>1171</v>
      </c>
      <c r="B476" s="7">
        <v>45796</v>
      </c>
      <c r="C476" s="5" t="s">
        <v>238</v>
      </c>
      <c r="D476" s="5" t="s">
        <v>51</v>
      </c>
      <c r="E476" s="5" t="s">
        <v>25</v>
      </c>
      <c r="F476" s="2" t="s">
        <v>332</v>
      </c>
      <c r="G476" s="2">
        <v>11</v>
      </c>
      <c r="H476" s="25">
        <v>8300</v>
      </c>
      <c r="I476" s="8">
        <v>10</v>
      </c>
      <c r="J476" s="25">
        <v>82170</v>
      </c>
      <c r="K476" s="25">
        <f>G476*H476</f>
        <v>91300</v>
      </c>
      <c r="L476" s="8">
        <f>K476*I476/100</f>
        <v>9130</v>
      </c>
      <c r="M476" s="2" t="s">
        <v>53</v>
      </c>
      <c r="N476" s="2" t="s">
        <v>54</v>
      </c>
      <c r="O476" s="2">
        <v>2025</v>
      </c>
      <c r="P476" s="2" t="str">
        <v>May</v>
      </c>
      <c r="Q476" s="2" t="s">
        <v>47</v>
      </c>
    </row>
    <row r="477" spans="1:17" x14ac:dyDescent="0.25">
      <c r="A477" s="2" t="s">
        <v>1173</v>
      </c>
      <c r="B477" s="7">
        <v>45768</v>
      </c>
      <c r="C477" s="5" t="s">
        <v>238</v>
      </c>
      <c r="D477" s="5" t="s">
        <v>51</v>
      </c>
      <c r="E477" s="5" t="s">
        <v>25</v>
      </c>
      <c r="F477" s="2" t="s">
        <v>332</v>
      </c>
      <c r="G477" s="2">
        <v>12</v>
      </c>
      <c r="H477" s="25">
        <v>3300</v>
      </c>
      <c r="I477" s="8">
        <v>0</v>
      </c>
      <c r="J477" s="25">
        <v>39600</v>
      </c>
      <c r="K477" s="25">
        <f>G477*H477</f>
        <v>39600</v>
      </c>
      <c r="L477" s="8">
        <f>K477*I477/100</f>
        <v>0</v>
      </c>
      <c r="M477" s="2" t="s">
        <v>94</v>
      </c>
      <c r="N477" s="2" t="s">
        <v>176</v>
      </c>
      <c r="O477" s="2">
        <v>2025</v>
      </c>
      <c r="P477" s="2" t="str">
        <v>April</v>
      </c>
      <c r="Q477" s="2" t="s">
        <v>47</v>
      </c>
    </row>
    <row r="478" spans="1:17" x14ac:dyDescent="0.25">
      <c r="A478" s="2" t="s">
        <v>1175</v>
      </c>
      <c r="B478" s="7">
        <v>45876</v>
      </c>
      <c r="C478" s="5" t="s">
        <v>32</v>
      </c>
      <c r="D478" s="5" t="s">
        <v>33</v>
      </c>
      <c r="E478" s="5" t="s">
        <v>179</v>
      </c>
      <c r="F478" s="2" t="s">
        <v>184</v>
      </c>
      <c r="G478" s="2">
        <v>11</v>
      </c>
      <c r="H478" s="25">
        <v>61770</v>
      </c>
      <c r="I478" s="8">
        <v>0</v>
      </c>
      <c r="J478" s="25">
        <v>679470</v>
      </c>
      <c r="K478" s="25">
        <f>G478*H478</f>
        <v>679470</v>
      </c>
      <c r="L478" s="8">
        <f>K478*I478/100</f>
        <v>0</v>
      </c>
      <c r="M478" s="2" t="s">
        <v>102</v>
      </c>
      <c r="N478" s="2" t="s">
        <v>73</v>
      </c>
      <c r="O478" s="2">
        <v>2025</v>
      </c>
      <c r="P478" s="2" t="str">
        <v>August</v>
      </c>
      <c r="Q478" s="2" t="s">
        <v>21</v>
      </c>
    </row>
    <row r="479" spans="1:17" x14ac:dyDescent="0.25">
      <c r="A479" s="2" t="s">
        <v>1176</v>
      </c>
      <c r="B479" s="7">
        <v>45808</v>
      </c>
      <c r="C479" s="5" t="s">
        <v>238</v>
      </c>
      <c r="D479" s="5" t="s">
        <v>51</v>
      </c>
      <c r="E479" s="5" t="s">
        <v>25</v>
      </c>
      <c r="F479" s="2" t="s">
        <v>106</v>
      </c>
      <c r="G479" s="2">
        <v>7</v>
      </c>
      <c r="H479" s="25">
        <v>27090</v>
      </c>
      <c r="I479" s="8">
        <v>15</v>
      </c>
      <c r="J479" s="25">
        <v>161185.5</v>
      </c>
      <c r="K479" s="25">
        <f>G479*H479</f>
        <v>189630</v>
      </c>
      <c r="L479" s="8">
        <f>K479*I479/100</f>
        <v>28444.5</v>
      </c>
      <c r="M479" s="2" t="s">
        <v>53</v>
      </c>
      <c r="N479" s="2" t="s">
        <v>79</v>
      </c>
      <c r="O479" s="2">
        <v>2025</v>
      </c>
      <c r="P479" s="2" t="str">
        <v>May</v>
      </c>
      <c r="Q479" s="2" t="s">
        <v>47</v>
      </c>
    </row>
    <row r="480" spans="1:17" x14ac:dyDescent="0.25">
      <c r="A480" s="2" t="s">
        <v>1178</v>
      </c>
      <c r="B480" s="7">
        <v>46008</v>
      </c>
      <c r="C480" s="5" t="s">
        <v>32</v>
      </c>
      <c r="D480" s="5" t="s">
        <v>33</v>
      </c>
      <c r="E480" s="5" t="s">
        <v>25</v>
      </c>
      <c r="F480" s="2" t="s">
        <v>115</v>
      </c>
      <c r="G480" s="2">
        <v>5</v>
      </c>
      <c r="H480" s="25">
        <v>5190</v>
      </c>
      <c r="I480" s="8">
        <v>15</v>
      </c>
      <c r="J480" s="25">
        <v>22057.5</v>
      </c>
      <c r="K480" s="25">
        <f>G480*H480</f>
        <v>25950</v>
      </c>
      <c r="L480" s="8">
        <f>K480*I480/100</f>
        <v>3892.5</v>
      </c>
      <c r="M480" s="2" t="s">
        <v>102</v>
      </c>
      <c r="N480" s="2" t="s">
        <v>883</v>
      </c>
      <c r="O480" s="2">
        <v>2025</v>
      </c>
      <c r="P480" s="2" t="str">
        <v>December</v>
      </c>
      <c r="Q480" s="2" t="s">
        <v>21</v>
      </c>
    </row>
    <row r="481" spans="1:17" x14ac:dyDescent="0.25">
      <c r="A481" s="2" t="s">
        <v>1180</v>
      </c>
      <c r="B481" s="7">
        <v>45763</v>
      </c>
      <c r="C481" s="5" t="s">
        <v>41</v>
      </c>
      <c r="D481" s="5" t="s">
        <v>42</v>
      </c>
      <c r="E481" s="5" t="s">
        <v>179</v>
      </c>
      <c r="F481" s="2" t="s">
        <v>44</v>
      </c>
      <c r="G481" s="2">
        <v>10</v>
      </c>
      <c r="H481" s="25">
        <v>4640</v>
      </c>
      <c r="I481" s="8">
        <v>0</v>
      </c>
      <c r="J481" s="25">
        <v>46400</v>
      </c>
      <c r="K481" s="25">
        <f>G481*H481</f>
        <v>46400</v>
      </c>
      <c r="L481" s="8">
        <f>K481*I481/100</f>
        <v>0</v>
      </c>
      <c r="M481" s="2" t="s">
        <v>53</v>
      </c>
      <c r="N481" s="2" t="s">
        <v>266</v>
      </c>
      <c r="O481" s="2">
        <v>2025</v>
      </c>
      <c r="P481" s="2" t="str">
        <v>April</v>
      </c>
      <c r="Q481" s="2" t="s">
        <v>21</v>
      </c>
    </row>
    <row r="482" spans="1:17" x14ac:dyDescent="0.25">
      <c r="A482" s="2" t="s">
        <v>1182</v>
      </c>
      <c r="B482" s="7">
        <v>45956</v>
      </c>
      <c r="C482" s="5" t="s">
        <v>156</v>
      </c>
      <c r="D482" s="5" t="s">
        <v>51</v>
      </c>
      <c r="E482" s="5" t="s">
        <v>295</v>
      </c>
      <c r="F482" s="2" t="s">
        <v>101</v>
      </c>
      <c r="G482" s="2">
        <v>1</v>
      </c>
      <c r="H482" s="25">
        <v>8030</v>
      </c>
      <c r="I482" s="8">
        <v>10</v>
      </c>
      <c r="J482" s="25">
        <v>7227</v>
      </c>
      <c r="K482" s="25">
        <f>G482*H482</f>
        <v>8030</v>
      </c>
      <c r="L482" s="8">
        <f>K482*I482/100</f>
        <v>803</v>
      </c>
      <c r="M482" s="2" t="s">
        <v>139</v>
      </c>
      <c r="N482" s="2" t="s">
        <v>79</v>
      </c>
      <c r="O482" s="2">
        <v>2025</v>
      </c>
      <c r="P482" s="2" t="str">
        <v>October</v>
      </c>
      <c r="Q482" s="2" t="s">
        <v>21</v>
      </c>
    </row>
    <row r="483" spans="1:17" x14ac:dyDescent="0.25">
      <c r="A483" s="2" t="s">
        <v>1184</v>
      </c>
      <c r="B483" s="7">
        <v>45807</v>
      </c>
      <c r="C483" s="5" t="s">
        <v>135</v>
      </c>
      <c r="D483" s="5" t="s">
        <v>58</v>
      </c>
      <c r="E483" s="5" t="s">
        <v>148</v>
      </c>
      <c r="F483" s="2" t="s">
        <v>209</v>
      </c>
      <c r="G483" s="2">
        <v>12</v>
      </c>
      <c r="H483" s="25">
        <v>12240</v>
      </c>
      <c r="I483" s="8">
        <v>0</v>
      </c>
      <c r="J483" s="25">
        <v>146880</v>
      </c>
      <c r="K483" s="25">
        <f>G483*H483</f>
        <v>146880</v>
      </c>
      <c r="L483" s="8">
        <f>K483*I483/100</f>
        <v>0</v>
      </c>
      <c r="M483" s="2" t="s">
        <v>53</v>
      </c>
      <c r="N483" s="2" t="s">
        <v>883</v>
      </c>
      <c r="O483" s="2">
        <v>2025</v>
      </c>
      <c r="P483" s="2" t="str">
        <v>May</v>
      </c>
      <c r="Q483" s="2" t="s">
        <v>21</v>
      </c>
    </row>
    <row r="484" spans="1:17" x14ac:dyDescent="0.25">
      <c r="A484" s="2" t="s">
        <v>1185</v>
      </c>
      <c r="B484" s="7">
        <v>45982</v>
      </c>
      <c r="C484" s="5" t="s">
        <v>24</v>
      </c>
      <c r="D484" s="5" t="s">
        <v>16</v>
      </c>
      <c r="E484" s="5" t="s">
        <v>34</v>
      </c>
      <c r="F484" s="2" t="s">
        <v>164</v>
      </c>
      <c r="G484" s="2">
        <v>8</v>
      </c>
      <c r="H484" s="25">
        <v>3690</v>
      </c>
      <c r="I484" s="8">
        <v>5</v>
      </c>
      <c r="J484" s="25">
        <v>28044</v>
      </c>
      <c r="K484" s="25">
        <f>G484*H484</f>
        <v>29520</v>
      </c>
      <c r="L484" s="8">
        <f>K484*I484/100</f>
        <v>1476</v>
      </c>
      <c r="M484" s="2" t="s">
        <v>139</v>
      </c>
      <c r="N484" s="2" t="s">
        <v>37</v>
      </c>
      <c r="O484" s="2">
        <v>2025</v>
      </c>
      <c r="P484" s="2" t="str">
        <v>November</v>
      </c>
      <c r="Q484" s="2" t="s">
        <v>47</v>
      </c>
    </row>
    <row r="485" spans="1:17" x14ac:dyDescent="0.25">
      <c r="A485" s="2" t="s">
        <v>1187</v>
      </c>
      <c r="B485" s="7">
        <v>45762</v>
      </c>
      <c r="C485" s="5" t="s">
        <v>135</v>
      </c>
      <c r="D485" s="2" t="s">
        <v>58</v>
      </c>
      <c r="E485" s="2" t="s">
        <v>25</v>
      </c>
      <c r="F485" s="2" t="s">
        <v>332</v>
      </c>
      <c r="G485" s="2">
        <v>3</v>
      </c>
      <c r="H485" s="25">
        <v>4880</v>
      </c>
      <c r="I485" s="8">
        <v>0</v>
      </c>
      <c r="J485" s="25">
        <v>14640</v>
      </c>
      <c r="K485" s="25">
        <f>G485*H485</f>
        <v>14640</v>
      </c>
      <c r="L485" s="8">
        <f>K485*I485/100</f>
        <v>0</v>
      </c>
      <c r="M485" s="2" t="s">
        <v>53</v>
      </c>
      <c r="N485" s="2" t="s">
        <v>46</v>
      </c>
      <c r="O485" s="2">
        <v>2025</v>
      </c>
      <c r="P485" s="2" t="str">
        <v>April</v>
      </c>
      <c r="Q485" s="2" t="s">
        <v>21</v>
      </c>
    </row>
    <row r="486" spans="1:17" x14ac:dyDescent="0.25">
      <c r="A486" s="2" t="s">
        <v>1189</v>
      </c>
      <c r="B486" s="7">
        <v>45876</v>
      </c>
      <c r="C486" s="5" t="s">
        <v>24</v>
      </c>
      <c r="D486" s="5" t="s">
        <v>16</v>
      </c>
      <c r="E486" s="5" t="s">
        <v>34</v>
      </c>
      <c r="F486" s="2" t="s">
        <v>164</v>
      </c>
      <c r="G486" s="2">
        <v>1</v>
      </c>
      <c r="H486" s="25">
        <v>5080</v>
      </c>
      <c r="I486" s="8">
        <v>0</v>
      </c>
      <c r="J486" s="25">
        <v>5080</v>
      </c>
      <c r="K486" s="25">
        <f>G486*H486</f>
        <v>5080</v>
      </c>
      <c r="L486" s="8">
        <f>K486*I486/100</f>
        <v>0</v>
      </c>
      <c r="M486" s="2" t="s">
        <v>94</v>
      </c>
      <c r="N486" s="2" t="s">
        <v>68</v>
      </c>
      <c r="O486" s="2">
        <v>2025</v>
      </c>
      <c r="P486" s="2" t="str">
        <v>August</v>
      </c>
      <c r="Q486" s="2" t="s">
        <v>21</v>
      </c>
    </row>
    <row r="487" spans="1:17" x14ac:dyDescent="0.25">
      <c r="A487" s="2" t="s">
        <v>1191</v>
      </c>
      <c r="B487" s="7">
        <v>45816</v>
      </c>
      <c r="C487" s="5" t="s">
        <v>32</v>
      </c>
      <c r="D487" s="5" t="s">
        <v>33</v>
      </c>
      <c r="E487" s="5" t="s">
        <v>25</v>
      </c>
      <c r="F487" s="2" t="s">
        <v>255</v>
      </c>
      <c r="G487" s="2">
        <v>9</v>
      </c>
      <c r="H487" s="25">
        <v>13000</v>
      </c>
      <c r="I487" s="8">
        <v>0</v>
      </c>
      <c r="J487" s="25">
        <v>117000</v>
      </c>
      <c r="K487" s="25">
        <f>G487*H487</f>
        <v>117000</v>
      </c>
      <c r="L487" s="8">
        <f>K487*I487/100</f>
        <v>0</v>
      </c>
      <c r="M487" s="2" t="s">
        <v>102</v>
      </c>
      <c r="N487" s="2" t="s">
        <v>37</v>
      </c>
      <c r="O487" s="2">
        <v>2025</v>
      </c>
      <c r="P487" s="2" t="str">
        <v>June</v>
      </c>
      <c r="Q487" s="2" t="s">
        <v>21</v>
      </c>
    </row>
    <row r="488" spans="1:17" x14ac:dyDescent="0.25">
      <c r="A488" s="2" t="s">
        <v>1193</v>
      </c>
      <c r="B488" s="7">
        <v>45735</v>
      </c>
      <c r="C488" s="5" t="s">
        <v>156</v>
      </c>
      <c r="D488" s="5" t="s">
        <v>51</v>
      </c>
      <c r="E488" s="5" t="s">
        <v>179</v>
      </c>
      <c r="F488" s="2" t="s">
        <v>143</v>
      </c>
      <c r="G488" s="2">
        <v>11</v>
      </c>
      <c r="H488" s="25">
        <v>2500</v>
      </c>
      <c r="I488" s="8">
        <v>0</v>
      </c>
      <c r="J488" s="25">
        <v>27500</v>
      </c>
      <c r="K488" s="25">
        <f>G488*H488</f>
        <v>27500</v>
      </c>
      <c r="L488" s="8">
        <f>K488*I488/100</f>
        <v>0</v>
      </c>
      <c r="M488" s="2" t="s">
        <v>94</v>
      </c>
      <c r="N488" s="2" t="s">
        <v>73</v>
      </c>
      <c r="O488" s="2">
        <v>2025</v>
      </c>
      <c r="P488" s="2" t="str">
        <v>March</v>
      </c>
      <c r="Q488" s="2" t="s">
        <v>21</v>
      </c>
    </row>
    <row r="489" spans="1:17" x14ac:dyDescent="0.25">
      <c r="A489" s="2" t="s">
        <v>1194</v>
      </c>
      <c r="B489" s="7">
        <v>45968</v>
      </c>
      <c r="C489" s="5" t="s">
        <v>41</v>
      </c>
      <c r="D489" s="5" t="s">
        <v>42</v>
      </c>
      <c r="E489" s="5" t="s">
        <v>148</v>
      </c>
      <c r="F489" s="2" t="s">
        <v>379</v>
      </c>
      <c r="G489" s="2">
        <v>4</v>
      </c>
      <c r="H489" s="25">
        <v>24890</v>
      </c>
      <c r="I489" s="8">
        <v>15</v>
      </c>
      <c r="J489" s="25">
        <v>84626</v>
      </c>
      <c r="K489" s="25">
        <f>G489*H489</f>
        <v>99560</v>
      </c>
      <c r="L489" s="8">
        <f>K489*I489/100</f>
        <v>14934</v>
      </c>
      <c r="M489" s="2" t="s">
        <v>53</v>
      </c>
      <c r="N489" s="2" t="s">
        <v>406</v>
      </c>
      <c r="O489" s="2">
        <v>2025</v>
      </c>
      <c r="P489" s="2" t="str">
        <v>November</v>
      </c>
      <c r="Q489" s="2" t="s">
        <v>21</v>
      </c>
    </row>
    <row r="490" spans="1:17" x14ac:dyDescent="0.25">
      <c r="A490" s="2" t="s">
        <v>1195</v>
      </c>
      <c r="B490" s="7">
        <v>45712</v>
      </c>
      <c r="C490" s="5" t="s">
        <v>32</v>
      </c>
      <c r="D490" s="5" t="s">
        <v>33</v>
      </c>
      <c r="E490" s="5" t="s">
        <v>25</v>
      </c>
      <c r="F490" s="2" t="s">
        <v>26</v>
      </c>
      <c r="G490" s="2">
        <v>5</v>
      </c>
      <c r="H490" s="25">
        <v>19900</v>
      </c>
      <c r="I490" s="8">
        <v>0</v>
      </c>
      <c r="J490" s="25">
        <v>99500</v>
      </c>
      <c r="K490" s="25">
        <f>G490*H490</f>
        <v>99500</v>
      </c>
      <c r="L490" s="8">
        <f>K490*I490/100</f>
        <v>0</v>
      </c>
      <c r="M490" s="2" t="s">
        <v>53</v>
      </c>
      <c r="N490" s="2" t="s">
        <v>46</v>
      </c>
      <c r="O490" s="2">
        <v>2025</v>
      </c>
      <c r="P490" s="2" t="str">
        <v>February</v>
      </c>
      <c r="Q490" s="2" t="s">
        <v>47</v>
      </c>
    </row>
    <row r="491" spans="1:17" x14ac:dyDescent="0.25">
      <c r="A491" s="2" t="s">
        <v>1197</v>
      </c>
      <c r="B491" s="7">
        <v>45777</v>
      </c>
      <c r="C491" s="5" t="s">
        <v>76</v>
      </c>
      <c r="D491" s="5" t="s">
        <v>33</v>
      </c>
      <c r="E491" s="5" t="s">
        <v>25</v>
      </c>
      <c r="F491" s="2" t="s">
        <v>332</v>
      </c>
      <c r="G491" s="2">
        <v>12</v>
      </c>
      <c r="H491" s="25">
        <v>8170</v>
      </c>
      <c r="I491" s="8">
        <v>0</v>
      </c>
      <c r="J491" s="25">
        <v>98040</v>
      </c>
      <c r="K491" s="25">
        <f>G491*H491</f>
        <v>98040</v>
      </c>
      <c r="L491" s="8">
        <f>K491*I491/100</f>
        <v>0</v>
      </c>
      <c r="M491" s="2" t="s">
        <v>94</v>
      </c>
      <c r="N491" s="2" t="s">
        <v>406</v>
      </c>
      <c r="O491" s="2">
        <v>2025</v>
      </c>
      <c r="P491" s="2" t="str">
        <v>April</v>
      </c>
      <c r="Q491" s="2" t="s">
        <v>47</v>
      </c>
    </row>
    <row r="492" spans="1:17" x14ac:dyDescent="0.25">
      <c r="A492" s="2" t="s">
        <v>1199</v>
      </c>
      <c r="B492" s="7">
        <v>45883</v>
      </c>
      <c r="C492" s="5" t="s">
        <v>156</v>
      </c>
      <c r="D492" s="5" t="s">
        <v>51</v>
      </c>
      <c r="E492" s="5" t="s">
        <v>34</v>
      </c>
      <c r="F492" s="2" t="s">
        <v>164</v>
      </c>
      <c r="G492" s="2">
        <v>11</v>
      </c>
      <c r="H492" s="25">
        <v>3970</v>
      </c>
      <c r="I492" s="8">
        <v>10</v>
      </c>
      <c r="J492" s="25">
        <v>39303</v>
      </c>
      <c r="K492" s="25">
        <f>G492*H492</f>
        <v>43670</v>
      </c>
      <c r="L492" s="8">
        <f>K492*I492/100</f>
        <v>4367</v>
      </c>
      <c r="M492" s="2" t="s">
        <v>53</v>
      </c>
      <c r="N492" s="2" t="s">
        <v>68</v>
      </c>
      <c r="O492" s="2">
        <v>2025</v>
      </c>
      <c r="P492" s="2" t="str">
        <v>August</v>
      </c>
      <c r="Q492" s="2" t="s">
        <v>47</v>
      </c>
    </row>
    <row r="493" spans="1:17" x14ac:dyDescent="0.25">
      <c r="A493" s="2" t="s">
        <v>1201</v>
      </c>
      <c r="B493" s="7">
        <v>45681</v>
      </c>
      <c r="C493" s="5" t="s">
        <v>41</v>
      </c>
      <c r="D493" s="5" t="s">
        <v>42</v>
      </c>
      <c r="E493" s="5" t="s">
        <v>25</v>
      </c>
      <c r="F493" s="2" t="s">
        <v>255</v>
      </c>
      <c r="G493" s="2">
        <v>5</v>
      </c>
      <c r="H493" s="25">
        <v>11300</v>
      </c>
      <c r="I493" s="8">
        <v>0</v>
      </c>
      <c r="J493" s="25">
        <v>56500</v>
      </c>
      <c r="K493" s="25">
        <f>G493*H493</f>
        <v>56500</v>
      </c>
      <c r="L493" s="8">
        <f>K493*I493/100</f>
        <v>0</v>
      </c>
      <c r="M493" s="2" t="s">
        <v>94</v>
      </c>
      <c r="N493" s="2" t="s">
        <v>73</v>
      </c>
      <c r="O493" s="2">
        <v>2025</v>
      </c>
      <c r="P493" s="2" t="str">
        <v>January</v>
      </c>
      <c r="Q493" s="2" t="s">
        <v>21</v>
      </c>
    </row>
    <row r="494" spans="1:17" x14ac:dyDescent="0.25">
      <c r="A494" s="2" t="s">
        <v>1203</v>
      </c>
      <c r="B494" s="7">
        <v>45931</v>
      </c>
      <c r="C494" s="5" t="s">
        <v>32</v>
      </c>
      <c r="D494" s="5" t="s">
        <v>33</v>
      </c>
      <c r="E494" s="5" t="s">
        <v>34</v>
      </c>
      <c r="F494" s="2" t="s">
        <v>35</v>
      </c>
      <c r="G494" s="2">
        <v>2</v>
      </c>
      <c r="H494" s="25">
        <v>20240</v>
      </c>
      <c r="I494" s="8">
        <v>0</v>
      </c>
      <c r="J494" s="25">
        <v>40480</v>
      </c>
      <c r="K494" s="25">
        <f>G494*H494</f>
        <v>40480</v>
      </c>
      <c r="L494" s="8">
        <f>K494*I494/100</f>
        <v>0</v>
      </c>
      <c r="M494" s="2" t="s">
        <v>94</v>
      </c>
      <c r="N494" s="2" t="s">
        <v>176</v>
      </c>
      <c r="O494" s="2">
        <v>2025</v>
      </c>
      <c r="P494" s="2" t="str">
        <v>October</v>
      </c>
      <c r="Q494" s="2" t="s">
        <v>47</v>
      </c>
    </row>
    <row r="495" spans="1:17" x14ac:dyDescent="0.25">
      <c r="A495" s="2" t="s">
        <v>1205</v>
      </c>
      <c r="B495" s="7">
        <v>45666</v>
      </c>
      <c r="C495" s="5" t="s">
        <v>76</v>
      </c>
      <c r="D495" s="5" t="s">
        <v>33</v>
      </c>
      <c r="E495" s="5" t="s">
        <v>34</v>
      </c>
      <c r="F495" s="2" t="s">
        <v>199</v>
      </c>
      <c r="G495" s="2">
        <v>8</v>
      </c>
      <c r="H495" s="25">
        <v>1100</v>
      </c>
      <c r="I495" s="8">
        <v>0</v>
      </c>
      <c r="J495" s="25">
        <v>8800</v>
      </c>
      <c r="K495" s="25">
        <f>G495*H495</f>
        <v>8800</v>
      </c>
      <c r="L495" s="8">
        <f>K495*I495/100</f>
        <v>0</v>
      </c>
      <c r="M495" s="2" t="s">
        <v>139</v>
      </c>
      <c r="N495" s="2" t="s">
        <v>37</v>
      </c>
      <c r="O495" s="2">
        <v>2025</v>
      </c>
      <c r="P495" s="2" t="str">
        <v>January</v>
      </c>
      <c r="Q495" s="2" t="s">
        <v>47</v>
      </c>
    </row>
    <row r="496" spans="1:17" x14ac:dyDescent="0.25">
      <c r="A496" s="2" t="s">
        <v>1207</v>
      </c>
      <c r="B496" s="7">
        <v>45952</v>
      </c>
      <c r="C496" s="5" t="s">
        <v>32</v>
      </c>
      <c r="D496" s="5" t="s">
        <v>33</v>
      </c>
      <c r="E496" s="5" t="s">
        <v>34</v>
      </c>
      <c r="F496" s="2" t="s">
        <v>374</v>
      </c>
      <c r="G496" s="2">
        <v>7</v>
      </c>
      <c r="H496" s="25">
        <v>25290</v>
      </c>
      <c r="I496" s="8">
        <v>10</v>
      </c>
      <c r="J496" s="25">
        <v>159327</v>
      </c>
      <c r="K496" s="25">
        <f>G496*H496</f>
        <v>177030</v>
      </c>
      <c r="L496" s="8">
        <f>K496*I496/100</f>
        <v>17703</v>
      </c>
      <c r="M496" s="2" t="s">
        <v>139</v>
      </c>
      <c r="N496" s="2" t="s">
        <v>73</v>
      </c>
      <c r="O496" s="2">
        <v>2025</v>
      </c>
      <c r="P496" s="2" t="str">
        <v>October</v>
      </c>
      <c r="Q496" s="2" t="s">
        <v>47</v>
      </c>
    </row>
    <row r="497" spans="1:17" x14ac:dyDescent="0.25">
      <c r="A497" s="2" t="s">
        <v>1209</v>
      </c>
      <c r="B497" s="7">
        <v>45887</v>
      </c>
      <c r="C497" s="5" t="s">
        <v>156</v>
      </c>
      <c r="D497" s="5" t="s">
        <v>51</v>
      </c>
      <c r="E497" s="5" t="s">
        <v>148</v>
      </c>
      <c r="F497" s="2" t="s">
        <v>435</v>
      </c>
      <c r="G497" s="2">
        <v>11</v>
      </c>
      <c r="H497" s="25">
        <v>1230</v>
      </c>
      <c r="I497" s="8">
        <v>15</v>
      </c>
      <c r="J497" s="25">
        <v>11500.5</v>
      </c>
      <c r="K497" s="25">
        <f>G497*H497</f>
        <v>13530</v>
      </c>
      <c r="L497" s="8">
        <f>K497*I497/100</f>
        <v>2029.5</v>
      </c>
      <c r="M497" s="2" t="s">
        <v>94</v>
      </c>
      <c r="N497" s="2" t="s">
        <v>341</v>
      </c>
      <c r="O497" s="2">
        <v>2025</v>
      </c>
      <c r="P497" s="2" t="str">
        <v>August</v>
      </c>
      <c r="Q497" s="2" t="s">
        <v>47</v>
      </c>
    </row>
    <row r="498" spans="1:17" x14ac:dyDescent="0.25">
      <c r="A498" s="2" t="s">
        <v>1211</v>
      </c>
      <c r="B498" s="7">
        <v>45834</v>
      </c>
      <c r="C498" s="5" t="s">
        <v>24</v>
      </c>
      <c r="D498" s="5" t="s">
        <v>33</v>
      </c>
      <c r="E498" s="5" t="s">
        <v>148</v>
      </c>
      <c r="F498" s="2" t="s">
        <v>435</v>
      </c>
      <c r="G498" s="2">
        <v>9</v>
      </c>
      <c r="H498" s="25">
        <v>4510</v>
      </c>
      <c r="I498" s="8">
        <v>0</v>
      </c>
      <c r="J498" s="25">
        <v>40590</v>
      </c>
      <c r="K498" s="25">
        <f>G498*H498</f>
        <v>40590</v>
      </c>
      <c r="L498" s="8">
        <f>K498*I498/100</f>
        <v>0</v>
      </c>
      <c r="M498" s="2" t="s">
        <v>94</v>
      </c>
      <c r="N498" s="2" t="s">
        <v>188</v>
      </c>
      <c r="O498" s="2">
        <v>2025</v>
      </c>
      <c r="P498" s="2" t="str">
        <v>June</v>
      </c>
      <c r="Q498" s="2" t="s">
        <v>21</v>
      </c>
    </row>
    <row r="499" spans="1:17" x14ac:dyDescent="0.25">
      <c r="A499" s="2" t="s">
        <v>1213</v>
      </c>
      <c r="B499" s="7">
        <v>45986</v>
      </c>
      <c r="C499" s="5" t="s">
        <v>32</v>
      </c>
      <c r="D499" s="5" t="s">
        <v>33</v>
      </c>
      <c r="E499" s="5" t="s">
        <v>179</v>
      </c>
      <c r="F499" s="2" t="s">
        <v>239</v>
      </c>
      <c r="G499" s="2">
        <v>5</v>
      </c>
      <c r="H499" s="25">
        <v>5660</v>
      </c>
      <c r="I499" s="8">
        <v>0</v>
      </c>
      <c r="J499" s="25">
        <v>28300</v>
      </c>
      <c r="K499" s="25">
        <f>G499*H499</f>
        <v>28300</v>
      </c>
      <c r="L499" s="8">
        <f>K499*I499/100</f>
        <v>0</v>
      </c>
      <c r="M499" s="2" t="s">
        <v>102</v>
      </c>
      <c r="N499" s="2" t="s">
        <v>37</v>
      </c>
      <c r="O499" s="2">
        <v>2025</v>
      </c>
      <c r="P499" s="2" t="str">
        <v>November</v>
      </c>
      <c r="Q499" s="2" t="s">
        <v>21</v>
      </c>
    </row>
    <row r="500" spans="1:17" x14ac:dyDescent="0.25">
      <c r="A500" s="2" t="s">
        <v>1214</v>
      </c>
      <c r="B500" s="7">
        <v>45859</v>
      </c>
      <c r="C500" s="5" t="s">
        <v>24</v>
      </c>
      <c r="D500" s="5" t="s">
        <v>16</v>
      </c>
      <c r="E500" s="5" t="s">
        <v>295</v>
      </c>
      <c r="F500" s="2" t="s">
        <v>132</v>
      </c>
      <c r="G500" s="2">
        <v>4</v>
      </c>
      <c r="H500" s="25">
        <v>3370</v>
      </c>
      <c r="I500" s="8">
        <v>10</v>
      </c>
      <c r="J500" s="25">
        <v>12132</v>
      </c>
      <c r="K500" s="25">
        <f>G500*H500</f>
        <v>13480</v>
      </c>
      <c r="L500" s="8">
        <f>K500*I500/100</f>
        <v>1348</v>
      </c>
      <c r="M500" s="2" t="s">
        <v>139</v>
      </c>
      <c r="N500" s="2" t="s">
        <v>411</v>
      </c>
      <c r="O500" s="2">
        <v>2025</v>
      </c>
      <c r="P500" s="2" t="str">
        <v>July</v>
      </c>
      <c r="Q500" s="2" t="s">
        <v>47</v>
      </c>
    </row>
    <row r="501" spans="1:17" x14ac:dyDescent="0.25">
      <c r="A501" s="2" t="s">
        <v>1216</v>
      </c>
      <c r="B501" s="7">
        <v>46009</v>
      </c>
      <c r="C501" s="5" t="s">
        <v>41</v>
      </c>
      <c r="D501" s="5" t="s">
        <v>42</v>
      </c>
      <c r="E501" s="5" t="s">
        <v>148</v>
      </c>
      <c r="F501" s="2" t="s">
        <v>252</v>
      </c>
      <c r="G501" s="2">
        <v>4</v>
      </c>
      <c r="H501" s="25">
        <v>8170</v>
      </c>
      <c r="I501" s="8">
        <v>15</v>
      </c>
      <c r="J501" s="25">
        <v>27778</v>
      </c>
      <c r="K501" s="25">
        <f>G501*H501</f>
        <v>32680</v>
      </c>
      <c r="L501" s="8">
        <f>K501*I501/100</f>
        <v>4902</v>
      </c>
      <c r="M501" s="2" t="s">
        <v>102</v>
      </c>
      <c r="N501" s="2" t="s">
        <v>54</v>
      </c>
      <c r="O501" s="2">
        <v>2025</v>
      </c>
      <c r="P501" s="2" t="str">
        <v>December</v>
      </c>
      <c r="Q501" s="2" t="s">
        <v>47</v>
      </c>
    </row>
    <row r="502" spans="1:17" x14ac:dyDescent="0.25">
      <c r="A502" s="2" t="s">
        <v>1218</v>
      </c>
      <c r="B502" s="7">
        <v>46002</v>
      </c>
      <c r="C502" s="5" t="s">
        <v>41</v>
      </c>
      <c r="D502" s="5" t="s">
        <v>42</v>
      </c>
      <c r="E502" s="5" t="s">
        <v>179</v>
      </c>
      <c r="F502" s="2" t="s">
        <v>224</v>
      </c>
      <c r="G502" s="2">
        <v>8</v>
      </c>
      <c r="H502" s="25">
        <v>3430</v>
      </c>
      <c r="I502" s="8">
        <v>15</v>
      </c>
      <c r="J502" s="25">
        <v>23324</v>
      </c>
      <c r="K502" s="25">
        <f>G502*H502</f>
        <v>27440</v>
      </c>
      <c r="L502" s="8">
        <f>K502*I502/100</f>
        <v>4116</v>
      </c>
      <c r="M502" s="2" t="s">
        <v>53</v>
      </c>
      <c r="N502" s="2" t="s">
        <v>188</v>
      </c>
      <c r="O502" s="2">
        <v>2025</v>
      </c>
      <c r="P502" s="2" t="str">
        <v>December</v>
      </c>
      <c r="Q502" s="2" t="s">
        <v>21</v>
      </c>
    </row>
    <row r="503" spans="1:17" x14ac:dyDescent="0.25">
      <c r="A503" s="2" t="s">
        <v>1220</v>
      </c>
      <c r="B503" s="7">
        <v>45849</v>
      </c>
      <c r="C503" s="5" t="s">
        <v>238</v>
      </c>
      <c r="D503" s="5" t="s">
        <v>51</v>
      </c>
      <c r="E503" s="5" t="s">
        <v>25</v>
      </c>
      <c r="F503" s="2" t="s">
        <v>332</v>
      </c>
      <c r="G503" s="2">
        <v>12</v>
      </c>
      <c r="H503" s="25">
        <v>20160</v>
      </c>
      <c r="I503" s="8">
        <v>10</v>
      </c>
      <c r="J503" s="25">
        <v>217728</v>
      </c>
      <c r="K503" s="25">
        <f>G503*H503</f>
        <v>241920</v>
      </c>
      <c r="L503" s="8">
        <f>K503*I503/100</f>
        <v>24192</v>
      </c>
      <c r="M503" s="2" t="s">
        <v>94</v>
      </c>
      <c r="N503" s="2" t="s">
        <v>176</v>
      </c>
      <c r="O503" s="2">
        <v>2025</v>
      </c>
      <c r="P503" s="2" t="str">
        <v>July</v>
      </c>
      <c r="Q503" s="2" t="s">
        <v>47</v>
      </c>
    </row>
    <row r="504" spans="1:17" x14ac:dyDescent="0.25">
      <c r="A504" s="2" t="s">
        <v>1222</v>
      </c>
      <c r="B504" s="7">
        <v>45817</v>
      </c>
      <c r="C504" s="5" t="s">
        <v>156</v>
      </c>
      <c r="D504" s="5" t="s">
        <v>51</v>
      </c>
      <c r="E504" s="5" t="s">
        <v>25</v>
      </c>
      <c r="F504" s="2" t="s">
        <v>106</v>
      </c>
      <c r="G504" s="2">
        <v>10</v>
      </c>
      <c r="H504" s="25">
        <v>18180</v>
      </c>
      <c r="I504" s="8">
        <v>0</v>
      </c>
      <c r="J504" s="25">
        <v>181800</v>
      </c>
      <c r="K504" s="25">
        <f>G504*H504</f>
        <v>181800</v>
      </c>
      <c r="L504" s="8">
        <f>K504*I504/100</f>
        <v>0</v>
      </c>
      <c r="M504" s="2" t="s">
        <v>53</v>
      </c>
      <c r="N504" s="2" t="s">
        <v>79</v>
      </c>
      <c r="O504" s="2">
        <v>2025</v>
      </c>
      <c r="P504" s="2" t="str">
        <v>June</v>
      </c>
      <c r="Q504" s="2" t="s">
        <v>47</v>
      </c>
    </row>
    <row r="505" spans="1:17" x14ac:dyDescent="0.25">
      <c r="A505" s="2" t="s">
        <v>1224</v>
      </c>
      <c r="B505" s="7">
        <v>45944</v>
      </c>
      <c r="C505" s="5" t="s">
        <v>76</v>
      </c>
      <c r="D505" s="5" t="s">
        <v>33</v>
      </c>
      <c r="E505" s="5" t="s">
        <v>179</v>
      </c>
      <c r="F505" s="2" t="s">
        <v>143</v>
      </c>
      <c r="G505" s="2">
        <v>10</v>
      </c>
      <c r="H505" s="25">
        <v>41000</v>
      </c>
      <c r="I505" s="8">
        <v>0</v>
      </c>
      <c r="J505" s="25">
        <v>410000</v>
      </c>
      <c r="K505" s="25">
        <f>G505*H505</f>
        <v>410000</v>
      </c>
      <c r="L505" s="8">
        <f>K505*I505/100</f>
        <v>0</v>
      </c>
      <c r="M505" s="2" t="s">
        <v>53</v>
      </c>
      <c r="N505" s="2" t="s">
        <v>176</v>
      </c>
      <c r="O505" s="2">
        <v>2025</v>
      </c>
      <c r="P505" s="2" t="str">
        <v>October</v>
      </c>
      <c r="Q505" s="2" t="s">
        <v>47</v>
      </c>
    </row>
    <row r="506" spans="1:17" x14ac:dyDescent="0.25">
      <c r="A506" s="2" t="s">
        <v>1226</v>
      </c>
      <c r="B506" s="7">
        <v>46016</v>
      </c>
      <c r="C506" s="5" t="s">
        <v>238</v>
      </c>
      <c r="D506" s="5" t="s">
        <v>51</v>
      </c>
      <c r="E506" s="5" t="s">
        <v>295</v>
      </c>
      <c r="F506" s="2" t="s">
        <v>314</v>
      </c>
      <c r="G506" s="2">
        <v>8</v>
      </c>
      <c r="H506" s="25">
        <v>1330</v>
      </c>
      <c r="I506" s="8">
        <v>5</v>
      </c>
      <c r="J506" s="25">
        <v>10108</v>
      </c>
      <c r="K506" s="25">
        <f>G506*H506</f>
        <v>10640</v>
      </c>
      <c r="L506" s="8">
        <f>K506*I506/100</f>
        <v>532</v>
      </c>
      <c r="M506" s="2" t="s">
        <v>139</v>
      </c>
      <c r="N506" s="2" t="s">
        <v>341</v>
      </c>
      <c r="O506" s="2">
        <v>2025</v>
      </c>
      <c r="P506" s="2" t="str">
        <v>December</v>
      </c>
      <c r="Q506" s="2" t="s">
        <v>21</v>
      </c>
    </row>
    <row r="507" spans="1:17" x14ac:dyDescent="0.25">
      <c r="A507" s="2" t="s">
        <v>1227</v>
      </c>
      <c r="B507" s="7">
        <v>45815</v>
      </c>
      <c r="C507" s="5" t="s">
        <v>135</v>
      </c>
      <c r="D507" s="5" t="s">
        <v>58</v>
      </c>
      <c r="E507" s="5" t="s">
        <v>295</v>
      </c>
      <c r="F507" s="2" t="s">
        <v>319</v>
      </c>
      <c r="G507" s="2">
        <v>2</v>
      </c>
      <c r="H507" s="25">
        <v>41080</v>
      </c>
      <c r="I507" s="8">
        <v>10</v>
      </c>
      <c r="J507" s="25">
        <v>73944</v>
      </c>
      <c r="K507" s="25">
        <f>G507*H507</f>
        <v>82160</v>
      </c>
      <c r="L507" s="8">
        <f>K507*I507/100</f>
        <v>8216</v>
      </c>
      <c r="M507" s="2" t="s">
        <v>53</v>
      </c>
      <c r="N507" s="2" t="s">
        <v>54</v>
      </c>
      <c r="O507" s="2">
        <v>2025</v>
      </c>
      <c r="P507" s="2" t="str">
        <v>June</v>
      </c>
      <c r="Q507" s="2" t="s">
        <v>47</v>
      </c>
    </row>
    <row r="508" spans="1:17" x14ac:dyDescent="0.25">
      <c r="A508" s="2" t="s">
        <v>1230</v>
      </c>
      <c r="B508" s="7">
        <v>45948</v>
      </c>
      <c r="C508" s="5" t="s">
        <v>76</v>
      </c>
      <c r="D508" s="5" t="s">
        <v>33</v>
      </c>
      <c r="E508" s="5" t="s">
        <v>295</v>
      </c>
      <c r="F508" s="2" t="s">
        <v>126</v>
      </c>
      <c r="G508" s="2">
        <v>12</v>
      </c>
      <c r="H508" s="25">
        <v>2480</v>
      </c>
      <c r="I508" s="8">
        <v>15</v>
      </c>
      <c r="J508" s="25">
        <v>25296</v>
      </c>
      <c r="K508" s="25">
        <f>G508*H508</f>
        <v>29760</v>
      </c>
      <c r="L508" s="8">
        <f>K508*I508/100</f>
        <v>4464</v>
      </c>
      <c r="M508" s="2" t="s">
        <v>102</v>
      </c>
      <c r="N508" s="2" t="s">
        <v>79</v>
      </c>
      <c r="O508" s="2">
        <v>2025</v>
      </c>
      <c r="P508" s="2" t="str">
        <v>October</v>
      </c>
      <c r="Q508" s="2" t="s">
        <v>47</v>
      </c>
    </row>
    <row r="509" spans="1:17" x14ac:dyDescent="0.25">
      <c r="A509" s="2" t="s">
        <v>1232</v>
      </c>
      <c r="B509" s="7">
        <v>45851</v>
      </c>
      <c r="C509" s="5" t="s">
        <v>41</v>
      </c>
      <c r="D509" s="5" t="s">
        <v>42</v>
      </c>
      <c r="E509" s="5" t="s">
        <v>34</v>
      </c>
      <c r="F509" s="2" t="s">
        <v>290</v>
      </c>
      <c r="G509" s="2">
        <v>7</v>
      </c>
      <c r="H509" s="25">
        <v>9650</v>
      </c>
      <c r="I509" s="8">
        <v>0</v>
      </c>
      <c r="J509" s="25">
        <v>67550</v>
      </c>
      <c r="K509" s="25">
        <f>G509*H509</f>
        <v>67550</v>
      </c>
      <c r="L509" s="8">
        <f>K509*I509/100</f>
        <v>0</v>
      </c>
      <c r="M509" s="2" t="s">
        <v>53</v>
      </c>
      <c r="N509" s="2" t="s">
        <v>46</v>
      </c>
      <c r="O509" s="2">
        <v>2025</v>
      </c>
      <c r="P509" s="2" t="str">
        <v>July</v>
      </c>
      <c r="Q509" s="2" t="s">
        <v>47</v>
      </c>
    </row>
    <row r="510" spans="1:17" x14ac:dyDescent="0.25">
      <c r="A510" s="2" t="s">
        <v>1234</v>
      </c>
      <c r="B510" s="7">
        <v>45779</v>
      </c>
      <c r="C510" s="5" t="s">
        <v>156</v>
      </c>
      <c r="D510" s="5" t="s">
        <v>51</v>
      </c>
      <c r="E510" s="5" t="s">
        <v>25</v>
      </c>
      <c r="F510" s="2" t="s">
        <v>332</v>
      </c>
      <c r="G510" s="2">
        <v>11</v>
      </c>
      <c r="H510" s="25">
        <v>27090</v>
      </c>
      <c r="I510" s="8">
        <v>0</v>
      </c>
      <c r="J510" s="25">
        <v>297990</v>
      </c>
      <c r="K510" s="25">
        <f>G510*H510</f>
        <v>297990</v>
      </c>
      <c r="L510" s="8">
        <f>K510*I510/100</f>
        <v>0</v>
      </c>
      <c r="M510" s="2" t="s">
        <v>53</v>
      </c>
      <c r="N510" s="2" t="s">
        <v>46</v>
      </c>
      <c r="O510" s="2">
        <v>2025</v>
      </c>
      <c r="P510" s="2" t="str">
        <v>May</v>
      </c>
      <c r="Q510" s="2" t="s">
        <v>21</v>
      </c>
    </row>
    <row r="511" spans="1:17" x14ac:dyDescent="0.25">
      <c r="A511" s="2" t="s">
        <v>1235</v>
      </c>
      <c r="B511" s="7">
        <v>45825</v>
      </c>
      <c r="C511" s="5" t="s">
        <v>24</v>
      </c>
      <c r="D511" s="5" t="s">
        <v>16</v>
      </c>
      <c r="E511" s="5" t="s">
        <v>25</v>
      </c>
      <c r="F511" s="2" t="s">
        <v>26</v>
      </c>
      <c r="G511" s="2">
        <v>12</v>
      </c>
      <c r="H511" s="25">
        <v>71390</v>
      </c>
      <c r="I511" s="8">
        <v>0</v>
      </c>
      <c r="J511" s="25">
        <v>856680</v>
      </c>
      <c r="K511" s="25">
        <f>G511*H511</f>
        <v>856680</v>
      </c>
      <c r="L511" s="8">
        <f>K511*I511/100</f>
        <v>0</v>
      </c>
      <c r="M511" s="2" t="s">
        <v>102</v>
      </c>
      <c r="N511" s="2" t="s">
        <v>176</v>
      </c>
      <c r="O511" s="2">
        <v>2025</v>
      </c>
      <c r="P511" s="2" t="str">
        <v>June</v>
      </c>
      <c r="Q511" s="2" t="s">
        <v>21</v>
      </c>
    </row>
    <row r="512" spans="1:17" x14ac:dyDescent="0.25">
      <c r="A512" s="2" t="s">
        <v>1236</v>
      </c>
      <c r="B512" s="7">
        <v>45666</v>
      </c>
      <c r="C512" s="5" t="s">
        <v>41</v>
      </c>
      <c r="D512" s="5" t="s">
        <v>42</v>
      </c>
      <c r="E512" s="5" t="s">
        <v>25</v>
      </c>
      <c r="F512" s="2" t="s">
        <v>93</v>
      </c>
      <c r="G512" s="2">
        <v>4</v>
      </c>
      <c r="H512" s="25">
        <v>20400</v>
      </c>
      <c r="I512" s="8">
        <v>10</v>
      </c>
      <c r="J512" s="25">
        <v>73440</v>
      </c>
      <c r="K512" s="25">
        <f>G512*H512</f>
        <v>81600</v>
      </c>
      <c r="L512" s="8">
        <f>K512*I512/100</f>
        <v>8160</v>
      </c>
      <c r="M512" s="2" t="s">
        <v>94</v>
      </c>
      <c r="N512" s="2" t="s">
        <v>68</v>
      </c>
      <c r="O512" s="2">
        <v>2025</v>
      </c>
      <c r="P512" s="2" t="str">
        <v>January</v>
      </c>
      <c r="Q512" s="2" t="s">
        <v>47</v>
      </c>
    </row>
    <row r="513" spans="1:17" x14ac:dyDescent="0.25">
      <c r="A513" s="2" t="s">
        <v>1237</v>
      </c>
      <c r="B513" s="7">
        <v>45908</v>
      </c>
      <c r="C513" s="5" t="s">
        <v>76</v>
      </c>
      <c r="D513" s="5" t="s">
        <v>33</v>
      </c>
      <c r="E513" s="5" t="s">
        <v>179</v>
      </c>
      <c r="F513" s="2" t="s">
        <v>209</v>
      </c>
      <c r="G513" s="2">
        <v>5</v>
      </c>
      <c r="H513" s="25">
        <v>2560</v>
      </c>
      <c r="I513" s="8">
        <v>15</v>
      </c>
      <c r="J513" s="25">
        <v>10880</v>
      </c>
      <c r="K513" s="25">
        <f>G513*H513</f>
        <v>12800</v>
      </c>
      <c r="L513" s="8">
        <f>K513*I513/100</f>
        <v>1920</v>
      </c>
      <c r="M513" s="2" t="s">
        <v>53</v>
      </c>
      <c r="N513" s="2" t="s">
        <v>68</v>
      </c>
      <c r="O513" s="2">
        <v>2025</v>
      </c>
      <c r="P513" s="2" t="str">
        <v>September</v>
      </c>
      <c r="Q513" s="2" t="s">
        <v>21</v>
      </c>
    </row>
    <row r="514" spans="1:17" x14ac:dyDescent="0.25">
      <c r="A514" s="2" t="s">
        <v>1239</v>
      </c>
      <c r="B514" s="7">
        <v>46017</v>
      </c>
      <c r="C514" s="5" t="s">
        <v>32</v>
      </c>
      <c r="D514" s="5" t="s">
        <v>33</v>
      </c>
      <c r="E514" s="5" t="s">
        <v>34</v>
      </c>
      <c r="F514" s="2" t="s">
        <v>18</v>
      </c>
      <c r="G514" s="2">
        <v>11</v>
      </c>
      <c r="H514" s="25">
        <v>46990</v>
      </c>
      <c r="I514" s="8">
        <v>0</v>
      </c>
      <c r="J514" s="25">
        <v>516890</v>
      </c>
      <c r="K514" s="25">
        <f>G514*H514</f>
        <v>516890</v>
      </c>
      <c r="L514" s="8">
        <f>K514*I514/100</f>
        <v>0</v>
      </c>
      <c r="M514" s="2" t="s">
        <v>94</v>
      </c>
      <c r="N514" s="2" t="s">
        <v>883</v>
      </c>
      <c r="O514" s="2">
        <v>2025</v>
      </c>
      <c r="P514" s="2" t="str">
        <v>December</v>
      </c>
      <c r="Q514" s="2" t="s">
        <v>21</v>
      </c>
    </row>
    <row r="515" spans="1:17" x14ac:dyDescent="0.25">
      <c r="A515" s="2" t="s">
        <v>1242</v>
      </c>
      <c r="B515" s="7">
        <v>45726</v>
      </c>
      <c r="C515" s="5" t="s">
        <v>76</v>
      </c>
      <c r="D515" s="5" t="s">
        <v>33</v>
      </c>
      <c r="E515" s="5" t="s">
        <v>179</v>
      </c>
      <c r="F515" s="2" t="s">
        <v>296</v>
      </c>
      <c r="G515" s="2">
        <v>2</v>
      </c>
      <c r="H515" s="25">
        <v>8510</v>
      </c>
      <c r="I515" s="8">
        <v>0</v>
      </c>
      <c r="J515" s="25">
        <v>17020</v>
      </c>
      <c r="K515" s="25">
        <f>G515*H515</f>
        <v>17020</v>
      </c>
      <c r="L515" s="8">
        <f>K515*I515/100</f>
        <v>0</v>
      </c>
      <c r="M515" s="2" t="s">
        <v>139</v>
      </c>
      <c r="N515" s="2" t="s">
        <v>188</v>
      </c>
      <c r="O515" s="2">
        <v>2025</v>
      </c>
      <c r="P515" s="2" t="str">
        <v>March</v>
      </c>
      <c r="Q515" s="2" t="s">
        <v>21</v>
      </c>
    </row>
    <row r="516" spans="1:17" x14ac:dyDescent="0.25">
      <c r="A516" s="2" t="s">
        <v>1244</v>
      </c>
      <c r="B516" s="7">
        <v>45814</v>
      </c>
      <c r="C516" s="5" t="s">
        <v>24</v>
      </c>
      <c r="D516" s="5" t="s">
        <v>16</v>
      </c>
      <c r="E516" s="5" t="s">
        <v>148</v>
      </c>
      <c r="F516" s="2" t="s">
        <v>379</v>
      </c>
      <c r="G516" s="2">
        <v>7</v>
      </c>
      <c r="H516" s="25">
        <v>72140</v>
      </c>
      <c r="I516" s="8">
        <v>5</v>
      </c>
      <c r="J516" s="25">
        <v>479731</v>
      </c>
      <c r="K516" s="25">
        <f>G516*H516</f>
        <v>504980</v>
      </c>
      <c r="L516" s="8">
        <f>K516*I516/100</f>
        <v>25249</v>
      </c>
      <c r="M516" s="2" t="s">
        <v>139</v>
      </c>
      <c r="N516" s="2" t="s">
        <v>79</v>
      </c>
      <c r="O516" s="2">
        <v>2025</v>
      </c>
      <c r="P516" s="2" t="str">
        <v>June</v>
      </c>
      <c r="Q516" s="2" t="s">
        <v>47</v>
      </c>
    </row>
    <row r="517" spans="1:17" x14ac:dyDescent="0.25">
      <c r="A517" s="2" t="s">
        <v>1246</v>
      </c>
      <c r="B517" s="7">
        <v>45881</v>
      </c>
      <c r="C517" s="5" t="s">
        <v>24</v>
      </c>
      <c r="D517" s="5" t="s">
        <v>16</v>
      </c>
      <c r="E517" s="5" t="s">
        <v>148</v>
      </c>
      <c r="F517" s="2" t="s">
        <v>149</v>
      </c>
      <c r="G517" s="2">
        <v>8</v>
      </c>
      <c r="H517" s="25">
        <v>4600</v>
      </c>
      <c r="I517" s="8">
        <v>0</v>
      </c>
      <c r="J517" s="25">
        <v>36800</v>
      </c>
      <c r="K517" s="25">
        <f>G517*H517</f>
        <v>36800</v>
      </c>
      <c r="L517" s="8">
        <f>K517*I517/100</f>
        <v>0</v>
      </c>
      <c r="M517" s="2" t="s">
        <v>139</v>
      </c>
      <c r="N517" s="2" t="s">
        <v>79</v>
      </c>
      <c r="O517" s="2">
        <v>2025</v>
      </c>
      <c r="P517" s="2" t="str">
        <v>August</v>
      </c>
      <c r="Q517" s="2" t="s">
        <v>47</v>
      </c>
    </row>
    <row r="518" spans="1:17" x14ac:dyDescent="0.25">
      <c r="A518" s="2" t="s">
        <v>1248</v>
      </c>
      <c r="B518" s="7">
        <v>45699</v>
      </c>
      <c r="C518" s="5" t="s">
        <v>24</v>
      </c>
      <c r="D518" s="5" t="s">
        <v>16</v>
      </c>
      <c r="E518" s="5" t="s">
        <v>25</v>
      </c>
      <c r="F518" s="2" t="s">
        <v>26</v>
      </c>
      <c r="G518" s="2">
        <v>9</v>
      </c>
      <c r="H518" s="25">
        <v>3550</v>
      </c>
      <c r="I518" s="8">
        <v>15</v>
      </c>
      <c r="J518" s="25">
        <v>27157.5</v>
      </c>
      <c r="K518" s="25">
        <f>G518*H518</f>
        <v>31950</v>
      </c>
      <c r="L518" s="8">
        <f>K518*I518/100</f>
        <v>4792.5</v>
      </c>
      <c r="M518" s="2" t="s">
        <v>53</v>
      </c>
      <c r="N518" s="2" t="s">
        <v>73</v>
      </c>
      <c r="O518" s="2">
        <v>2025</v>
      </c>
      <c r="P518" s="2" t="str">
        <v>February</v>
      </c>
      <c r="Q518" s="2" t="s">
        <v>21</v>
      </c>
    </row>
    <row r="519" spans="1:17" x14ac:dyDescent="0.25">
      <c r="A519" s="2" t="s">
        <v>1250</v>
      </c>
      <c r="B519" s="7">
        <v>45988</v>
      </c>
      <c r="C519" s="5" t="s">
        <v>156</v>
      </c>
      <c r="D519" s="5" t="s">
        <v>51</v>
      </c>
      <c r="E519" s="5" t="s">
        <v>179</v>
      </c>
      <c r="F519" s="2" t="s">
        <v>543</v>
      </c>
      <c r="G519" s="2">
        <v>8</v>
      </c>
      <c r="H519" s="25">
        <v>45890</v>
      </c>
      <c r="I519" s="8">
        <v>0</v>
      </c>
      <c r="J519" s="25">
        <v>367120</v>
      </c>
      <c r="K519" s="25">
        <f>G519*H519</f>
        <v>367120</v>
      </c>
      <c r="L519" s="8">
        <f>K519*I519/100</f>
        <v>0</v>
      </c>
      <c r="M519" s="2" t="s">
        <v>53</v>
      </c>
      <c r="N519" s="2" t="s">
        <v>68</v>
      </c>
      <c r="O519" s="2">
        <v>2025</v>
      </c>
      <c r="P519" s="2" t="str">
        <v>November</v>
      </c>
      <c r="Q519" s="2" t="s">
        <v>47</v>
      </c>
    </row>
    <row r="520" spans="1:17" x14ac:dyDescent="0.25">
      <c r="A520" s="2" t="s">
        <v>1252</v>
      </c>
      <c r="B520" s="7">
        <v>45733</v>
      </c>
      <c r="C520" s="5" t="s">
        <v>76</v>
      </c>
      <c r="D520" s="5" t="s">
        <v>33</v>
      </c>
      <c r="E520" s="5" t="s">
        <v>295</v>
      </c>
      <c r="F520" s="2" t="s">
        <v>319</v>
      </c>
      <c r="G520" s="2">
        <v>7</v>
      </c>
      <c r="H520" s="25">
        <v>7240</v>
      </c>
      <c r="I520" s="8">
        <v>0</v>
      </c>
      <c r="J520" s="25">
        <v>50680</v>
      </c>
      <c r="K520" s="25">
        <f>G520*H520</f>
        <v>50680</v>
      </c>
      <c r="L520" s="8">
        <f>K520*I520/100</f>
        <v>0</v>
      </c>
      <c r="M520" s="2" t="s">
        <v>102</v>
      </c>
      <c r="N520" s="2" t="s">
        <v>266</v>
      </c>
      <c r="O520" s="2">
        <v>2025</v>
      </c>
      <c r="P520" s="2" t="str">
        <v>March</v>
      </c>
      <c r="Q520" s="2" t="s">
        <v>21</v>
      </c>
    </row>
    <row r="521" spans="1:17" x14ac:dyDescent="0.25">
      <c r="A521" s="2" t="s">
        <v>1254</v>
      </c>
      <c r="B521" s="7">
        <v>45946</v>
      </c>
      <c r="C521" s="5" t="s">
        <v>238</v>
      </c>
      <c r="D521" s="5" t="s">
        <v>51</v>
      </c>
      <c r="E521" s="5" t="s">
        <v>25</v>
      </c>
      <c r="F521" s="2" t="s">
        <v>93</v>
      </c>
      <c r="G521" s="2">
        <v>6</v>
      </c>
      <c r="H521" s="25">
        <v>2410</v>
      </c>
      <c r="I521" s="8">
        <v>0</v>
      </c>
      <c r="J521" s="25">
        <v>14460</v>
      </c>
      <c r="K521" s="25">
        <f>G521*H521</f>
        <v>14460</v>
      </c>
      <c r="L521" s="8">
        <f>K521*I521/100</f>
        <v>0</v>
      </c>
      <c r="M521" s="2" t="s">
        <v>102</v>
      </c>
      <c r="N521" s="2" t="s">
        <v>168</v>
      </c>
      <c r="O521" s="2">
        <v>2025</v>
      </c>
      <c r="P521" s="2" t="str">
        <v>October</v>
      </c>
      <c r="Q521" s="2" t="s">
        <v>21</v>
      </c>
    </row>
    <row r="522" spans="1:17" x14ac:dyDescent="0.25">
      <c r="A522" s="2" t="s">
        <v>1256</v>
      </c>
      <c r="B522" s="7">
        <v>45778</v>
      </c>
      <c r="C522" s="5" t="s">
        <v>41</v>
      </c>
      <c r="D522" s="5" t="s">
        <v>42</v>
      </c>
      <c r="E522" s="5" t="s">
        <v>148</v>
      </c>
      <c r="F522" s="2" t="s">
        <v>209</v>
      </c>
      <c r="G522" s="2">
        <v>7</v>
      </c>
      <c r="H522" s="25">
        <v>16870</v>
      </c>
      <c r="I522" s="8">
        <v>0</v>
      </c>
      <c r="J522" s="25">
        <v>118090</v>
      </c>
      <c r="K522" s="25">
        <f>G522*H522</f>
        <v>118090</v>
      </c>
      <c r="L522" s="8">
        <f>K522*I522/100</f>
        <v>0</v>
      </c>
      <c r="M522" s="2" t="s">
        <v>53</v>
      </c>
      <c r="N522" s="2" t="s">
        <v>68</v>
      </c>
      <c r="O522" s="2">
        <v>2025</v>
      </c>
      <c r="P522" s="2" t="str">
        <v>May</v>
      </c>
      <c r="Q522" s="2" t="s">
        <v>47</v>
      </c>
    </row>
    <row r="523" spans="1:17" x14ac:dyDescent="0.25">
      <c r="A523" s="2" t="s">
        <v>1258</v>
      </c>
      <c r="B523" s="7">
        <v>45791</v>
      </c>
      <c r="C523" s="5" t="s">
        <v>41</v>
      </c>
      <c r="D523" s="5" t="s">
        <v>42</v>
      </c>
      <c r="E523" s="5" t="s">
        <v>25</v>
      </c>
      <c r="F523" s="2" t="s">
        <v>93</v>
      </c>
      <c r="G523" s="2">
        <v>3</v>
      </c>
      <c r="H523" s="25">
        <v>2790</v>
      </c>
      <c r="I523" s="8">
        <v>0</v>
      </c>
      <c r="J523" s="25">
        <v>8370</v>
      </c>
      <c r="K523" s="25">
        <f>G523*H523</f>
        <v>8370</v>
      </c>
      <c r="L523" s="8">
        <f>K523*I523/100</f>
        <v>0</v>
      </c>
      <c r="M523" s="2" t="s">
        <v>94</v>
      </c>
      <c r="N523" s="2" t="s">
        <v>344</v>
      </c>
      <c r="O523" s="2">
        <v>2025</v>
      </c>
      <c r="P523" s="2" t="str">
        <v>May</v>
      </c>
      <c r="Q523" s="2" t="s">
        <v>47</v>
      </c>
    </row>
    <row r="524" spans="1:17" x14ac:dyDescent="0.25">
      <c r="A524" s="2" t="s">
        <v>1260</v>
      </c>
      <c r="B524" s="7">
        <v>45943</v>
      </c>
      <c r="C524" s="5" t="s">
        <v>41</v>
      </c>
      <c r="D524" s="5" t="s">
        <v>42</v>
      </c>
      <c r="E524" s="5" t="s">
        <v>25</v>
      </c>
      <c r="F524" s="2" t="s">
        <v>26</v>
      </c>
      <c r="G524" s="2">
        <v>10</v>
      </c>
      <c r="H524" s="25">
        <v>17360</v>
      </c>
      <c r="I524" s="8">
        <v>0</v>
      </c>
      <c r="J524" s="25">
        <v>173600</v>
      </c>
      <c r="K524" s="25">
        <f>G524*H524</f>
        <v>173600</v>
      </c>
      <c r="L524" s="8">
        <f>K524*I524/100</f>
        <v>0</v>
      </c>
      <c r="M524" s="2" t="s">
        <v>102</v>
      </c>
      <c r="N524" s="2" t="s">
        <v>79</v>
      </c>
      <c r="O524" s="2">
        <v>2025</v>
      </c>
      <c r="P524" s="2" t="str">
        <v>October</v>
      </c>
      <c r="Q524" s="2" t="s">
        <v>21</v>
      </c>
    </row>
    <row r="525" spans="1:17" x14ac:dyDescent="0.25">
      <c r="A525" s="2" t="s">
        <v>1261</v>
      </c>
      <c r="B525" s="7">
        <v>45925</v>
      </c>
      <c r="C525" s="5" t="s">
        <v>24</v>
      </c>
      <c r="D525" s="5" t="s">
        <v>16</v>
      </c>
      <c r="E525" s="5" t="s">
        <v>179</v>
      </c>
      <c r="F525" s="2" t="s">
        <v>224</v>
      </c>
      <c r="G525" s="2">
        <v>8</v>
      </c>
      <c r="H525" s="25">
        <v>58680</v>
      </c>
      <c r="I525" s="8">
        <v>15</v>
      </c>
      <c r="J525" s="25">
        <v>399024</v>
      </c>
      <c r="K525" s="25">
        <f>G525*H525</f>
        <v>469440</v>
      </c>
      <c r="L525" s="8">
        <f>K525*I525/100</f>
        <v>70416</v>
      </c>
      <c r="M525" s="2" t="s">
        <v>53</v>
      </c>
      <c r="N525" s="2" t="s">
        <v>37</v>
      </c>
      <c r="O525" s="2">
        <v>2025</v>
      </c>
      <c r="P525" s="2" t="str">
        <v>September</v>
      </c>
      <c r="Q525" s="2" t="s">
        <v>21</v>
      </c>
    </row>
    <row r="526" spans="1:17" x14ac:dyDescent="0.25">
      <c r="A526" s="2" t="s">
        <v>1262</v>
      </c>
      <c r="B526" s="7">
        <v>45831</v>
      </c>
      <c r="C526" s="5" t="s">
        <v>24</v>
      </c>
      <c r="D526" s="5" t="s">
        <v>16</v>
      </c>
      <c r="E526" s="5" t="s">
        <v>25</v>
      </c>
      <c r="F526" s="2" t="s">
        <v>93</v>
      </c>
      <c r="G526" s="2">
        <v>2</v>
      </c>
      <c r="H526" s="25">
        <v>8460</v>
      </c>
      <c r="I526" s="8">
        <v>0</v>
      </c>
      <c r="J526" s="25">
        <v>16920</v>
      </c>
      <c r="K526" s="25">
        <f>G526*H526</f>
        <v>16920</v>
      </c>
      <c r="L526" s="8">
        <f>K526*I526/100</f>
        <v>0</v>
      </c>
      <c r="M526" s="2" t="s">
        <v>102</v>
      </c>
      <c r="N526" s="2" t="s">
        <v>68</v>
      </c>
      <c r="O526" s="2">
        <v>2025</v>
      </c>
      <c r="P526" s="2" t="str">
        <v>June</v>
      </c>
      <c r="Q526" s="2" t="s">
        <v>47</v>
      </c>
    </row>
    <row r="527" spans="1:17" x14ac:dyDescent="0.25">
      <c r="A527" s="2" t="s">
        <v>1264</v>
      </c>
      <c r="B527" s="7">
        <v>45735</v>
      </c>
      <c r="C527" s="5" t="s">
        <v>24</v>
      </c>
      <c r="D527" s="5" t="s">
        <v>33</v>
      </c>
      <c r="E527" s="5" t="s">
        <v>34</v>
      </c>
      <c r="F527" s="2" t="s">
        <v>35</v>
      </c>
      <c r="G527" s="2">
        <v>4</v>
      </c>
      <c r="H527" s="25">
        <v>28570</v>
      </c>
      <c r="I527" s="8">
        <v>5</v>
      </c>
      <c r="J527" s="25">
        <v>108566</v>
      </c>
      <c r="K527" s="25">
        <f>G527*H527</f>
        <v>114280</v>
      </c>
      <c r="L527" s="8">
        <f>K527*I527/100</f>
        <v>5714</v>
      </c>
      <c r="M527" s="2" t="s">
        <v>53</v>
      </c>
      <c r="N527" s="2" t="s">
        <v>79</v>
      </c>
      <c r="O527" s="2">
        <v>2025</v>
      </c>
      <c r="P527" s="2" t="str">
        <v>March</v>
      </c>
      <c r="Q527" s="2" t="s">
        <v>47</v>
      </c>
    </row>
    <row r="528" spans="1:17" x14ac:dyDescent="0.25">
      <c r="A528" s="2" t="s">
        <v>1265</v>
      </c>
      <c r="B528" s="7">
        <v>45747</v>
      </c>
      <c r="C528" s="5" t="s">
        <v>76</v>
      </c>
      <c r="D528" s="5" t="s">
        <v>33</v>
      </c>
      <c r="E528" s="5" t="s">
        <v>295</v>
      </c>
      <c r="F528" s="2" t="s">
        <v>314</v>
      </c>
      <c r="G528" s="2">
        <v>5</v>
      </c>
      <c r="H528" s="25">
        <v>540</v>
      </c>
      <c r="I528" s="8">
        <v>5</v>
      </c>
      <c r="J528" s="25">
        <v>2565</v>
      </c>
      <c r="K528" s="25">
        <f>G528*H528</f>
        <v>2700</v>
      </c>
      <c r="L528" s="8">
        <f>K528*I528/100</f>
        <v>135</v>
      </c>
      <c r="M528" s="2" t="s">
        <v>53</v>
      </c>
      <c r="N528" s="2" t="s">
        <v>883</v>
      </c>
      <c r="O528" s="2">
        <v>2025</v>
      </c>
      <c r="P528" s="2" t="str">
        <v>March</v>
      </c>
      <c r="Q528" s="2" t="s">
        <v>21</v>
      </c>
    </row>
    <row r="529" spans="1:17" x14ac:dyDescent="0.25">
      <c r="A529" s="2" t="s">
        <v>1267</v>
      </c>
      <c r="B529" s="7">
        <v>45975</v>
      </c>
      <c r="C529" s="5" t="s">
        <v>238</v>
      </c>
      <c r="D529" s="5" t="s">
        <v>51</v>
      </c>
      <c r="E529" s="5" t="s">
        <v>179</v>
      </c>
      <c r="F529" s="2" t="s">
        <v>180</v>
      </c>
      <c r="G529" s="2">
        <v>5</v>
      </c>
      <c r="H529" s="25">
        <v>1350</v>
      </c>
      <c r="I529" s="8">
        <v>5</v>
      </c>
      <c r="J529" s="25">
        <v>6412.5</v>
      </c>
      <c r="K529" s="25">
        <f>G529*H529</f>
        <v>6750</v>
      </c>
      <c r="L529" s="8">
        <f>K529*I529/100</f>
        <v>337.5</v>
      </c>
      <c r="M529" s="2" t="s">
        <v>139</v>
      </c>
      <c r="N529" s="2" t="s">
        <v>266</v>
      </c>
      <c r="O529" s="2">
        <v>2025</v>
      </c>
      <c r="P529" s="2" t="str">
        <v>November</v>
      </c>
      <c r="Q529" s="2" t="s">
        <v>21</v>
      </c>
    </row>
    <row r="530" spans="1:17" x14ac:dyDescent="0.25">
      <c r="A530" s="2" t="s">
        <v>1269</v>
      </c>
      <c r="B530" s="7">
        <v>45857</v>
      </c>
      <c r="C530" s="5" t="s">
        <v>32</v>
      </c>
      <c r="D530" s="5" t="s">
        <v>33</v>
      </c>
      <c r="E530" s="5" t="s">
        <v>179</v>
      </c>
      <c r="F530" s="2" t="s">
        <v>143</v>
      </c>
      <c r="G530" s="2">
        <v>11</v>
      </c>
      <c r="H530" s="25">
        <v>49630</v>
      </c>
      <c r="I530" s="8">
        <v>0</v>
      </c>
      <c r="J530" s="25">
        <v>545930</v>
      </c>
      <c r="K530" s="25">
        <f>G530*H530</f>
        <v>545930</v>
      </c>
      <c r="L530" s="8">
        <f>K530*I530/100</f>
        <v>0</v>
      </c>
      <c r="M530" s="2" t="s">
        <v>102</v>
      </c>
      <c r="N530" s="2" t="s">
        <v>883</v>
      </c>
      <c r="O530" s="2">
        <v>2025</v>
      </c>
      <c r="P530" s="2" t="str">
        <v>July</v>
      </c>
      <c r="Q530" s="2" t="s">
        <v>21</v>
      </c>
    </row>
    <row r="531" spans="1:17" x14ac:dyDescent="0.25">
      <c r="A531" s="2" t="s">
        <v>1270</v>
      </c>
      <c r="B531" s="7">
        <v>45804</v>
      </c>
      <c r="C531" s="5" t="s">
        <v>156</v>
      </c>
      <c r="D531" s="5" t="s">
        <v>51</v>
      </c>
      <c r="E531" s="5" t="s">
        <v>179</v>
      </c>
      <c r="F531" s="2" t="s">
        <v>232</v>
      </c>
      <c r="G531" s="2">
        <v>8</v>
      </c>
      <c r="H531" s="25">
        <v>5620</v>
      </c>
      <c r="I531" s="8">
        <v>0</v>
      </c>
      <c r="J531" s="25">
        <v>44960</v>
      </c>
      <c r="K531" s="25">
        <f>G531*H531</f>
        <v>44960</v>
      </c>
      <c r="L531" s="8">
        <f>K531*I531/100</f>
        <v>0</v>
      </c>
      <c r="M531" s="2" t="s">
        <v>139</v>
      </c>
      <c r="N531" s="2" t="s">
        <v>176</v>
      </c>
      <c r="O531" s="2">
        <v>2025</v>
      </c>
      <c r="P531" s="2" t="str">
        <v>May</v>
      </c>
      <c r="Q531" s="2" t="s">
        <v>21</v>
      </c>
    </row>
    <row r="532" spans="1:17" x14ac:dyDescent="0.25">
      <c r="A532" s="2" t="s">
        <v>1271</v>
      </c>
      <c r="B532" s="7">
        <v>45803</v>
      </c>
      <c r="C532" s="5" t="s">
        <v>76</v>
      </c>
      <c r="D532" s="5" t="s">
        <v>33</v>
      </c>
      <c r="E532" s="5" t="s">
        <v>295</v>
      </c>
      <c r="F532" s="2" t="s">
        <v>319</v>
      </c>
      <c r="G532" s="2">
        <v>8</v>
      </c>
      <c r="H532" s="25">
        <v>20690</v>
      </c>
      <c r="I532" s="8">
        <v>0</v>
      </c>
      <c r="J532" s="25">
        <v>165520</v>
      </c>
      <c r="K532" s="25">
        <f>G532*H532</f>
        <v>165520</v>
      </c>
      <c r="L532" s="8">
        <f>K532*I532/100</f>
        <v>0</v>
      </c>
      <c r="M532" s="2" t="s">
        <v>94</v>
      </c>
      <c r="N532" s="2" t="s">
        <v>79</v>
      </c>
      <c r="O532" s="2">
        <v>2025</v>
      </c>
      <c r="P532" s="2" t="str">
        <v>May</v>
      </c>
      <c r="Q532" s="2" t="s">
        <v>47</v>
      </c>
    </row>
    <row r="533" spans="1:17" x14ac:dyDescent="0.25">
      <c r="A533" s="2" t="s">
        <v>1272</v>
      </c>
      <c r="B533" s="7">
        <v>45934</v>
      </c>
      <c r="C533" s="5" t="s">
        <v>156</v>
      </c>
      <c r="D533" s="5" t="s">
        <v>51</v>
      </c>
      <c r="E533" s="5" t="s">
        <v>148</v>
      </c>
      <c r="F533" s="2" t="s">
        <v>83</v>
      </c>
      <c r="G533" s="2">
        <v>11</v>
      </c>
      <c r="H533" s="25">
        <v>58690</v>
      </c>
      <c r="I533" s="8">
        <v>15</v>
      </c>
      <c r="J533" s="25">
        <v>548751.5</v>
      </c>
      <c r="K533" s="25">
        <f>G533*H533</f>
        <v>645590</v>
      </c>
      <c r="L533" s="8">
        <f>K533*I533/100</f>
        <v>96838.5</v>
      </c>
      <c r="M533" s="2" t="s">
        <v>102</v>
      </c>
      <c r="N533" s="2" t="s">
        <v>176</v>
      </c>
      <c r="O533" s="2">
        <v>2025</v>
      </c>
      <c r="P533" s="2" t="str">
        <v>October</v>
      </c>
      <c r="Q533" s="2" t="s">
        <v>47</v>
      </c>
    </row>
    <row r="534" spans="1:17" x14ac:dyDescent="0.25">
      <c r="A534" s="2" t="s">
        <v>1274</v>
      </c>
      <c r="B534" s="7">
        <v>45986</v>
      </c>
      <c r="C534" s="5" t="s">
        <v>238</v>
      </c>
      <c r="D534" s="5" t="s">
        <v>51</v>
      </c>
      <c r="E534" s="5" t="s">
        <v>148</v>
      </c>
      <c r="F534" s="2" t="s">
        <v>83</v>
      </c>
      <c r="G534" s="2">
        <v>12</v>
      </c>
      <c r="H534" s="25">
        <v>13450</v>
      </c>
      <c r="I534" s="8">
        <v>0</v>
      </c>
      <c r="J534" s="25">
        <v>161400</v>
      </c>
      <c r="K534" s="25">
        <f>G534*H534</f>
        <v>161400</v>
      </c>
      <c r="L534" s="8">
        <f>K534*I534/100</f>
        <v>0</v>
      </c>
      <c r="M534" s="2" t="s">
        <v>53</v>
      </c>
      <c r="N534" s="2" t="s">
        <v>883</v>
      </c>
      <c r="O534" s="2">
        <v>2025</v>
      </c>
      <c r="P534" s="2" t="str">
        <v>November</v>
      </c>
      <c r="Q534" s="2" t="s">
        <v>47</v>
      </c>
    </row>
    <row r="535" spans="1:17" x14ac:dyDescent="0.25">
      <c r="A535" s="2" t="s">
        <v>1276</v>
      </c>
      <c r="B535" s="7">
        <v>45981</v>
      </c>
      <c r="C535" s="5" t="s">
        <v>41</v>
      </c>
      <c r="D535" s="5" t="s">
        <v>42</v>
      </c>
      <c r="E535" s="5" t="s">
        <v>179</v>
      </c>
      <c r="F535" s="2" t="s">
        <v>224</v>
      </c>
      <c r="G535" s="2">
        <v>4</v>
      </c>
      <c r="H535" s="25">
        <v>11680</v>
      </c>
      <c r="I535" s="8">
        <v>0</v>
      </c>
      <c r="J535" s="25">
        <v>46720</v>
      </c>
      <c r="K535" s="25">
        <f>G535*H535</f>
        <v>46720</v>
      </c>
      <c r="L535" s="8">
        <f>K535*I535/100</f>
        <v>0</v>
      </c>
      <c r="M535" s="2" t="s">
        <v>102</v>
      </c>
      <c r="N535" s="2" t="s">
        <v>188</v>
      </c>
      <c r="O535" s="2">
        <v>2025</v>
      </c>
      <c r="P535" s="2" t="str">
        <v>November</v>
      </c>
      <c r="Q535" s="2" t="s">
        <v>47</v>
      </c>
    </row>
    <row r="536" spans="1:17" x14ac:dyDescent="0.25">
      <c r="A536" s="2" t="s">
        <v>1277</v>
      </c>
      <c r="B536" s="7">
        <v>45689</v>
      </c>
      <c r="C536" s="5" t="s">
        <v>135</v>
      </c>
      <c r="D536" s="5" t="s">
        <v>58</v>
      </c>
      <c r="E536" s="5" t="s">
        <v>179</v>
      </c>
      <c r="F536" s="2" t="s">
        <v>374</v>
      </c>
      <c r="G536" s="2">
        <v>5</v>
      </c>
      <c r="H536" s="25">
        <v>13480</v>
      </c>
      <c r="I536" s="8">
        <v>0</v>
      </c>
      <c r="J536" s="25">
        <v>67400</v>
      </c>
      <c r="K536" s="25">
        <f>G536*H536</f>
        <v>67400</v>
      </c>
      <c r="L536" s="8">
        <f>K536*I536/100</f>
        <v>0</v>
      </c>
      <c r="M536" s="2" t="s">
        <v>102</v>
      </c>
      <c r="N536" s="2" t="s">
        <v>68</v>
      </c>
      <c r="O536" s="2">
        <v>2025</v>
      </c>
      <c r="P536" s="2" t="str">
        <v>February</v>
      </c>
      <c r="Q536" s="2" t="s">
        <v>47</v>
      </c>
    </row>
    <row r="537" spans="1:17" x14ac:dyDescent="0.25">
      <c r="A537" s="2" t="s">
        <v>1279</v>
      </c>
      <c r="B537" s="7">
        <v>45784</v>
      </c>
      <c r="C537" s="5" t="s">
        <v>41</v>
      </c>
      <c r="D537" s="5" t="s">
        <v>42</v>
      </c>
      <c r="E537" s="5" t="s">
        <v>148</v>
      </c>
      <c r="F537" s="2" t="s">
        <v>435</v>
      </c>
      <c r="G537" s="2">
        <v>9</v>
      </c>
      <c r="H537" s="25">
        <v>8220</v>
      </c>
      <c r="I537" s="8">
        <v>5</v>
      </c>
      <c r="J537" s="25">
        <v>70281</v>
      </c>
      <c r="K537" s="25">
        <f>G537*H537</f>
        <v>73980</v>
      </c>
      <c r="L537" s="8">
        <f>K537*I537/100</f>
        <v>3699</v>
      </c>
      <c r="M537" s="2" t="s">
        <v>53</v>
      </c>
      <c r="N537" s="2" t="s">
        <v>68</v>
      </c>
      <c r="O537" s="2">
        <v>2025</v>
      </c>
      <c r="P537" s="2" t="str">
        <v>May</v>
      </c>
      <c r="Q537" s="2" t="s">
        <v>21</v>
      </c>
    </row>
    <row r="538" spans="1:17" x14ac:dyDescent="0.25">
      <c r="A538" s="2" t="s">
        <v>1282</v>
      </c>
      <c r="B538" s="7">
        <v>45985</v>
      </c>
      <c r="C538" s="5" t="s">
        <v>32</v>
      </c>
      <c r="D538" s="5" t="s">
        <v>33</v>
      </c>
      <c r="E538" s="5" t="s">
        <v>295</v>
      </c>
      <c r="F538" s="2" t="s">
        <v>132</v>
      </c>
      <c r="G538" s="2">
        <v>1</v>
      </c>
      <c r="H538" s="25">
        <v>61860</v>
      </c>
      <c r="I538" s="8">
        <v>15</v>
      </c>
      <c r="J538" s="25">
        <v>52581</v>
      </c>
      <c r="K538" s="25">
        <f>G538*H538</f>
        <v>61860</v>
      </c>
      <c r="L538" s="8">
        <f>K538*I538/100</f>
        <v>9279</v>
      </c>
      <c r="M538" s="2" t="s">
        <v>139</v>
      </c>
      <c r="N538" s="2" t="s">
        <v>883</v>
      </c>
      <c r="O538" s="2">
        <v>2025</v>
      </c>
      <c r="P538" s="2" t="str">
        <v>November</v>
      </c>
      <c r="Q538" s="2" t="s">
        <v>21</v>
      </c>
    </row>
    <row r="539" spans="1:17" x14ac:dyDescent="0.25">
      <c r="A539" s="2" t="s">
        <v>1284</v>
      </c>
      <c r="B539" s="7">
        <v>45804</v>
      </c>
      <c r="C539" s="5" t="s">
        <v>135</v>
      </c>
      <c r="D539" s="5" t="s">
        <v>58</v>
      </c>
      <c r="E539" s="5" t="s">
        <v>148</v>
      </c>
      <c r="F539" s="2" t="s">
        <v>209</v>
      </c>
      <c r="G539" s="2">
        <v>8</v>
      </c>
      <c r="H539" s="25">
        <v>1380</v>
      </c>
      <c r="I539" s="8">
        <v>0</v>
      </c>
      <c r="J539" s="25">
        <v>11040</v>
      </c>
      <c r="K539" s="25">
        <f>G539*H539</f>
        <v>11040</v>
      </c>
      <c r="L539" s="8">
        <f>K539*I539/100</f>
        <v>0</v>
      </c>
      <c r="M539" s="2" t="s">
        <v>53</v>
      </c>
      <c r="N539" s="2" t="s">
        <v>54</v>
      </c>
      <c r="O539" s="2">
        <v>2025</v>
      </c>
      <c r="P539" s="2" t="str">
        <v>May</v>
      </c>
      <c r="Q539" s="2" t="s">
        <v>21</v>
      </c>
    </row>
    <row r="540" spans="1:17" x14ac:dyDescent="0.25">
      <c r="A540" s="2" t="s">
        <v>1286</v>
      </c>
      <c r="B540" s="7">
        <v>45725</v>
      </c>
      <c r="C540" s="5" t="s">
        <v>135</v>
      </c>
      <c r="D540" s="5" t="s">
        <v>58</v>
      </c>
      <c r="E540" s="5" t="s">
        <v>179</v>
      </c>
      <c r="F540" s="2" t="s">
        <v>224</v>
      </c>
      <c r="G540" s="2">
        <v>3</v>
      </c>
      <c r="H540" s="25">
        <v>1230</v>
      </c>
      <c r="I540" s="8">
        <v>0</v>
      </c>
      <c r="J540" s="25">
        <v>3690</v>
      </c>
      <c r="K540" s="25">
        <f>G540*H540</f>
        <v>3690</v>
      </c>
      <c r="L540" s="8">
        <f>K540*I540/100</f>
        <v>0</v>
      </c>
      <c r="M540" s="2" t="s">
        <v>139</v>
      </c>
      <c r="N540" s="2" t="s">
        <v>79</v>
      </c>
      <c r="O540" s="2">
        <v>2025</v>
      </c>
      <c r="P540" s="2" t="str">
        <v>March</v>
      </c>
      <c r="Q540" s="2" t="s">
        <v>21</v>
      </c>
    </row>
    <row r="541" spans="1:17" x14ac:dyDescent="0.25">
      <c r="A541" s="2" t="s">
        <v>1287</v>
      </c>
      <c r="B541" s="7">
        <v>45997</v>
      </c>
      <c r="C541" s="5" t="s">
        <v>135</v>
      </c>
      <c r="D541" s="5" t="s">
        <v>58</v>
      </c>
      <c r="E541" s="5" t="s">
        <v>148</v>
      </c>
      <c r="F541" s="2" t="s">
        <v>252</v>
      </c>
      <c r="G541" s="2">
        <v>10</v>
      </c>
      <c r="H541" s="25">
        <v>11670</v>
      </c>
      <c r="I541" s="8">
        <v>5</v>
      </c>
      <c r="J541" s="25">
        <v>110865</v>
      </c>
      <c r="K541" s="25">
        <f>G541*H541</f>
        <v>116700</v>
      </c>
      <c r="L541" s="8">
        <f>K541*I541/100</f>
        <v>5835</v>
      </c>
      <c r="M541" s="2" t="s">
        <v>94</v>
      </c>
      <c r="N541" s="2" t="s">
        <v>266</v>
      </c>
      <c r="O541" s="2">
        <v>2025</v>
      </c>
      <c r="P541" s="2" t="str">
        <v>December</v>
      </c>
      <c r="Q541" s="2" t="s">
        <v>21</v>
      </c>
    </row>
    <row r="542" spans="1:17" x14ac:dyDescent="0.25">
      <c r="A542" s="2" t="s">
        <v>1289</v>
      </c>
      <c r="B542" s="7">
        <v>45797</v>
      </c>
      <c r="C542" s="5" t="s">
        <v>24</v>
      </c>
      <c r="D542" s="5" t="s">
        <v>16</v>
      </c>
      <c r="E542" s="5" t="s">
        <v>34</v>
      </c>
      <c r="F542" s="2" t="s">
        <v>71</v>
      </c>
      <c r="G542" s="2">
        <v>6</v>
      </c>
      <c r="H542" s="25">
        <v>19710</v>
      </c>
      <c r="I542" s="8">
        <v>0</v>
      </c>
      <c r="J542" s="25">
        <v>118260</v>
      </c>
      <c r="K542" s="25">
        <f>G542*H542</f>
        <v>118260</v>
      </c>
      <c r="L542" s="8">
        <f>K542*I542/100</f>
        <v>0</v>
      </c>
      <c r="M542" s="2" t="s">
        <v>102</v>
      </c>
      <c r="N542" s="2" t="s">
        <v>54</v>
      </c>
      <c r="O542" s="2">
        <v>2025</v>
      </c>
      <c r="P542" s="2" t="str">
        <v>May</v>
      </c>
      <c r="Q542" s="2" t="s">
        <v>21</v>
      </c>
    </row>
    <row r="543" spans="1:17" x14ac:dyDescent="0.25">
      <c r="A543" s="2" t="s">
        <v>1291</v>
      </c>
      <c r="B543" s="7">
        <v>45659</v>
      </c>
      <c r="C543" s="5" t="s">
        <v>24</v>
      </c>
      <c r="D543" s="5" t="s">
        <v>16</v>
      </c>
      <c r="E543" s="5" t="s">
        <v>295</v>
      </c>
      <c r="F543" s="2" t="s">
        <v>101</v>
      </c>
      <c r="G543" s="2">
        <v>12</v>
      </c>
      <c r="H543" s="25">
        <v>7940</v>
      </c>
      <c r="I543" s="8">
        <v>10</v>
      </c>
      <c r="J543" s="25">
        <v>85752</v>
      </c>
      <c r="K543" s="25">
        <f>G543*H543</f>
        <v>95280</v>
      </c>
      <c r="L543" s="8">
        <f>K543*I543/100</f>
        <v>9528</v>
      </c>
      <c r="M543" s="2" t="s">
        <v>94</v>
      </c>
      <c r="N543" s="2" t="s">
        <v>266</v>
      </c>
      <c r="O543" s="2">
        <v>2025</v>
      </c>
      <c r="P543" s="2" t="str">
        <v>January</v>
      </c>
      <c r="Q543" s="2" t="s">
        <v>21</v>
      </c>
    </row>
    <row r="544" spans="1:17" x14ac:dyDescent="0.25">
      <c r="A544" s="2" t="s">
        <v>1293</v>
      </c>
      <c r="B544" s="7">
        <v>45873</v>
      </c>
      <c r="C544" s="5" t="s">
        <v>76</v>
      </c>
      <c r="D544" s="5" t="s">
        <v>33</v>
      </c>
      <c r="E544" s="5" t="s">
        <v>34</v>
      </c>
      <c r="F544" s="2" t="s">
        <v>18</v>
      </c>
      <c r="G544" s="2">
        <v>11</v>
      </c>
      <c r="H544" s="25">
        <v>17940</v>
      </c>
      <c r="I544" s="8">
        <v>0</v>
      </c>
      <c r="J544" s="25">
        <v>197340</v>
      </c>
      <c r="K544" s="25">
        <f>G544*H544</f>
        <v>197340</v>
      </c>
      <c r="L544" s="8">
        <f>K544*I544/100</f>
        <v>0</v>
      </c>
      <c r="M544" s="2" t="s">
        <v>94</v>
      </c>
      <c r="N544" s="2" t="s">
        <v>883</v>
      </c>
      <c r="O544" s="2">
        <v>2025</v>
      </c>
      <c r="P544" s="2" t="str">
        <v>August</v>
      </c>
      <c r="Q544" s="2" t="s">
        <v>21</v>
      </c>
    </row>
    <row r="545" spans="1:17" x14ac:dyDescent="0.25">
      <c r="A545" s="2" t="s">
        <v>1295</v>
      </c>
      <c r="B545" s="7">
        <v>45666</v>
      </c>
      <c r="C545" s="5" t="s">
        <v>24</v>
      </c>
      <c r="D545" s="5" t="s">
        <v>16</v>
      </c>
      <c r="E545" s="5" t="s">
        <v>34</v>
      </c>
      <c r="F545" s="2" t="s">
        <v>164</v>
      </c>
      <c r="G545" s="2">
        <v>6</v>
      </c>
      <c r="H545" s="25">
        <v>73920</v>
      </c>
      <c r="I545" s="8">
        <v>0</v>
      </c>
      <c r="J545" s="25">
        <v>443520</v>
      </c>
      <c r="K545" s="25">
        <f>G545*H545</f>
        <v>443520</v>
      </c>
      <c r="L545" s="8">
        <f>K545*I545/100</f>
        <v>0</v>
      </c>
      <c r="M545" s="2" t="s">
        <v>53</v>
      </c>
      <c r="N545" s="2" t="s">
        <v>79</v>
      </c>
      <c r="O545" s="2">
        <v>2025</v>
      </c>
      <c r="P545" s="2" t="str">
        <v>January</v>
      </c>
      <c r="Q545" s="2" t="s">
        <v>47</v>
      </c>
    </row>
    <row r="546" spans="1:17" x14ac:dyDescent="0.25">
      <c r="A546" s="2" t="s">
        <v>1297</v>
      </c>
      <c r="B546" s="7">
        <v>45956</v>
      </c>
      <c r="C546" s="5" t="s">
        <v>238</v>
      </c>
      <c r="D546" s="5" t="s">
        <v>51</v>
      </c>
      <c r="E546" s="5" t="s">
        <v>148</v>
      </c>
      <c r="F546" s="2" t="s">
        <v>60</v>
      </c>
      <c r="G546" s="2">
        <v>1</v>
      </c>
      <c r="H546" s="25">
        <v>69850</v>
      </c>
      <c r="I546" s="8">
        <v>0</v>
      </c>
      <c r="J546" s="25">
        <v>69850</v>
      </c>
      <c r="K546" s="25">
        <f>G546*H546</f>
        <v>69850</v>
      </c>
      <c r="L546" s="8">
        <f>K546*I546/100</f>
        <v>0</v>
      </c>
      <c r="M546" s="2" t="s">
        <v>53</v>
      </c>
      <c r="N546" s="2" t="s">
        <v>406</v>
      </c>
      <c r="O546" s="2">
        <v>2025</v>
      </c>
      <c r="P546" s="2" t="str">
        <v>October</v>
      </c>
      <c r="Q546" s="2" t="s">
        <v>21</v>
      </c>
    </row>
    <row r="547" spans="1:17" x14ac:dyDescent="0.25">
      <c r="A547" s="2" t="s">
        <v>1299</v>
      </c>
      <c r="B547" s="7">
        <v>45663</v>
      </c>
      <c r="C547" s="5" t="s">
        <v>135</v>
      </c>
      <c r="D547" s="5" t="s">
        <v>58</v>
      </c>
      <c r="E547" s="5" t="s">
        <v>25</v>
      </c>
      <c r="F547" s="2" t="s">
        <v>332</v>
      </c>
      <c r="G547" s="2">
        <v>11</v>
      </c>
      <c r="H547" s="25">
        <v>25670</v>
      </c>
      <c r="I547" s="8">
        <v>0</v>
      </c>
      <c r="J547" s="25">
        <v>282370</v>
      </c>
      <c r="K547" s="25">
        <f>G547*H547</f>
        <v>282370</v>
      </c>
      <c r="L547" s="8">
        <f>K547*I547/100</f>
        <v>0</v>
      </c>
      <c r="M547" s="2" t="s">
        <v>102</v>
      </c>
      <c r="N547" s="2" t="s">
        <v>68</v>
      </c>
      <c r="O547" s="2">
        <v>2025</v>
      </c>
      <c r="P547" s="2" t="str">
        <v>January</v>
      </c>
      <c r="Q547" s="2" t="s">
        <v>21</v>
      </c>
    </row>
    <row r="548" spans="1:17" x14ac:dyDescent="0.25">
      <c r="A548" s="2" t="s">
        <v>1301</v>
      </c>
      <c r="B548" s="7">
        <v>45826</v>
      </c>
      <c r="C548" s="5" t="s">
        <v>238</v>
      </c>
      <c r="D548" s="5" t="s">
        <v>51</v>
      </c>
      <c r="E548" s="5" t="s">
        <v>34</v>
      </c>
      <c r="F548" s="2" t="s">
        <v>171</v>
      </c>
      <c r="G548" s="2">
        <v>6</v>
      </c>
      <c r="H548" s="25">
        <v>11310</v>
      </c>
      <c r="I548" s="8">
        <v>0</v>
      </c>
      <c r="J548" s="25">
        <v>67860</v>
      </c>
      <c r="K548" s="25">
        <f>G548*H548</f>
        <v>67860</v>
      </c>
      <c r="L548" s="8">
        <f>K548*I548/100</f>
        <v>0</v>
      </c>
      <c r="M548" s="2" t="s">
        <v>139</v>
      </c>
      <c r="N548" s="2" t="s">
        <v>406</v>
      </c>
      <c r="O548" s="2">
        <v>2025</v>
      </c>
      <c r="P548" s="2" t="str">
        <v>June</v>
      </c>
      <c r="Q548" s="2" t="s">
        <v>47</v>
      </c>
    </row>
    <row r="549" spans="1:17" x14ac:dyDescent="0.25">
      <c r="A549" s="2" t="s">
        <v>1303</v>
      </c>
      <c r="B549" s="7">
        <v>45829</v>
      </c>
      <c r="C549" s="5" t="s">
        <v>24</v>
      </c>
      <c r="D549" s="5" t="s">
        <v>16</v>
      </c>
      <c r="E549" s="5" t="s">
        <v>148</v>
      </c>
      <c r="F549" s="2" t="s">
        <v>209</v>
      </c>
      <c r="G549" s="2">
        <v>6</v>
      </c>
      <c r="H549" s="25">
        <v>2390</v>
      </c>
      <c r="I549" s="8">
        <v>0</v>
      </c>
      <c r="J549" s="25">
        <v>14340</v>
      </c>
      <c r="K549" s="25">
        <f>G549*H549</f>
        <v>14340</v>
      </c>
      <c r="L549" s="8">
        <f>K549*I549/100</f>
        <v>0</v>
      </c>
      <c r="M549" s="2" t="s">
        <v>94</v>
      </c>
      <c r="N549" s="2" t="s">
        <v>176</v>
      </c>
      <c r="O549" s="2">
        <v>2025</v>
      </c>
      <c r="P549" s="2" t="str">
        <v>June</v>
      </c>
      <c r="Q549" s="2" t="s">
        <v>47</v>
      </c>
    </row>
    <row r="550" spans="1:17" x14ac:dyDescent="0.25">
      <c r="A550" s="2" t="s">
        <v>1305</v>
      </c>
      <c r="B550" s="7">
        <v>45887</v>
      </c>
      <c r="C550" s="5" t="s">
        <v>76</v>
      </c>
      <c r="D550" s="5" t="s">
        <v>33</v>
      </c>
      <c r="E550" s="5" t="s">
        <v>295</v>
      </c>
      <c r="F550" s="2" t="s">
        <v>319</v>
      </c>
      <c r="G550" s="2">
        <v>8</v>
      </c>
      <c r="H550" s="25">
        <v>48600</v>
      </c>
      <c r="I550" s="8">
        <v>10</v>
      </c>
      <c r="J550" s="25">
        <v>349920</v>
      </c>
      <c r="K550" s="25">
        <f>G550*H550</f>
        <v>388800</v>
      </c>
      <c r="L550" s="8">
        <f>K550*I550/100</f>
        <v>38880</v>
      </c>
      <c r="M550" s="2" t="s">
        <v>139</v>
      </c>
      <c r="N550" s="2" t="s">
        <v>411</v>
      </c>
      <c r="O550" s="2">
        <v>2025</v>
      </c>
      <c r="P550" s="2" t="str">
        <v>August</v>
      </c>
      <c r="Q550" s="2" t="s">
        <v>47</v>
      </c>
    </row>
    <row r="551" spans="1:17" x14ac:dyDescent="0.25">
      <c r="A551" s="2" t="s">
        <v>1307</v>
      </c>
      <c r="B551" s="7">
        <v>45873</v>
      </c>
      <c r="C551" s="5" t="s">
        <v>24</v>
      </c>
      <c r="D551" s="5" t="s">
        <v>16</v>
      </c>
      <c r="E551" s="5" t="s">
        <v>25</v>
      </c>
      <c r="F551" s="2" t="s">
        <v>106</v>
      </c>
      <c r="G551" s="2">
        <v>12</v>
      </c>
      <c r="H551" s="25">
        <v>17530</v>
      </c>
      <c r="I551" s="8">
        <v>0</v>
      </c>
      <c r="J551" s="25">
        <v>210360</v>
      </c>
      <c r="K551" s="25">
        <f>G551*H551</f>
        <v>210360</v>
      </c>
      <c r="L551" s="8">
        <f>K551*I551/100</f>
        <v>0</v>
      </c>
      <c r="M551" s="2" t="s">
        <v>102</v>
      </c>
      <c r="N551" s="2" t="s">
        <v>883</v>
      </c>
      <c r="O551" s="2">
        <v>2025</v>
      </c>
      <c r="P551" s="2" t="str">
        <v>August</v>
      </c>
      <c r="Q551" s="2" t="s">
        <v>47</v>
      </c>
    </row>
    <row r="552" spans="1:17" x14ac:dyDescent="0.25">
      <c r="A552" s="2" t="s">
        <v>1309</v>
      </c>
      <c r="B552" s="7">
        <v>45850</v>
      </c>
      <c r="C552" s="5" t="s">
        <v>24</v>
      </c>
      <c r="D552" s="5" t="s">
        <v>16</v>
      </c>
      <c r="E552" s="5" t="s">
        <v>25</v>
      </c>
      <c r="F552" s="2" t="s">
        <v>332</v>
      </c>
      <c r="G552" s="2">
        <v>9</v>
      </c>
      <c r="H552" s="25">
        <v>7430</v>
      </c>
      <c r="I552" s="8">
        <v>0</v>
      </c>
      <c r="J552" s="25">
        <v>66870</v>
      </c>
      <c r="K552" s="25">
        <f>G552*H552</f>
        <v>66870</v>
      </c>
      <c r="L552" s="8">
        <f>K552*I552/100</f>
        <v>0</v>
      </c>
      <c r="M552" s="2" t="s">
        <v>139</v>
      </c>
      <c r="N552" s="2" t="s">
        <v>54</v>
      </c>
      <c r="O552" s="2">
        <v>2025</v>
      </c>
      <c r="P552" s="2" t="str">
        <v>July</v>
      </c>
      <c r="Q552" s="2" t="s">
        <v>47</v>
      </c>
    </row>
    <row r="553" spans="1:17" x14ac:dyDescent="0.25">
      <c r="A553" s="2" t="s">
        <v>1310</v>
      </c>
      <c r="B553" s="7">
        <v>45840</v>
      </c>
      <c r="C553" s="5" t="s">
        <v>238</v>
      </c>
      <c r="D553" s="5" t="s">
        <v>51</v>
      </c>
      <c r="E553" s="5" t="s">
        <v>148</v>
      </c>
      <c r="F553" s="2" t="s">
        <v>209</v>
      </c>
      <c r="G553" s="2">
        <v>11</v>
      </c>
      <c r="H553" s="25">
        <v>480</v>
      </c>
      <c r="I553" s="8">
        <v>0</v>
      </c>
      <c r="J553" s="25">
        <v>5280</v>
      </c>
      <c r="K553" s="25">
        <f>G553*H553</f>
        <v>5280</v>
      </c>
      <c r="L553" s="8">
        <f>K553*I553/100</f>
        <v>0</v>
      </c>
      <c r="M553" s="2" t="s">
        <v>139</v>
      </c>
      <c r="N553" s="2" t="s">
        <v>54</v>
      </c>
      <c r="O553" s="2">
        <v>2025</v>
      </c>
      <c r="P553" s="2" t="str">
        <v>July</v>
      </c>
      <c r="Q553" s="2" t="s">
        <v>21</v>
      </c>
    </row>
    <row r="554" spans="1:17" x14ac:dyDescent="0.25">
      <c r="A554" s="2" t="s">
        <v>1312</v>
      </c>
      <c r="B554" s="7">
        <v>45943</v>
      </c>
      <c r="C554" s="5" t="s">
        <v>135</v>
      </c>
      <c r="D554" s="5" t="s">
        <v>33</v>
      </c>
      <c r="E554" s="5" t="s">
        <v>148</v>
      </c>
      <c r="F554" s="2" t="s">
        <v>149</v>
      </c>
      <c r="G554" s="2">
        <v>8</v>
      </c>
      <c r="H554" s="25">
        <v>60440</v>
      </c>
      <c r="I554" s="8">
        <v>0</v>
      </c>
      <c r="J554" s="25">
        <v>483520</v>
      </c>
      <c r="K554" s="25">
        <f>G554*H554</f>
        <v>483520</v>
      </c>
      <c r="L554" s="8">
        <f>K554*I554/100</f>
        <v>0</v>
      </c>
      <c r="M554" s="2" t="s">
        <v>102</v>
      </c>
      <c r="N554" s="2" t="s">
        <v>68</v>
      </c>
      <c r="O554" s="2">
        <v>2025</v>
      </c>
      <c r="P554" s="2" t="str">
        <v>October</v>
      </c>
      <c r="Q554" s="2" t="s">
        <v>21</v>
      </c>
    </row>
    <row r="555" spans="1:17" x14ac:dyDescent="0.25">
      <c r="A555" s="2" t="s">
        <v>1314</v>
      </c>
      <c r="B555" s="7">
        <v>45799</v>
      </c>
      <c r="C555" s="5" t="s">
        <v>156</v>
      </c>
      <c r="D555" s="5" t="s">
        <v>51</v>
      </c>
      <c r="E555" s="5" t="s">
        <v>25</v>
      </c>
      <c r="F555" s="2" t="s">
        <v>248</v>
      </c>
      <c r="G555" s="2">
        <v>8</v>
      </c>
      <c r="H555" s="25">
        <v>17230</v>
      </c>
      <c r="I555" s="8">
        <v>0</v>
      </c>
      <c r="J555" s="25">
        <v>137840</v>
      </c>
      <c r="K555" s="25">
        <f>G555*H555</f>
        <v>137840</v>
      </c>
      <c r="L555" s="8">
        <f>K555*I555/100</f>
        <v>0</v>
      </c>
      <c r="M555" s="2" t="s">
        <v>102</v>
      </c>
      <c r="N555" s="2" t="s">
        <v>37</v>
      </c>
      <c r="O555" s="2">
        <v>2025</v>
      </c>
      <c r="P555" s="2" t="str">
        <v>May</v>
      </c>
      <c r="Q555" s="2" t="s">
        <v>47</v>
      </c>
    </row>
    <row r="556" spans="1:17" x14ac:dyDescent="0.25">
      <c r="A556" s="2" t="s">
        <v>1315</v>
      </c>
      <c r="B556" s="7">
        <v>45963</v>
      </c>
      <c r="C556" s="5" t="s">
        <v>135</v>
      </c>
      <c r="D556" s="5" t="s">
        <v>33</v>
      </c>
      <c r="E556" s="5" t="s">
        <v>148</v>
      </c>
      <c r="F556" s="2" t="s">
        <v>252</v>
      </c>
      <c r="G556" s="2">
        <v>1</v>
      </c>
      <c r="H556" s="25">
        <v>17210</v>
      </c>
      <c r="I556" s="8">
        <v>0</v>
      </c>
      <c r="J556" s="25">
        <v>17210</v>
      </c>
      <c r="K556" s="25">
        <f>G556*H556</f>
        <v>17210</v>
      </c>
      <c r="L556" s="8">
        <f>K556*I556/100</f>
        <v>0</v>
      </c>
      <c r="M556" s="2" t="s">
        <v>102</v>
      </c>
      <c r="N556" s="2" t="s">
        <v>73</v>
      </c>
      <c r="O556" s="2">
        <v>2025</v>
      </c>
      <c r="P556" s="2" t="str">
        <v>November</v>
      </c>
      <c r="Q556" s="2" t="s">
        <v>21</v>
      </c>
    </row>
    <row r="557" spans="1:17" x14ac:dyDescent="0.25">
      <c r="A557" s="2" t="s">
        <v>1317</v>
      </c>
      <c r="B557" s="7">
        <v>45937</v>
      </c>
      <c r="C557" s="5" t="s">
        <v>76</v>
      </c>
      <c r="D557" s="5" t="s">
        <v>33</v>
      </c>
      <c r="E557" s="5" t="s">
        <v>25</v>
      </c>
      <c r="F557" s="2" t="s">
        <v>26</v>
      </c>
      <c r="G557" s="2">
        <v>4</v>
      </c>
      <c r="H557" s="25">
        <v>480</v>
      </c>
      <c r="I557" s="8">
        <v>0</v>
      </c>
      <c r="J557" s="25">
        <v>1920</v>
      </c>
      <c r="K557" s="25">
        <f>G557*H557</f>
        <v>1920</v>
      </c>
      <c r="L557" s="8">
        <f>K557*I557/100</f>
        <v>0</v>
      </c>
      <c r="M557" s="2" t="s">
        <v>94</v>
      </c>
      <c r="N557" s="2" t="s">
        <v>883</v>
      </c>
      <c r="O557" s="2">
        <v>2025</v>
      </c>
      <c r="P557" s="2" t="str">
        <v>October</v>
      </c>
      <c r="Q557" s="2" t="s">
        <v>47</v>
      </c>
    </row>
    <row r="558" spans="1:17" x14ac:dyDescent="0.25">
      <c r="A558" s="2" t="s">
        <v>1319</v>
      </c>
      <c r="B558" s="7">
        <v>45834</v>
      </c>
      <c r="C558" s="5" t="s">
        <v>135</v>
      </c>
      <c r="D558" s="5" t="s">
        <v>58</v>
      </c>
      <c r="E558" s="5" t="s">
        <v>34</v>
      </c>
      <c r="F558" s="2" t="s">
        <v>18</v>
      </c>
      <c r="G558" s="2">
        <v>9</v>
      </c>
      <c r="H558" s="25">
        <v>8250</v>
      </c>
      <c r="I558" s="8">
        <v>10</v>
      </c>
      <c r="J558" s="25">
        <v>66825</v>
      </c>
      <c r="K558" s="25">
        <f>G558*H558</f>
        <v>74250</v>
      </c>
      <c r="L558" s="8">
        <f>K558*I558/100</f>
        <v>7425</v>
      </c>
      <c r="M558" s="2" t="s">
        <v>53</v>
      </c>
      <c r="N558" s="2" t="s">
        <v>344</v>
      </c>
      <c r="O558" s="2">
        <v>2025</v>
      </c>
      <c r="P558" s="2" t="str">
        <v>June</v>
      </c>
      <c r="Q558" s="2" t="s">
        <v>21</v>
      </c>
    </row>
    <row r="559" spans="1:17" x14ac:dyDescent="0.25">
      <c r="A559" s="2" t="s">
        <v>1320</v>
      </c>
      <c r="B559" s="7">
        <v>45911</v>
      </c>
      <c r="C559" s="5" t="s">
        <v>135</v>
      </c>
      <c r="D559" s="5" t="s">
        <v>58</v>
      </c>
      <c r="E559" s="5" t="s">
        <v>148</v>
      </c>
      <c r="F559" s="2" t="s">
        <v>167</v>
      </c>
      <c r="G559" s="2">
        <v>4</v>
      </c>
      <c r="H559" s="25">
        <v>3400</v>
      </c>
      <c r="I559" s="8">
        <v>15</v>
      </c>
      <c r="J559" s="25">
        <v>11560</v>
      </c>
      <c r="K559" s="25">
        <f>G559*H559</f>
        <v>13600</v>
      </c>
      <c r="L559" s="8">
        <f>K559*I559/100</f>
        <v>2040</v>
      </c>
      <c r="M559" s="2" t="s">
        <v>102</v>
      </c>
      <c r="N559" s="2" t="s">
        <v>406</v>
      </c>
      <c r="O559" s="2">
        <v>2025</v>
      </c>
      <c r="P559" s="2" t="str">
        <v>September</v>
      </c>
      <c r="Q559" s="2" t="s">
        <v>21</v>
      </c>
    </row>
    <row r="560" spans="1:17" x14ac:dyDescent="0.25">
      <c r="A560" s="2" t="s">
        <v>1322</v>
      </c>
      <c r="B560" s="7">
        <v>45845</v>
      </c>
      <c r="C560" s="5" t="s">
        <v>76</v>
      </c>
      <c r="D560" s="5" t="s">
        <v>33</v>
      </c>
      <c r="E560" s="5" t="s">
        <v>148</v>
      </c>
      <c r="F560" s="2" t="s">
        <v>252</v>
      </c>
      <c r="G560" s="2">
        <v>4</v>
      </c>
      <c r="H560" s="25">
        <v>60100</v>
      </c>
      <c r="I560" s="8">
        <v>0</v>
      </c>
      <c r="J560" s="25">
        <v>240400</v>
      </c>
      <c r="K560" s="25">
        <f>G560*H560</f>
        <v>240400</v>
      </c>
      <c r="L560" s="8">
        <f>K560*I560/100</f>
        <v>0</v>
      </c>
      <c r="M560" s="2" t="s">
        <v>139</v>
      </c>
      <c r="N560" s="2" t="s">
        <v>341</v>
      </c>
      <c r="O560" s="2">
        <v>2025</v>
      </c>
      <c r="P560" s="2" t="str">
        <v>July</v>
      </c>
      <c r="Q560" s="2" t="s">
        <v>21</v>
      </c>
    </row>
    <row r="561" spans="1:17" x14ac:dyDescent="0.25">
      <c r="A561" s="2" t="s">
        <v>1323</v>
      </c>
      <c r="B561" s="7">
        <v>45780</v>
      </c>
      <c r="C561" s="5" t="s">
        <v>238</v>
      </c>
      <c r="D561" s="5" t="s">
        <v>51</v>
      </c>
      <c r="E561" s="5" t="s">
        <v>25</v>
      </c>
      <c r="F561" s="2" t="s">
        <v>26</v>
      </c>
      <c r="G561" s="2">
        <v>1</v>
      </c>
      <c r="H561" s="25">
        <v>8260</v>
      </c>
      <c r="I561" s="8">
        <v>0</v>
      </c>
      <c r="J561" s="25">
        <v>8260</v>
      </c>
      <c r="K561" s="25">
        <f>G561*H561</f>
        <v>8260</v>
      </c>
      <c r="L561" s="8">
        <f>K561*I561/100</f>
        <v>0</v>
      </c>
      <c r="M561" s="2" t="s">
        <v>102</v>
      </c>
      <c r="N561" s="2" t="s">
        <v>68</v>
      </c>
      <c r="O561" s="2">
        <v>2025</v>
      </c>
      <c r="P561" s="2" t="str">
        <v>May</v>
      </c>
      <c r="Q561" s="2" t="s">
        <v>47</v>
      </c>
    </row>
    <row r="562" spans="1:17" x14ac:dyDescent="0.25">
      <c r="A562" s="2" t="s">
        <v>1325</v>
      </c>
      <c r="B562" s="7">
        <v>45870</v>
      </c>
      <c r="C562" s="5" t="s">
        <v>32</v>
      </c>
      <c r="D562" s="5" t="s">
        <v>33</v>
      </c>
      <c r="E562" s="5" t="s">
        <v>34</v>
      </c>
      <c r="F562" s="2" t="s">
        <v>290</v>
      </c>
      <c r="G562" s="2">
        <v>4</v>
      </c>
      <c r="H562" s="25">
        <v>13040</v>
      </c>
      <c r="I562" s="8">
        <v>0</v>
      </c>
      <c r="J562" s="25">
        <v>52160</v>
      </c>
      <c r="K562" s="25">
        <f>G562*H562</f>
        <v>52160</v>
      </c>
      <c r="L562" s="8">
        <f>K562*I562/100</f>
        <v>0</v>
      </c>
      <c r="M562" s="2" t="s">
        <v>139</v>
      </c>
      <c r="N562" s="2" t="s">
        <v>266</v>
      </c>
      <c r="O562" s="2">
        <v>2025</v>
      </c>
      <c r="P562" s="2" t="str">
        <v>August</v>
      </c>
      <c r="Q562" s="2" t="s">
        <v>47</v>
      </c>
    </row>
    <row r="563" spans="1:17" x14ac:dyDescent="0.25">
      <c r="A563" s="2" t="s">
        <v>1327</v>
      </c>
      <c r="B563" s="7">
        <v>45928</v>
      </c>
      <c r="C563" s="5" t="s">
        <v>41</v>
      </c>
      <c r="D563" s="5" t="s">
        <v>42</v>
      </c>
      <c r="E563" s="5" t="s">
        <v>295</v>
      </c>
      <c r="F563" s="2" t="s">
        <v>296</v>
      </c>
      <c r="G563" s="2">
        <v>7</v>
      </c>
      <c r="H563" s="25">
        <v>25430</v>
      </c>
      <c r="I563" s="8">
        <v>10</v>
      </c>
      <c r="J563" s="25">
        <v>160209</v>
      </c>
      <c r="K563" s="25">
        <f>G563*H563</f>
        <v>178010</v>
      </c>
      <c r="L563" s="8">
        <f>K563*I563/100</f>
        <v>17801</v>
      </c>
      <c r="M563" s="2" t="s">
        <v>139</v>
      </c>
      <c r="N563" s="2" t="s">
        <v>341</v>
      </c>
      <c r="O563" s="2">
        <v>2025</v>
      </c>
      <c r="P563" s="2" t="str">
        <v>September</v>
      </c>
      <c r="Q563" s="2" t="s">
        <v>47</v>
      </c>
    </row>
    <row r="564" spans="1:17" x14ac:dyDescent="0.25">
      <c r="A564" s="2" t="s">
        <v>1329</v>
      </c>
      <c r="B564" s="7">
        <v>45782</v>
      </c>
      <c r="C564" s="5" t="s">
        <v>24</v>
      </c>
      <c r="D564" s="5" t="s">
        <v>16</v>
      </c>
      <c r="E564" s="5" t="s">
        <v>34</v>
      </c>
      <c r="F564" s="2" t="s">
        <v>171</v>
      </c>
      <c r="G564" s="2">
        <v>7</v>
      </c>
      <c r="H564" s="25">
        <v>12120</v>
      </c>
      <c r="I564" s="8">
        <v>5</v>
      </c>
      <c r="J564" s="25">
        <v>80598</v>
      </c>
      <c r="K564" s="25">
        <f>G564*H564</f>
        <v>84840</v>
      </c>
      <c r="L564" s="8">
        <f>K564*I564/100</f>
        <v>4242</v>
      </c>
      <c r="M564" s="2" t="s">
        <v>94</v>
      </c>
      <c r="N564" s="2" t="s">
        <v>344</v>
      </c>
      <c r="O564" s="2">
        <v>2025</v>
      </c>
      <c r="P564" s="2" t="str">
        <v>May</v>
      </c>
      <c r="Q564" s="2" t="s">
        <v>21</v>
      </c>
    </row>
    <row r="565" spans="1:17" x14ac:dyDescent="0.25">
      <c r="A565" s="2" t="s">
        <v>1330</v>
      </c>
      <c r="B565" s="7">
        <v>45719</v>
      </c>
      <c r="C565" s="5" t="s">
        <v>135</v>
      </c>
      <c r="D565" s="5" t="s">
        <v>16</v>
      </c>
      <c r="E565" s="5" t="s">
        <v>295</v>
      </c>
      <c r="F565" s="2" t="s">
        <v>314</v>
      </c>
      <c r="G565" s="2">
        <v>4</v>
      </c>
      <c r="H565" s="25">
        <v>3260</v>
      </c>
      <c r="I565" s="8">
        <v>15</v>
      </c>
      <c r="J565" s="25">
        <v>11084</v>
      </c>
      <c r="K565" s="25">
        <f>G565*H565</f>
        <v>13040</v>
      </c>
      <c r="L565" s="8">
        <f>K565*I565/100</f>
        <v>1956</v>
      </c>
      <c r="M565" s="2" t="s">
        <v>139</v>
      </c>
      <c r="N565" s="2" t="s">
        <v>188</v>
      </c>
      <c r="O565" s="2">
        <v>2025</v>
      </c>
      <c r="P565" s="2" t="str">
        <v>March</v>
      </c>
      <c r="Q565" s="2" t="s">
        <v>47</v>
      </c>
    </row>
    <row r="566" spans="1:17" x14ac:dyDescent="0.25">
      <c r="A566" s="2" t="s">
        <v>1331</v>
      </c>
      <c r="B566" s="7">
        <v>45959</v>
      </c>
      <c r="C566" s="5" t="s">
        <v>76</v>
      </c>
      <c r="D566" s="5" t="s">
        <v>33</v>
      </c>
      <c r="E566" s="5" t="s">
        <v>179</v>
      </c>
      <c r="F566" s="2" t="s">
        <v>180</v>
      </c>
      <c r="G566" s="2">
        <v>5</v>
      </c>
      <c r="H566" s="25">
        <v>3210</v>
      </c>
      <c r="I566" s="8">
        <v>0</v>
      </c>
      <c r="J566" s="25">
        <v>16050</v>
      </c>
      <c r="K566" s="25">
        <f>G566*H566</f>
        <v>16050</v>
      </c>
      <c r="L566" s="8">
        <f>K566*I566/100</f>
        <v>0</v>
      </c>
      <c r="M566" s="2" t="s">
        <v>94</v>
      </c>
      <c r="N566" s="2" t="s">
        <v>883</v>
      </c>
      <c r="O566" s="2">
        <v>2025</v>
      </c>
      <c r="P566" s="2" t="str">
        <v>October</v>
      </c>
      <c r="Q566" s="2" t="s">
        <v>47</v>
      </c>
    </row>
    <row r="567" spans="1:17" x14ac:dyDescent="0.25">
      <c r="A567" s="2" t="s">
        <v>1333</v>
      </c>
      <c r="B567" s="7">
        <v>45814</v>
      </c>
      <c r="C567" s="5" t="s">
        <v>41</v>
      </c>
      <c r="D567" s="5" t="s">
        <v>42</v>
      </c>
      <c r="E567" s="5" t="s">
        <v>25</v>
      </c>
      <c r="F567" s="2" t="s">
        <v>248</v>
      </c>
      <c r="G567" s="2">
        <v>7</v>
      </c>
      <c r="H567" s="25">
        <v>13390</v>
      </c>
      <c r="I567" s="8">
        <v>5</v>
      </c>
      <c r="J567" s="25">
        <v>89043.5</v>
      </c>
      <c r="K567" s="25">
        <f>G567*H567</f>
        <v>93730</v>
      </c>
      <c r="L567" s="8">
        <f>K567*I567/100</f>
        <v>4686.5</v>
      </c>
      <c r="M567" s="2" t="s">
        <v>102</v>
      </c>
      <c r="N567" s="2" t="s">
        <v>46</v>
      </c>
      <c r="O567" s="2">
        <v>2025</v>
      </c>
      <c r="P567" s="2" t="str">
        <v>June</v>
      </c>
      <c r="Q567" s="2" t="s">
        <v>21</v>
      </c>
    </row>
    <row r="568" spans="1:17" x14ac:dyDescent="0.25">
      <c r="A568" s="2" t="s">
        <v>1335</v>
      </c>
      <c r="B568" s="7">
        <v>45724</v>
      </c>
      <c r="C568" s="5" t="s">
        <v>238</v>
      </c>
      <c r="D568" s="5" t="s">
        <v>33</v>
      </c>
      <c r="E568" s="5" t="s">
        <v>148</v>
      </c>
      <c r="F568" s="2" t="s">
        <v>167</v>
      </c>
      <c r="G568" s="2">
        <v>3</v>
      </c>
      <c r="H568" s="25">
        <v>5320</v>
      </c>
      <c r="I568" s="8">
        <v>0</v>
      </c>
      <c r="J568" s="25">
        <v>15960</v>
      </c>
      <c r="K568" s="25">
        <f>G568*H568</f>
        <v>15960</v>
      </c>
      <c r="L568" s="8">
        <f>K568*I568/100</f>
        <v>0</v>
      </c>
      <c r="M568" s="2" t="s">
        <v>102</v>
      </c>
      <c r="N568" s="2" t="s">
        <v>411</v>
      </c>
      <c r="O568" s="2">
        <v>2025</v>
      </c>
      <c r="P568" s="2" t="str">
        <v>March</v>
      </c>
      <c r="Q568" s="2" t="s">
        <v>21</v>
      </c>
    </row>
    <row r="569" spans="1:17" x14ac:dyDescent="0.25">
      <c r="A569" s="2" t="s">
        <v>1337</v>
      </c>
      <c r="B569" s="7">
        <v>45986</v>
      </c>
      <c r="C569" s="5" t="s">
        <v>238</v>
      </c>
      <c r="D569" s="5" t="s">
        <v>51</v>
      </c>
      <c r="E569" s="5" t="s">
        <v>295</v>
      </c>
      <c r="F569" s="2" t="s">
        <v>126</v>
      </c>
      <c r="G569" s="2">
        <v>5</v>
      </c>
      <c r="H569" s="25">
        <v>23360</v>
      </c>
      <c r="I569" s="8">
        <v>0</v>
      </c>
      <c r="J569" s="25">
        <v>116800</v>
      </c>
      <c r="K569" s="25">
        <f>G569*H569</f>
        <v>116800</v>
      </c>
      <c r="L569" s="8">
        <f>K569*I569/100</f>
        <v>0</v>
      </c>
      <c r="M569" s="2" t="s">
        <v>102</v>
      </c>
      <c r="N569" s="2" t="s">
        <v>266</v>
      </c>
      <c r="O569" s="2">
        <v>2025</v>
      </c>
      <c r="P569" s="2" t="str">
        <v>November</v>
      </c>
      <c r="Q569" s="2" t="s">
        <v>21</v>
      </c>
    </row>
    <row r="570" spans="1:17" x14ac:dyDescent="0.25">
      <c r="A570" s="2" t="s">
        <v>1339</v>
      </c>
      <c r="B570" s="7">
        <v>45926</v>
      </c>
      <c r="C570" s="5" t="s">
        <v>24</v>
      </c>
      <c r="D570" s="5" t="s">
        <v>16</v>
      </c>
      <c r="E570" s="5" t="s">
        <v>34</v>
      </c>
      <c r="F570" s="2" t="s">
        <v>171</v>
      </c>
      <c r="G570" s="2">
        <v>3</v>
      </c>
      <c r="H570" s="25">
        <v>2830</v>
      </c>
      <c r="I570" s="8">
        <v>0</v>
      </c>
      <c r="J570" s="25">
        <v>8490</v>
      </c>
      <c r="K570" s="25">
        <f>G570*H570</f>
        <v>8490</v>
      </c>
      <c r="L570" s="8">
        <f>K570*I570/100</f>
        <v>0</v>
      </c>
      <c r="M570" s="2" t="s">
        <v>53</v>
      </c>
      <c r="N570" s="2" t="s">
        <v>344</v>
      </c>
      <c r="O570" s="2">
        <v>2025</v>
      </c>
      <c r="P570" s="2" t="str">
        <v>September</v>
      </c>
      <c r="Q570" s="2" t="s">
        <v>21</v>
      </c>
    </row>
    <row r="571" spans="1:17" x14ac:dyDescent="0.25">
      <c r="A571" s="2" t="s">
        <v>1341</v>
      </c>
      <c r="B571" s="7">
        <v>45834</v>
      </c>
      <c r="C571" s="5" t="s">
        <v>24</v>
      </c>
      <c r="D571" s="5" t="s">
        <v>16</v>
      </c>
      <c r="E571" s="5" t="s">
        <v>295</v>
      </c>
      <c r="F571" s="2" t="s">
        <v>126</v>
      </c>
      <c r="G571" s="2">
        <v>3</v>
      </c>
      <c r="H571" s="25">
        <v>1320</v>
      </c>
      <c r="I571" s="8">
        <v>0</v>
      </c>
      <c r="J571" s="25">
        <v>3960</v>
      </c>
      <c r="K571" s="25">
        <f>G571*H571</f>
        <v>3960</v>
      </c>
      <c r="L571" s="8">
        <f>K571*I571/100</f>
        <v>0</v>
      </c>
      <c r="M571" s="2" t="s">
        <v>53</v>
      </c>
      <c r="N571" s="2" t="s">
        <v>266</v>
      </c>
      <c r="O571" s="2">
        <v>2025</v>
      </c>
      <c r="P571" s="2" t="str">
        <v>June</v>
      </c>
      <c r="Q571" s="2" t="s">
        <v>21</v>
      </c>
    </row>
    <row r="572" spans="1:17" x14ac:dyDescent="0.25">
      <c r="A572" s="2" t="s">
        <v>1343</v>
      </c>
      <c r="B572" s="7">
        <v>45773</v>
      </c>
      <c r="C572" s="5" t="s">
        <v>32</v>
      </c>
      <c r="D572" s="5" t="s">
        <v>33</v>
      </c>
      <c r="E572" s="5" t="s">
        <v>148</v>
      </c>
      <c r="F572" s="2" t="s">
        <v>83</v>
      </c>
      <c r="G572" s="2">
        <v>1</v>
      </c>
      <c r="H572" s="25">
        <v>10100</v>
      </c>
      <c r="I572" s="8">
        <v>10</v>
      </c>
      <c r="J572" s="25">
        <v>9090</v>
      </c>
      <c r="K572" s="25">
        <f>G572*H572</f>
        <v>10100</v>
      </c>
      <c r="L572" s="8">
        <f>K572*I572/100</f>
        <v>1010</v>
      </c>
      <c r="M572" s="2" t="s">
        <v>102</v>
      </c>
      <c r="N572" s="2" t="s">
        <v>344</v>
      </c>
      <c r="O572" s="2">
        <v>2025</v>
      </c>
      <c r="P572" s="2" t="str">
        <v>April</v>
      </c>
      <c r="Q572" s="2" t="s">
        <v>47</v>
      </c>
    </row>
    <row r="573" spans="1:17" x14ac:dyDescent="0.25">
      <c r="A573" s="2" t="s">
        <v>1345</v>
      </c>
      <c r="B573" s="7">
        <v>45984</v>
      </c>
      <c r="C573" s="5" t="s">
        <v>24</v>
      </c>
      <c r="D573" s="5" t="s">
        <v>16</v>
      </c>
      <c r="E573" s="5" t="s">
        <v>148</v>
      </c>
      <c r="F573" s="2" t="s">
        <v>167</v>
      </c>
      <c r="G573" s="2">
        <v>5</v>
      </c>
      <c r="H573" s="25">
        <v>1130</v>
      </c>
      <c r="I573" s="8">
        <v>0</v>
      </c>
      <c r="J573" s="25">
        <v>5650</v>
      </c>
      <c r="K573" s="25">
        <f>G573*H573</f>
        <v>5650</v>
      </c>
      <c r="L573" s="8">
        <f>K573*I573/100</f>
        <v>0</v>
      </c>
      <c r="M573" s="2" t="s">
        <v>94</v>
      </c>
      <c r="N573" s="2" t="s">
        <v>411</v>
      </c>
      <c r="O573" s="2">
        <v>2025</v>
      </c>
      <c r="P573" s="2" t="str">
        <v>November</v>
      </c>
      <c r="Q573" s="2" t="s">
        <v>21</v>
      </c>
    </row>
    <row r="574" spans="1:17" x14ac:dyDescent="0.25">
      <c r="A574" s="2" t="s">
        <v>1346</v>
      </c>
      <c r="B574" s="7">
        <v>45796</v>
      </c>
      <c r="C574" s="5" t="s">
        <v>41</v>
      </c>
      <c r="D574" s="5" t="s">
        <v>42</v>
      </c>
      <c r="E574" s="5" t="s">
        <v>34</v>
      </c>
      <c r="F574" s="2" t="s">
        <v>164</v>
      </c>
      <c r="G574" s="2">
        <v>5</v>
      </c>
      <c r="H574" s="25">
        <v>2570</v>
      </c>
      <c r="I574" s="8">
        <v>0</v>
      </c>
      <c r="J574" s="25">
        <v>12850</v>
      </c>
      <c r="K574" s="25">
        <f>G574*H574</f>
        <v>12850</v>
      </c>
      <c r="L574" s="8">
        <f>K574*I574/100</f>
        <v>0</v>
      </c>
      <c r="M574" s="2" t="s">
        <v>53</v>
      </c>
      <c r="N574" s="2" t="s">
        <v>176</v>
      </c>
      <c r="O574" s="2">
        <v>2025</v>
      </c>
      <c r="P574" s="2" t="str">
        <v>May</v>
      </c>
      <c r="Q574" s="2" t="s">
        <v>21</v>
      </c>
    </row>
    <row r="575" spans="1:17" x14ac:dyDescent="0.25">
      <c r="A575" s="2" t="s">
        <v>1348</v>
      </c>
      <c r="B575" s="7">
        <v>45669</v>
      </c>
      <c r="C575" s="5" t="s">
        <v>41</v>
      </c>
      <c r="D575" s="5" t="s">
        <v>42</v>
      </c>
      <c r="E575" s="5" t="s">
        <v>179</v>
      </c>
      <c r="F575" s="2" t="s">
        <v>180</v>
      </c>
      <c r="G575" s="2">
        <v>9</v>
      </c>
      <c r="H575" s="25">
        <v>46240</v>
      </c>
      <c r="I575" s="8">
        <v>5</v>
      </c>
      <c r="J575" s="25">
        <v>395352</v>
      </c>
      <c r="K575" s="25">
        <f>G575*H575</f>
        <v>416160</v>
      </c>
      <c r="L575" s="8">
        <f>K575*I575/100</f>
        <v>20808</v>
      </c>
      <c r="M575" s="2" t="s">
        <v>102</v>
      </c>
      <c r="N575" s="2" t="s">
        <v>266</v>
      </c>
      <c r="O575" s="2">
        <v>2025</v>
      </c>
      <c r="P575" s="2" t="str">
        <v>January</v>
      </c>
      <c r="Q575" s="2" t="s">
        <v>21</v>
      </c>
    </row>
    <row r="576" spans="1:17" x14ac:dyDescent="0.25">
      <c r="A576" s="2" t="s">
        <v>1349</v>
      </c>
      <c r="B576" s="7">
        <v>45820</v>
      </c>
      <c r="C576" s="5" t="s">
        <v>156</v>
      </c>
      <c r="D576" s="5" t="s">
        <v>51</v>
      </c>
      <c r="E576" s="5" t="s">
        <v>148</v>
      </c>
      <c r="F576" s="2" t="s">
        <v>379</v>
      </c>
      <c r="G576" s="2">
        <v>5</v>
      </c>
      <c r="H576" s="25">
        <v>46340</v>
      </c>
      <c r="I576" s="8">
        <v>0</v>
      </c>
      <c r="J576" s="25">
        <v>231700</v>
      </c>
      <c r="K576" s="25">
        <f>G576*H576</f>
        <v>231700</v>
      </c>
      <c r="L576" s="8">
        <f>K576*I576/100</f>
        <v>0</v>
      </c>
      <c r="M576" s="2" t="s">
        <v>53</v>
      </c>
      <c r="N576" s="2" t="s">
        <v>411</v>
      </c>
      <c r="O576" s="2">
        <v>2025</v>
      </c>
      <c r="P576" s="2" t="str">
        <v>June</v>
      </c>
      <c r="Q576" s="2" t="s">
        <v>47</v>
      </c>
    </row>
    <row r="577" spans="1:17" x14ac:dyDescent="0.25">
      <c r="A577" s="2" t="s">
        <v>1351</v>
      </c>
      <c r="B577" s="7">
        <v>45860</v>
      </c>
      <c r="C577" s="5" t="s">
        <v>135</v>
      </c>
      <c r="D577" s="5" t="s">
        <v>58</v>
      </c>
      <c r="E577" s="5" t="s">
        <v>34</v>
      </c>
      <c r="F577" s="2" t="s">
        <v>18</v>
      </c>
      <c r="G577" s="2">
        <v>4</v>
      </c>
      <c r="H577" s="25">
        <v>2550</v>
      </c>
      <c r="I577" s="8">
        <v>0</v>
      </c>
      <c r="J577" s="25">
        <v>10200</v>
      </c>
      <c r="K577" s="25">
        <f>G577*H577</f>
        <v>10200</v>
      </c>
      <c r="L577" s="8">
        <f>K577*I577/100</f>
        <v>0</v>
      </c>
      <c r="M577" s="2" t="s">
        <v>139</v>
      </c>
      <c r="N577" s="2" t="s">
        <v>176</v>
      </c>
      <c r="O577" s="2">
        <v>2025</v>
      </c>
      <c r="P577" s="2" t="str">
        <v>July</v>
      </c>
      <c r="Q577" s="2" t="s">
        <v>21</v>
      </c>
    </row>
    <row r="578" spans="1:17" x14ac:dyDescent="0.25">
      <c r="A578" s="2" t="s">
        <v>1353</v>
      </c>
      <c r="B578" s="7">
        <v>45807</v>
      </c>
      <c r="C578" s="5" t="s">
        <v>41</v>
      </c>
      <c r="D578" s="5" t="s">
        <v>42</v>
      </c>
      <c r="E578" s="5" t="s">
        <v>295</v>
      </c>
      <c r="F578" s="2" t="s">
        <v>66</v>
      </c>
      <c r="G578" s="2">
        <v>3</v>
      </c>
      <c r="H578" s="25">
        <v>9590</v>
      </c>
      <c r="I578" s="8">
        <v>5</v>
      </c>
      <c r="J578" s="25">
        <v>27331.5</v>
      </c>
      <c r="K578" s="25">
        <f>G578*H578</f>
        <v>28770</v>
      </c>
      <c r="L578" s="8">
        <f>K578*I578/100</f>
        <v>1438.5</v>
      </c>
      <c r="M578" s="2" t="s">
        <v>53</v>
      </c>
      <c r="N578" s="2" t="s">
        <v>406</v>
      </c>
      <c r="O578" s="2">
        <v>2025</v>
      </c>
      <c r="P578" s="2" t="str">
        <v>May</v>
      </c>
      <c r="Q578" s="2" t="s">
        <v>21</v>
      </c>
    </row>
    <row r="579" spans="1:17" x14ac:dyDescent="0.25">
      <c r="A579" s="2" t="s">
        <v>1355</v>
      </c>
      <c r="B579" s="7">
        <v>45918</v>
      </c>
      <c r="C579" s="5" t="s">
        <v>24</v>
      </c>
      <c r="D579" s="2" t="s">
        <v>16</v>
      </c>
      <c r="E579" s="2" t="s">
        <v>148</v>
      </c>
      <c r="F579" s="2" t="s">
        <v>435</v>
      </c>
      <c r="G579" s="2">
        <v>2</v>
      </c>
      <c r="H579" s="25">
        <v>530</v>
      </c>
      <c r="I579" s="8">
        <v>15</v>
      </c>
      <c r="J579" s="25">
        <v>901</v>
      </c>
      <c r="K579" s="25">
        <f>G579*H579</f>
        <v>1060</v>
      </c>
      <c r="L579" s="8">
        <f>K579*I579/100</f>
        <v>159</v>
      </c>
      <c r="M579" s="2" t="s">
        <v>102</v>
      </c>
      <c r="N579" s="2" t="s">
        <v>176</v>
      </c>
      <c r="O579" s="2">
        <v>2025</v>
      </c>
      <c r="P579" s="2" t="str">
        <v>September</v>
      </c>
      <c r="Q579" s="2" t="s">
        <v>47</v>
      </c>
    </row>
    <row r="580" spans="1:17" x14ac:dyDescent="0.25">
      <c r="A580" s="2" t="s">
        <v>1357</v>
      </c>
      <c r="B580" s="7">
        <v>45844</v>
      </c>
      <c r="C580" s="5" t="s">
        <v>135</v>
      </c>
      <c r="D580" s="5" t="s">
        <v>58</v>
      </c>
      <c r="E580" s="5" t="s">
        <v>25</v>
      </c>
      <c r="F580" s="2" t="s">
        <v>115</v>
      </c>
      <c r="G580" s="2">
        <v>1</v>
      </c>
      <c r="H580" s="25">
        <v>20030</v>
      </c>
      <c r="I580" s="8">
        <v>15</v>
      </c>
      <c r="J580" s="25">
        <v>17025.5</v>
      </c>
      <c r="K580" s="25">
        <f>G580*H580</f>
        <v>20030</v>
      </c>
      <c r="L580" s="8">
        <f>K580*I580/100</f>
        <v>3004.5</v>
      </c>
      <c r="M580" s="2" t="s">
        <v>53</v>
      </c>
      <c r="N580" s="2" t="s">
        <v>68</v>
      </c>
      <c r="O580" s="2">
        <v>2025</v>
      </c>
      <c r="P580" s="2" t="str">
        <v>July</v>
      </c>
      <c r="Q580" s="2" t="s">
        <v>21</v>
      </c>
    </row>
    <row r="581" spans="1:17" x14ac:dyDescent="0.25">
      <c r="A581" s="2" t="s">
        <v>1359</v>
      </c>
      <c r="B581" s="7">
        <v>45675</v>
      </c>
      <c r="C581" s="5" t="s">
        <v>41</v>
      </c>
      <c r="D581" s="5" t="s">
        <v>42</v>
      </c>
      <c r="E581" s="5" t="s">
        <v>295</v>
      </c>
      <c r="F581" s="2" t="s">
        <v>126</v>
      </c>
      <c r="G581" s="2">
        <v>11</v>
      </c>
      <c r="H581" s="25">
        <v>5430</v>
      </c>
      <c r="I581" s="8">
        <v>5</v>
      </c>
      <c r="J581" s="25">
        <v>56743.5</v>
      </c>
      <c r="K581" s="25">
        <f>G581*H581</f>
        <v>59730</v>
      </c>
      <c r="L581" s="8">
        <f>K581*I581/100</f>
        <v>2986.5</v>
      </c>
      <c r="M581" s="2" t="s">
        <v>53</v>
      </c>
      <c r="N581" s="2" t="s">
        <v>266</v>
      </c>
      <c r="O581" s="2">
        <v>2025</v>
      </c>
      <c r="P581" s="2" t="str">
        <v>January</v>
      </c>
      <c r="Q581" s="2" t="s">
        <v>21</v>
      </c>
    </row>
    <row r="582" spans="1:17" x14ac:dyDescent="0.25">
      <c r="A582" s="2" t="s">
        <v>1360</v>
      </c>
      <c r="B582" s="7">
        <v>45948</v>
      </c>
      <c r="C582" s="5" t="s">
        <v>24</v>
      </c>
      <c r="D582" s="5" t="s">
        <v>33</v>
      </c>
      <c r="E582" s="5" t="s">
        <v>295</v>
      </c>
      <c r="F582" s="2" t="s">
        <v>319</v>
      </c>
      <c r="G582" s="2">
        <v>8</v>
      </c>
      <c r="H582" s="25">
        <v>18130</v>
      </c>
      <c r="I582" s="8">
        <v>10</v>
      </c>
      <c r="J582" s="25">
        <v>130536</v>
      </c>
      <c r="K582" s="25">
        <f>G582*H582</f>
        <v>145040</v>
      </c>
      <c r="L582" s="8">
        <f>K582*I582/100</f>
        <v>14504</v>
      </c>
      <c r="M582" s="2" t="s">
        <v>102</v>
      </c>
      <c r="N582" s="2" t="s">
        <v>176</v>
      </c>
      <c r="O582" s="2">
        <v>2025</v>
      </c>
      <c r="P582" s="2" t="str">
        <v>October</v>
      </c>
      <c r="Q582" s="2" t="s">
        <v>47</v>
      </c>
    </row>
    <row r="583" spans="1:17" x14ac:dyDescent="0.25">
      <c r="A583" s="2" t="s">
        <v>1361</v>
      </c>
      <c r="B583" s="7">
        <v>45850</v>
      </c>
      <c r="C583" s="5" t="s">
        <v>135</v>
      </c>
      <c r="D583" s="5" t="s">
        <v>58</v>
      </c>
      <c r="E583" s="5" t="s">
        <v>179</v>
      </c>
      <c r="F583" s="2" t="s">
        <v>101</v>
      </c>
      <c r="G583" s="2">
        <v>2</v>
      </c>
      <c r="H583" s="25">
        <v>1090</v>
      </c>
      <c r="I583" s="8">
        <v>0</v>
      </c>
      <c r="J583" s="25">
        <v>2180</v>
      </c>
      <c r="K583" s="25">
        <f>G583*H583</f>
        <v>2180</v>
      </c>
      <c r="L583" s="8">
        <f>K583*I583/100</f>
        <v>0</v>
      </c>
      <c r="M583" s="2" t="s">
        <v>53</v>
      </c>
      <c r="N583" s="2" t="s">
        <v>341</v>
      </c>
      <c r="O583" s="2">
        <v>2025</v>
      </c>
      <c r="P583" s="2" t="str">
        <v>July</v>
      </c>
      <c r="Q583" s="2" t="s">
        <v>21</v>
      </c>
    </row>
    <row r="584" spans="1:17" x14ac:dyDescent="0.25">
      <c r="A584" s="2" t="s">
        <v>1363</v>
      </c>
      <c r="B584" s="7">
        <v>45865</v>
      </c>
      <c r="C584" s="5" t="s">
        <v>41</v>
      </c>
      <c r="D584" s="5" t="s">
        <v>42</v>
      </c>
      <c r="E584" s="5" t="s">
        <v>148</v>
      </c>
      <c r="F584" s="2" t="s">
        <v>83</v>
      </c>
      <c r="G584" s="2">
        <v>2</v>
      </c>
      <c r="H584" s="25">
        <v>20650</v>
      </c>
      <c r="I584" s="8">
        <v>10</v>
      </c>
      <c r="J584" s="25">
        <v>37170</v>
      </c>
      <c r="K584" s="25">
        <f>G584*H584</f>
        <v>41300</v>
      </c>
      <c r="L584" s="8">
        <f>K584*I584/100</f>
        <v>4130</v>
      </c>
      <c r="M584" s="2" t="s">
        <v>102</v>
      </c>
      <c r="N584" s="2" t="s">
        <v>176</v>
      </c>
      <c r="O584" s="2">
        <v>2025</v>
      </c>
      <c r="P584" s="2" t="str">
        <v>July</v>
      </c>
      <c r="Q584" s="2" t="s">
        <v>47</v>
      </c>
    </row>
    <row r="585" spans="1:17" x14ac:dyDescent="0.25">
      <c r="A585" s="2" t="s">
        <v>1365</v>
      </c>
      <c r="B585" s="7">
        <v>45783</v>
      </c>
      <c r="C585" s="5" t="s">
        <v>156</v>
      </c>
      <c r="D585" s="5" t="s">
        <v>51</v>
      </c>
      <c r="E585" s="5" t="s">
        <v>148</v>
      </c>
      <c r="F585" s="2" t="s">
        <v>149</v>
      </c>
      <c r="G585" s="2">
        <v>8</v>
      </c>
      <c r="H585" s="25">
        <v>2800</v>
      </c>
      <c r="I585" s="8">
        <v>15</v>
      </c>
      <c r="J585" s="25">
        <v>19040</v>
      </c>
      <c r="K585" s="25">
        <f>G585*H585</f>
        <v>22400</v>
      </c>
      <c r="L585" s="8">
        <f>K585*I585/100</f>
        <v>3360</v>
      </c>
      <c r="M585" s="2" t="s">
        <v>94</v>
      </c>
      <c r="N585" s="2" t="s">
        <v>46</v>
      </c>
      <c r="O585" s="2">
        <v>2025</v>
      </c>
      <c r="P585" s="2" t="str">
        <v>May</v>
      </c>
      <c r="Q585" s="2" t="s">
        <v>47</v>
      </c>
    </row>
    <row r="586" spans="1:17" x14ac:dyDescent="0.25">
      <c r="A586" s="2" t="s">
        <v>1367</v>
      </c>
      <c r="B586" s="7">
        <v>45923</v>
      </c>
      <c r="C586" s="5" t="s">
        <v>76</v>
      </c>
      <c r="D586" s="5" t="s">
        <v>33</v>
      </c>
      <c r="E586" s="5" t="s">
        <v>25</v>
      </c>
      <c r="F586" s="2" t="s">
        <v>115</v>
      </c>
      <c r="G586" s="2">
        <v>11</v>
      </c>
      <c r="H586" s="25">
        <v>27570</v>
      </c>
      <c r="I586" s="8">
        <v>0</v>
      </c>
      <c r="J586" s="25">
        <v>303270</v>
      </c>
      <c r="K586" s="25">
        <f>G586*H586</f>
        <v>303270</v>
      </c>
      <c r="L586" s="8">
        <f>K586*I586/100</f>
        <v>0</v>
      </c>
      <c r="M586" s="2" t="s">
        <v>139</v>
      </c>
      <c r="N586" s="2" t="s">
        <v>188</v>
      </c>
      <c r="O586" s="2">
        <v>2025</v>
      </c>
      <c r="P586" s="2" t="str">
        <v>September</v>
      </c>
      <c r="Q586" s="2" t="s">
        <v>47</v>
      </c>
    </row>
    <row r="587" spans="1:17" x14ac:dyDescent="0.25">
      <c r="A587" s="2" t="s">
        <v>1369</v>
      </c>
      <c r="B587" s="7">
        <v>45685</v>
      </c>
      <c r="C587" s="5" t="s">
        <v>156</v>
      </c>
      <c r="D587" s="5" t="s">
        <v>51</v>
      </c>
      <c r="E587" s="5" t="s">
        <v>179</v>
      </c>
      <c r="F587" s="2" t="s">
        <v>126</v>
      </c>
      <c r="G587" s="2">
        <v>2</v>
      </c>
      <c r="H587" s="25">
        <v>1120</v>
      </c>
      <c r="I587" s="8">
        <v>15</v>
      </c>
      <c r="J587" s="25">
        <v>1904</v>
      </c>
      <c r="K587" s="25">
        <f>G587*H587</f>
        <v>2240</v>
      </c>
      <c r="L587" s="8">
        <f>K587*I587/100</f>
        <v>336</v>
      </c>
      <c r="M587" s="2" t="s">
        <v>53</v>
      </c>
      <c r="N587" s="2" t="s">
        <v>411</v>
      </c>
      <c r="O587" s="2">
        <v>2025</v>
      </c>
      <c r="P587" s="2" t="str">
        <v>January</v>
      </c>
      <c r="Q587" s="2" t="s">
        <v>47</v>
      </c>
    </row>
    <row r="588" spans="1:17" x14ac:dyDescent="0.25">
      <c r="A588" s="2" t="s">
        <v>1371</v>
      </c>
      <c r="B588" s="7">
        <v>45719</v>
      </c>
      <c r="C588" s="5" t="s">
        <v>41</v>
      </c>
      <c r="D588" s="5" t="s">
        <v>42</v>
      </c>
      <c r="E588" s="5" t="s">
        <v>34</v>
      </c>
      <c r="F588" s="2" t="s">
        <v>71</v>
      </c>
      <c r="G588" s="2">
        <v>6</v>
      </c>
      <c r="H588" s="25">
        <v>520</v>
      </c>
      <c r="I588" s="8">
        <v>0</v>
      </c>
      <c r="J588" s="25">
        <v>3120</v>
      </c>
      <c r="K588" s="25">
        <f>G588*H588</f>
        <v>3120</v>
      </c>
      <c r="L588" s="8">
        <f>K588*I588/100</f>
        <v>0</v>
      </c>
      <c r="M588" s="2" t="s">
        <v>102</v>
      </c>
      <c r="N588" s="2" t="s">
        <v>68</v>
      </c>
      <c r="O588" s="2">
        <v>2025</v>
      </c>
      <c r="P588" s="2" t="str">
        <v>March</v>
      </c>
      <c r="Q588" s="2" t="s">
        <v>21</v>
      </c>
    </row>
    <row r="589" spans="1:17" x14ac:dyDescent="0.25">
      <c r="A589" s="2" t="s">
        <v>1373</v>
      </c>
      <c r="B589" s="7">
        <v>45790</v>
      </c>
      <c r="C589" s="5" t="s">
        <v>76</v>
      </c>
      <c r="D589" s="5" t="s">
        <v>33</v>
      </c>
      <c r="E589" s="5" t="s">
        <v>179</v>
      </c>
      <c r="F589" s="2" t="s">
        <v>71</v>
      </c>
      <c r="G589" s="2">
        <v>4</v>
      </c>
      <c r="H589" s="25">
        <v>69830</v>
      </c>
      <c r="I589" s="8">
        <v>0</v>
      </c>
      <c r="J589" s="25">
        <v>279320</v>
      </c>
      <c r="K589" s="25">
        <f>G589*H589</f>
        <v>279320</v>
      </c>
      <c r="L589" s="8">
        <f>K589*I589/100</f>
        <v>0</v>
      </c>
      <c r="M589" s="2" t="s">
        <v>94</v>
      </c>
      <c r="N589" s="2" t="s">
        <v>168</v>
      </c>
      <c r="O589" s="2">
        <v>2025</v>
      </c>
      <c r="P589" s="2" t="str">
        <v>May</v>
      </c>
      <c r="Q589" s="2" t="s">
        <v>21</v>
      </c>
    </row>
    <row r="590" spans="1:17" x14ac:dyDescent="0.25">
      <c r="A590" s="2" t="s">
        <v>1376</v>
      </c>
      <c r="B590" s="7">
        <v>45691</v>
      </c>
      <c r="C590" s="5" t="s">
        <v>238</v>
      </c>
      <c r="D590" s="5" t="s">
        <v>51</v>
      </c>
      <c r="E590" s="5" t="s">
        <v>179</v>
      </c>
      <c r="F590" s="2" t="s">
        <v>239</v>
      </c>
      <c r="G590" s="2">
        <v>2</v>
      </c>
      <c r="H590" s="25">
        <v>11590</v>
      </c>
      <c r="I590" s="8">
        <v>0</v>
      </c>
      <c r="J590" s="25">
        <v>23180</v>
      </c>
      <c r="K590" s="25">
        <f>G590*H590</f>
        <v>23180</v>
      </c>
      <c r="L590" s="8">
        <f>K590*I590/100</f>
        <v>0</v>
      </c>
      <c r="M590" s="2" t="s">
        <v>94</v>
      </c>
      <c r="N590" s="2" t="s">
        <v>168</v>
      </c>
      <c r="O590" s="2">
        <v>2025</v>
      </c>
      <c r="P590" s="2" t="str">
        <v>February</v>
      </c>
      <c r="Q590" s="2" t="s">
        <v>21</v>
      </c>
    </row>
    <row r="591" spans="1:17" x14ac:dyDescent="0.25">
      <c r="A591" s="2" t="s">
        <v>1378</v>
      </c>
      <c r="B591" s="7">
        <v>45682</v>
      </c>
      <c r="C591" s="5" t="s">
        <v>24</v>
      </c>
      <c r="D591" s="5" t="s">
        <v>33</v>
      </c>
      <c r="E591" s="5" t="s">
        <v>179</v>
      </c>
      <c r="F591" s="2" t="s">
        <v>543</v>
      </c>
      <c r="G591" s="2">
        <v>12</v>
      </c>
      <c r="H591" s="25">
        <v>470</v>
      </c>
      <c r="I591" s="8">
        <v>15</v>
      </c>
      <c r="J591" s="25">
        <v>4794</v>
      </c>
      <c r="K591" s="25">
        <f>G591*H591</f>
        <v>5640</v>
      </c>
      <c r="L591" s="8">
        <f>K591*I591/100</f>
        <v>846</v>
      </c>
      <c r="M591" s="2" t="s">
        <v>53</v>
      </c>
      <c r="N591" s="2" t="s">
        <v>54</v>
      </c>
      <c r="O591" s="2">
        <v>2025</v>
      </c>
      <c r="P591" s="2" t="str">
        <v>January</v>
      </c>
      <c r="Q591" s="2" t="s">
        <v>47</v>
      </c>
    </row>
    <row r="592" spans="1:17" x14ac:dyDescent="0.25">
      <c r="A592" s="2" t="s">
        <v>1380</v>
      </c>
      <c r="B592" s="7">
        <v>45700</v>
      </c>
      <c r="C592" s="5" t="s">
        <v>238</v>
      </c>
      <c r="D592" s="5" t="s">
        <v>51</v>
      </c>
      <c r="E592" s="5" t="s">
        <v>179</v>
      </c>
      <c r="F592" s="2" t="s">
        <v>239</v>
      </c>
      <c r="G592" s="2">
        <v>9</v>
      </c>
      <c r="H592" s="25">
        <v>4790</v>
      </c>
      <c r="I592" s="8">
        <v>0</v>
      </c>
      <c r="J592" s="25">
        <v>43110</v>
      </c>
      <c r="K592" s="25">
        <f>G592*H592</f>
        <v>43110</v>
      </c>
      <c r="L592" s="8">
        <f>K592*I592/100</f>
        <v>0</v>
      </c>
      <c r="M592" s="2" t="s">
        <v>53</v>
      </c>
      <c r="N592" s="2" t="s">
        <v>79</v>
      </c>
      <c r="O592" s="2">
        <v>2025</v>
      </c>
      <c r="P592" s="2" t="str">
        <v>February</v>
      </c>
      <c r="Q592" s="2" t="s">
        <v>21</v>
      </c>
    </row>
    <row r="593" spans="1:17" x14ac:dyDescent="0.25">
      <c r="A593" s="2" t="s">
        <v>1382</v>
      </c>
      <c r="B593" s="7">
        <v>45743</v>
      </c>
      <c r="C593" s="5" t="s">
        <v>156</v>
      </c>
      <c r="D593" s="5" t="s">
        <v>51</v>
      </c>
      <c r="E593" s="5" t="s">
        <v>25</v>
      </c>
      <c r="F593" s="2" t="s">
        <v>248</v>
      </c>
      <c r="G593" s="2">
        <v>7</v>
      </c>
      <c r="H593" s="25">
        <v>4660</v>
      </c>
      <c r="I593" s="8">
        <v>10</v>
      </c>
      <c r="J593" s="25">
        <v>29358</v>
      </c>
      <c r="K593" s="25">
        <f>G593*H593</f>
        <v>32620</v>
      </c>
      <c r="L593" s="8">
        <f>K593*I593/100</f>
        <v>3262</v>
      </c>
      <c r="M593" s="2" t="s">
        <v>94</v>
      </c>
      <c r="N593" s="2" t="s">
        <v>46</v>
      </c>
      <c r="O593" s="2">
        <v>2025</v>
      </c>
      <c r="P593" s="2" t="str">
        <v>March</v>
      </c>
      <c r="Q593" s="2" t="s">
        <v>47</v>
      </c>
    </row>
    <row r="594" spans="1:17" x14ac:dyDescent="0.25">
      <c r="A594" s="2" t="s">
        <v>1384</v>
      </c>
      <c r="B594" s="7">
        <v>45874</v>
      </c>
      <c r="C594" s="5" t="s">
        <v>238</v>
      </c>
      <c r="D594" s="5" t="s">
        <v>51</v>
      </c>
      <c r="E594" s="5" t="s">
        <v>179</v>
      </c>
      <c r="F594" s="2" t="s">
        <v>184</v>
      </c>
      <c r="G594" s="2">
        <v>10</v>
      </c>
      <c r="H594" s="25">
        <v>45210</v>
      </c>
      <c r="I594" s="8">
        <v>5</v>
      </c>
      <c r="J594" s="25">
        <v>429495</v>
      </c>
      <c r="K594" s="25">
        <f>G594*H594</f>
        <v>452100</v>
      </c>
      <c r="L594" s="8">
        <f>K594*I594/100</f>
        <v>22605</v>
      </c>
      <c r="M594" s="2" t="s">
        <v>139</v>
      </c>
      <c r="N594" s="2" t="s">
        <v>176</v>
      </c>
      <c r="O594" s="2">
        <v>2025</v>
      </c>
      <c r="P594" s="2" t="str">
        <v>August</v>
      </c>
      <c r="Q594" s="2" t="s">
        <v>21</v>
      </c>
    </row>
    <row r="595" spans="1:17" x14ac:dyDescent="0.25">
      <c r="A595" s="2" t="s">
        <v>1386</v>
      </c>
      <c r="B595" s="7">
        <v>45813</v>
      </c>
      <c r="C595" s="5" t="s">
        <v>238</v>
      </c>
      <c r="D595" s="5" t="s">
        <v>51</v>
      </c>
      <c r="E595" s="5" t="s">
        <v>25</v>
      </c>
      <c r="F595" s="2" t="s">
        <v>26</v>
      </c>
      <c r="G595" s="2">
        <v>11</v>
      </c>
      <c r="H595" s="25">
        <v>460</v>
      </c>
      <c r="I595" s="8">
        <v>15</v>
      </c>
      <c r="J595" s="25">
        <v>4301</v>
      </c>
      <c r="K595" s="25">
        <f>G595*H595</f>
        <v>5060</v>
      </c>
      <c r="L595" s="8">
        <f>K595*I595/100</f>
        <v>759</v>
      </c>
      <c r="M595" s="2" t="s">
        <v>94</v>
      </c>
      <c r="N595" s="2" t="s">
        <v>176</v>
      </c>
      <c r="O595" s="2">
        <v>2025</v>
      </c>
      <c r="P595" s="2" t="str">
        <v>June</v>
      </c>
      <c r="Q595" s="2" t="s">
        <v>21</v>
      </c>
    </row>
    <row r="596" spans="1:17" x14ac:dyDescent="0.25">
      <c r="A596" s="2" t="s">
        <v>1388</v>
      </c>
      <c r="B596" s="7">
        <v>45964</v>
      </c>
      <c r="C596" s="5" t="s">
        <v>238</v>
      </c>
      <c r="D596" s="5" t="s">
        <v>51</v>
      </c>
      <c r="E596" s="5" t="s">
        <v>25</v>
      </c>
      <c r="F596" s="2" t="s">
        <v>93</v>
      </c>
      <c r="G596" s="2">
        <v>3</v>
      </c>
      <c r="H596" s="25">
        <v>61830</v>
      </c>
      <c r="I596" s="8">
        <v>0</v>
      </c>
      <c r="J596" s="25">
        <v>185490</v>
      </c>
      <c r="K596" s="25">
        <f>G596*H596</f>
        <v>185490</v>
      </c>
      <c r="L596" s="8">
        <f>K596*I596/100</f>
        <v>0</v>
      </c>
      <c r="M596" s="2" t="s">
        <v>102</v>
      </c>
      <c r="N596" s="2" t="s">
        <v>883</v>
      </c>
      <c r="O596" s="2">
        <v>2025</v>
      </c>
      <c r="P596" s="2" t="str">
        <v>November</v>
      </c>
      <c r="Q596" s="2" t="s">
        <v>21</v>
      </c>
    </row>
    <row r="597" spans="1:17" x14ac:dyDescent="0.25">
      <c r="A597" s="2" t="s">
        <v>1390</v>
      </c>
      <c r="B597" s="7">
        <v>45866</v>
      </c>
      <c r="C597" s="5" t="s">
        <v>156</v>
      </c>
      <c r="D597" s="2" t="s">
        <v>51</v>
      </c>
      <c r="E597" s="2" t="s">
        <v>34</v>
      </c>
      <c r="F597" s="2" t="s">
        <v>71</v>
      </c>
      <c r="G597" s="2">
        <v>4</v>
      </c>
      <c r="H597" s="25">
        <v>44570</v>
      </c>
      <c r="I597" s="8">
        <v>10</v>
      </c>
      <c r="J597" s="25">
        <v>160452</v>
      </c>
      <c r="K597" s="25">
        <f>G597*H597</f>
        <v>178280</v>
      </c>
      <c r="L597" s="8">
        <f>K597*I597/100</f>
        <v>17828</v>
      </c>
      <c r="M597" s="2" t="s">
        <v>94</v>
      </c>
      <c r="N597" s="2" t="s">
        <v>46</v>
      </c>
      <c r="O597" s="2">
        <v>2025</v>
      </c>
      <c r="P597" s="2" t="str">
        <v>July</v>
      </c>
      <c r="Q597" s="2" t="s">
        <v>47</v>
      </c>
    </row>
    <row r="598" spans="1:17" x14ac:dyDescent="0.25">
      <c r="A598" s="2" t="s">
        <v>1392</v>
      </c>
      <c r="B598" s="7">
        <v>45670</v>
      </c>
      <c r="C598" s="5" t="s">
        <v>32</v>
      </c>
      <c r="D598" s="5" t="s">
        <v>33</v>
      </c>
      <c r="E598" s="5" t="s">
        <v>148</v>
      </c>
      <c r="F598" s="2" t="s">
        <v>60</v>
      </c>
      <c r="G598" s="2">
        <v>12</v>
      </c>
      <c r="H598" s="25">
        <v>8490</v>
      </c>
      <c r="I598" s="8">
        <v>5</v>
      </c>
      <c r="J598" s="25">
        <v>96786</v>
      </c>
      <c r="K598" s="25">
        <f>G598*H598</f>
        <v>101880</v>
      </c>
      <c r="L598" s="8">
        <f>K598*I598/100</f>
        <v>5094</v>
      </c>
      <c r="M598" s="2" t="s">
        <v>53</v>
      </c>
      <c r="N598" s="2" t="s">
        <v>188</v>
      </c>
      <c r="O598" s="2">
        <v>2025</v>
      </c>
      <c r="P598" s="2" t="str">
        <v>January</v>
      </c>
      <c r="Q598" s="2" t="s">
        <v>21</v>
      </c>
    </row>
    <row r="599" spans="1:17" x14ac:dyDescent="0.25">
      <c r="A599" s="2" t="s">
        <v>1393</v>
      </c>
      <c r="B599" s="7">
        <v>45803</v>
      </c>
      <c r="C599" s="5" t="s">
        <v>76</v>
      </c>
      <c r="D599" s="5" t="s">
        <v>33</v>
      </c>
      <c r="E599" s="5" t="s">
        <v>179</v>
      </c>
      <c r="F599" s="2" t="s">
        <v>184</v>
      </c>
      <c r="G599" s="2">
        <v>10</v>
      </c>
      <c r="H599" s="25">
        <v>9920</v>
      </c>
      <c r="I599" s="8">
        <v>0</v>
      </c>
      <c r="J599" s="25">
        <v>99200</v>
      </c>
      <c r="K599" s="25">
        <f>G599*H599</f>
        <v>99200</v>
      </c>
      <c r="L599" s="8">
        <f>K599*I599/100</f>
        <v>0</v>
      </c>
      <c r="M599" s="2" t="s">
        <v>94</v>
      </c>
      <c r="N599" s="2" t="s">
        <v>37</v>
      </c>
      <c r="O599" s="2">
        <v>2025</v>
      </c>
      <c r="P599" s="2" t="str">
        <v>May</v>
      </c>
      <c r="Q599" s="2" t="s">
        <v>47</v>
      </c>
    </row>
    <row r="600" spans="1:17" x14ac:dyDescent="0.25">
      <c r="A600" s="2" t="s">
        <v>1395</v>
      </c>
      <c r="B600" s="7">
        <v>45916</v>
      </c>
      <c r="C600" s="5" t="s">
        <v>156</v>
      </c>
      <c r="D600" s="5" t="s">
        <v>51</v>
      </c>
      <c r="E600" s="5" t="s">
        <v>25</v>
      </c>
      <c r="F600" s="2" t="s">
        <v>44</v>
      </c>
      <c r="G600" s="2">
        <v>9</v>
      </c>
      <c r="H600" s="25">
        <v>5070</v>
      </c>
      <c r="I600" s="8">
        <v>0</v>
      </c>
      <c r="J600" s="25">
        <v>45630</v>
      </c>
      <c r="K600" s="25">
        <f>G600*H600</f>
        <v>45630</v>
      </c>
      <c r="L600" s="8">
        <f>K600*I600/100</f>
        <v>0</v>
      </c>
      <c r="M600" s="2" t="s">
        <v>139</v>
      </c>
      <c r="N600" s="2" t="s">
        <v>266</v>
      </c>
      <c r="O600" s="2">
        <v>2025</v>
      </c>
      <c r="P600" s="2" t="str">
        <v>September</v>
      </c>
      <c r="Q600" s="2" t="s">
        <v>47</v>
      </c>
    </row>
    <row r="601" spans="1:17" x14ac:dyDescent="0.25">
      <c r="A601" s="2" t="s">
        <v>1397</v>
      </c>
      <c r="B601" s="7">
        <v>45721</v>
      </c>
      <c r="C601" s="5" t="s">
        <v>156</v>
      </c>
      <c r="D601" s="5" t="s">
        <v>51</v>
      </c>
      <c r="E601" s="5" t="s">
        <v>148</v>
      </c>
      <c r="F601" s="2" t="s">
        <v>435</v>
      </c>
      <c r="G601" s="2">
        <v>12</v>
      </c>
      <c r="H601" s="25">
        <v>8500</v>
      </c>
      <c r="I601" s="8">
        <v>0</v>
      </c>
      <c r="J601" s="25">
        <v>102000</v>
      </c>
      <c r="K601" s="25">
        <f>G601*H601</f>
        <v>102000</v>
      </c>
      <c r="L601" s="8">
        <f>K601*I601/100</f>
        <v>0</v>
      </c>
      <c r="M601" s="2" t="s">
        <v>139</v>
      </c>
      <c r="N601" s="2" t="s">
        <v>168</v>
      </c>
      <c r="O601" s="2">
        <v>2025</v>
      </c>
      <c r="P601" s="2" t="str">
        <v>March</v>
      </c>
      <c r="Q601" s="2" t="s">
        <v>47</v>
      </c>
    </row>
    <row r="602" spans="1:17" x14ac:dyDescent="0.25">
      <c r="A602" s="2" t="s">
        <v>1399</v>
      </c>
      <c r="B602" s="7">
        <v>45852</v>
      </c>
      <c r="C602" s="5" t="s">
        <v>32</v>
      </c>
      <c r="D602" s="5" t="s">
        <v>33</v>
      </c>
      <c r="E602" s="5" t="s">
        <v>25</v>
      </c>
      <c r="F602" s="2" t="s">
        <v>93</v>
      </c>
      <c r="G602" s="2">
        <v>7</v>
      </c>
      <c r="H602" s="25">
        <v>540</v>
      </c>
      <c r="I602" s="8">
        <v>0</v>
      </c>
      <c r="J602" s="25">
        <v>3780</v>
      </c>
      <c r="K602" s="25">
        <f>G602*H602</f>
        <v>3780</v>
      </c>
      <c r="L602" s="8">
        <f>K602*I602/100</f>
        <v>0</v>
      </c>
      <c r="M602" s="2" t="s">
        <v>139</v>
      </c>
      <c r="N602" s="2" t="s">
        <v>344</v>
      </c>
      <c r="O602" s="2">
        <v>2025</v>
      </c>
      <c r="P602" s="2" t="str">
        <v>July</v>
      </c>
      <c r="Q602" s="2" t="s">
        <v>21</v>
      </c>
    </row>
    <row r="603" spans="1:17" x14ac:dyDescent="0.25">
      <c r="A603" s="2" t="s">
        <v>1401</v>
      </c>
      <c r="B603" s="7">
        <v>45845</v>
      </c>
      <c r="C603" s="5" t="s">
        <v>24</v>
      </c>
      <c r="D603" s="5" t="s">
        <v>16</v>
      </c>
      <c r="E603" s="5" t="s">
        <v>148</v>
      </c>
      <c r="F603" s="2" t="s">
        <v>167</v>
      </c>
      <c r="G603" s="2">
        <v>10</v>
      </c>
      <c r="H603" s="25">
        <v>3390</v>
      </c>
      <c r="I603" s="8">
        <v>15</v>
      </c>
      <c r="J603" s="25">
        <v>28815</v>
      </c>
      <c r="K603" s="25">
        <f>G603*H603</f>
        <v>33900</v>
      </c>
      <c r="L603" s="8">
        <f>K603*I603/100</f>
        <v>5085</v>
      </c>
      <c r="M603" s="2" t="s">
        <v>53</v>
      </c>
      <c r="N603" s="2" t="s">
        <v>266</v>
      </c>
      <c r="O603" s="2">
        <v>2025</v>
      </c>
      <c r="P603" s="2" t="str">
        <v>July</v>
      </c>
      <c r="Q603" s="2" t="s">
        <v>47</v>
      </c>
    </row>
    <row r="604" spans="1:17" x14ac:dyDescent="0.25">
      <c r="A604" s="2" t="s">
        <v>1403</v>
      </c>
      <c r="B604" s="7">
        <v>45854</v>
      </c>
      <c r="C604" s="5" t="s">
        <v>24</v>
      </c>
      <c r="D604" s="5" t="s">
        <v>16</v>
      </c>
      <c r="E604" s="5" t="s">
        <v>179</v>
      </c>
      <c r="F604" s="2" t="s">
        <v>180</v>
      </c>
      <c r="G604" s="2">
        <v>2</v>
      </c>
      <c r="H604" s="25">
        <v>20520</v>
      </c>
      <c r="I604" s="8">
        <v>0</v>
      </c>
      <c r="J604" s="25">
        <v>41040</v>
      </c>
      <c r="K604" s="25">
        <f>G604*H604</f>
        <v>41040</v>
      </c>
      <c r="L604" s="8">
        <f>K604*I604/100</f>
        <v>0</v>
      </c>
      <c r="M604" s="2" t="s">
        <v>139</v>
      </c>
      <c r="N604" s="2" t="s">
        <v>344</v>
      </c>
      <c r="O604" s="2">
        <v>2025</v>
      </c>
      <c r="P604" s="2" t="str">
        <v>July</v>
      </c>
      <c r="Q604" s="2" t="s">
        <v>47</v>
      </c>
    </row>
    <row r="605" spans="1:17" x14ac:dyDescent="0.25">
      <c r="A605" s="2" t="s">
        <v>1405</v>
      </c>
      <c r="B605" s="7">
        <v>45749</v>
      </c>
      <c r="C605" s="5" t="s">
        <v>76</v>
      </c>
      <c r="D605" s="5" t="s">
        <v>33</v>
      </c>
      <c r="E605" s="5" t="s">
        <v>25</v>
      </c>
      <c r="F605" s="2" t="s">
        <v>248</v>
      </c>
      <c r="G605" s="2">
        <v>8</v>
      </c>
      <c r="H605" s="25">
        <v>3370</v>
      </c>
      <c r="I605" s="8">
        <v>0</v>
      </c>
      <c r="J605" s="25">
        <v>26960</v>
      </c>
      <c r="K605" s="25">
        <f>G605*H605</f>
        <v>26960</v>
      </c>
      <c r="L605" s="8">
        <f>K605*I605/100</f>
        <v>0</v>
      </c>
      <c r="M605" s="2" t="s">
        <v>94</v>
      </c>
      <c r="N605" s="2" t="s">
        <v>37</v>
      </c>
      <c r="O605" s="2">
        <v>2025</v>
      </c>
      <c r="P605" s="2" t="str">
        <v>April</v>
      </c>
      <c r="Q605" s="2" t="s">
        <v>21</v>
      </c>
    </row>
    <row r="606" spans="1:17" x14ac:dyDescent="0.25">
      <c r="A606" s="2" t="s">
        <v>1407</v>
      </c>
      <c r="B606" s="7">
        <v>45894</v>
      </c>
      <c r="C606" s="5" t="s">
        <v>32</v>
      </c>
      <c r="D606" s="5" t="s">
        <v>33</v>
      </c>
      <c r="E606" s="5" t="s">
        <v>179</v>
      </c>
      <c r="F606" s="2" t="s">
        <v>543</v>
      </c>
      <c r="G606" s="2">
        <v>4</v>
      </c>
      <c r="H606" s="25">
        <v>18400</v>
      </c>
      <c r="I606" s="8">
        <v>0</v>
      </c>
      <c r="J606" s="25">
        <v>73600</v>
      </c>
      <c r="K606" s="25">
        <f>G606*H606</f>
        <v>73600</v>
      </c>
      <c r="L606" s="8">
        <f>K606*I606/100</f>
        <v>0</v>
      </c>
      <c r="M606" s="2" t="s">
        <v>139</v>
      </c>
      <c r="N606" s="2" t="s">
        <v>73</v>
      </c>
      <c r="O606" s="2">
        <v>2025</v>
      </c>
      <c r="P606" s="2" t="str">
        <v>August</v>
      </c>
      <c r="Q606" s="2" t="s">
        <v>47</v>
      </c>
    </row>
    <row r="607" spans="1:17" x14ac:dyDescent="0.25">
      <c r="A607" s="2" t="s">
        <v>1408</v>
      </c>
      <c r="B607" s="7">
        <v>45771</v>
      </c>
      <c r="C607" s="5" t="s">
        <v>156</v>
      </c>
      <c r="D607" s="5" t="s">
        <v>51</v>
      </c>
      <c r="E607" s="5" t="s">
        <v>34</v>
      </c>
      <c r="F607" s="2" t="s">
        <v>35</v>
      </c>
      <c r="G607" s="2">
        <v>2</v>
      </c>
      <c r="H607" s="25">
        <v>44850</v>
      </c>
      <c r="I607" s="8">
        <v>0</v>
      </c>
      <c r="J607" s="25">
        <v>89700</v>
      </c>
      <c r="K607" s="25">
        <f>G607*H607</f>
        <v>89700</v>
      </c>
      <c r="L607" s="8">
        <f>K607*I607/100</f>
        <v>0</v>
      </c>
      <c r="M607" s="2" t="s">
        <v>102</v>
      </c>
      <c r="N607" s="2" t="s">
        <v>344</v>
      </c>
      <c r="O607" s="2">
        <v>2025</v>
      </c>
      <c r="P607" s="2" t="str">
        <v>April</v>
      </c>
      <c r="Q607" s="2" t="s">
        <v>21</v>
      </c>
    </row>
    <row r="608" spans="1:17" x14ac:dyDescent="0.25">
      <c r="A608" s="2" t="s">
        <v>1409</v>
      </c>
      <c r="B608" s="7">
        <v>45798</v>
      </c>
      <c r="C608" s="5" t="s">
        <v>135</v>
      </c>
      <c r="D608" s="5" t="s">
        <v>58</v>
      </c>
      <c r="E608" s="5" t="s">
        <v>148</v>
      </c>
      <c r="F608" s="2" t="s">
        <v>379</v>
      </c>
      <c r="G608" s="2">
        <v>1</v>
      </c>
      <c r="H608" s="25">
        <v>8370</v>
      </c>
      <c r="I608" s="8">
        <v>10</v>
      </c>
      <c r="J608" s="25">
        <v>7533</v>
      </c>
      <c r="K608" s="25">
        <f>G608*H608</f>
        <v>8370</v>
      </c>
      <c r="L608" s="8">
        <f>K608*I608/100</f>
        <v>837</v>
      </c>
      <c r="M608" s="2" t="s">
        <v>102</v>
      </c>
      <c r="N608" s="2" t="s">
        <v>168</v>
      </c>
      <c r="O608" s="2">
        <v>2025</v>
      </c>
      <c r="P608" s="2" t="str">
        <v>May</v>
      </c>
      <c r="Q608" s="2" t="s">
        <v>21</v>
      </c>
    </row>
    <row r="609" spans="1:17" x14ac:dyDescent="0.25">
      <c r="A609" s="2" t="s">
        <v>1411</v>
      </c>
      <c r="B609" s="7">
        <v>45734</v>
      </c>
      <c r="C609" s="5" t="s">
        <v>76</v>
      </c>
      <c r="D609" s="5" t="s">
        <v>33</v>
      </c>
      <c r="E609" s="5" t="s">
        <v>295</v>
      </c>
      <c r="F609" s="2" t="s">
        <v>296</v>
      </c>
      <c r="G609" s="2">
        <v>2</v>
      </c>
      <c r="H609" s="25">
        <v>530</v>
      </c>
      <c r="I609" s="8">
        <v>0</v>
      </c>
      <c r="J609" s="25">
        <v>1060</v>
      </c>
      <c r="K609" s="25">
        <f>G609*H609</f>
        <v>1060</v>
      </c>
      <c r="L609" s="8">
        <f>K609*I609/100</f>
        <v>0</v>
      </c>
      <c r="M609" s="2" t="s">
        <v>53</v>
      </c>
      <c r="N609" s="2" t="s">
        <v>46</v>
      </c>
      <c r="O609" s="2">
        <v>2025</v>
      </c>
      <c r="P609" s="2" t="str">
        <v>March</v>
      </c>
      <c r="Q609" s="2" t="s">
        <v>21</v>
      </c>
    </row>
    <row r="610" spans="1:17" x14ac:dyDescent="0.25">
      <c r="A610" s="2" t="s">
        <v>1413</v>
      </c>
      <c r="B610" s="7">
        <v>45872</v>
      </c>
      <c r="C610" s="5" t="s">
        <v>156</v>
      </c>
      <c r="D610" s="5" t="s">
        <v>51</v>
      </c>
      <c r="E610" s="5" t="s">
        <v>148</v>
      </c>
      <c r="F610" s="2" t="s">
        <v>435</v>
      </c>
      <c r="G610" s="2">
        <v>1</v>
      </c>
      <c r="H610" s="25">
        <v>18180</v>
      </c>
      <c r="I610" s="8">
        <v>15</v>
      </c>
      <c r="J610" s="25">
        <v>15453</v>
      </c>
      <c r="K610" s="25">
        <f>G610*H610</f>
        <v>18180</v>
      </c>
      <c r="L610" s="8">
        <f>K610*I610/100</f>
        <v>2727</v>
      </c>
      <c r="M610" s="2" t="s">
        <v>53</v>
      </c>
      <c r="N610" s="2" t="s">
        <v>37</v>
      </c>
      <c r="O610" s="2">
        <v>2025</v>
      </c>
      <c r="P610" s="2" t="str">
        <v>August</v>
      </c>
      <c r="Q610" s="2" t="s">
        <v>47</v>
      </c>
    </row>
    <row r="611" spans="1:17" x14ac:dyDescent="0.25">
      <c r="A611" s="2" t="s">
        <v>1415</v>
      </c>
      <c r="B611" s="7">
        <v>45827</v>
      </c>
      <c r="C611" s="5" t="s">
        <v>32</v>
      </c>
      <c r="D611" s="5" t="s">
        <v>33</v>
      </c>
      <c r="E611" s="5" t="s">
        <v>295</v>
      </c>
      <c r="F611" s="2" t="s">
        <v>66</v>
      </c>
      <c r="G611" s="2">
        <v>3</v>
      </c>
      <c r="H611" s="25">
        <v>1170</v>
      </c>
      <c r="I611" s="8">
        <v>0</v>
      </c>
      <c r="J611" s="25">
        <v>3510</v>
      </c>
      <c r="K611" s="25">
        <f>G611*H611</f>
        <v>3510</v>
      </c>
      <c r="L611" s="8">
        <f>K611*I611/100</f>
        <v>0</v>
      </c>
      <c r="M611" s="2" t="s">
        <v>139</v>
      </c>
      <c r="N611" s="2" t="s">
        <v>266</v>
      </c>
      <c r="O611" s="2">
        <v>2025</v>
      </c>
      <c r="P611" s="2" t="str">
        <v>June</v>
      </c>
      <c r="Q611" s="2" t="s">
        <v>47</v>
      </c>
    </row>
    <row r="612" spans="1:17" x14ac:dyDescent="0.25">
      <c r="A612" s="2" t="s">
        <v>1417</v>
      </c>
      <c r="B612" s="7">
        <v>45804</v>
      </c>
      <c r="C612" s="5" t="s">
        <v>238</v>
      </c>
      <c r="D612" s="5" t="s">
        <v>51</v>
      </c>
      <c r="E612" s="5" t="s">
        <v>179</v>
      </c>
      <c r="F612" s="2" t="s">
        <v>180</v>
      </c>
      <c r="G612" s="2">
        <v>1</v>
      </c>
      <c r="H612" s="25">
        <v>20080</v>
      </c>
      <c r="I612" s="8">
        <v>0</v>
      </c>
      <c r="J612" s="25">
        <v>20080</v>
      </c>
      <c r="K612" s="25">
        <f>G612*H612</f>
        <v>20080</v>
      </c>
      <c r="L612" s="8">
        <f>K612*I612/100</f>
        <v>0</v>
      </c>
      <c r="M612" s="2" t="s">
        <v>102</v>
      </c>
      <c r="N612" s="2" t="s">
        <v>79</v>
      </c>
      <c r="O612" s="2">
        <v>2025</v>
      </c>
      <c r="P612" s="2" t="str">
        <v>May</v>
      </c>
      <c r="Q612" s="2" t="s">
        <v>47</v>
      </c>
    </row>
    <row r="613" spans="1:17" x14ac:dyDescent="0.25">
      <c r="A613" s="2" t="s">
        <v>1419</v>
      </c>
      <c r="B613" s="7">
        <v>45947</v>
      </c>
      <c r="C613" s="5" t="s">
        <v>76</v>
      </c>
      <c r="D613" s="5" t="s">
        <v>33</v>
      </c>
      <c r="E613" s="5" t="s">
        <v>25</v>
      </c>
      <c r="F613" s="2" t="s">
        <v>44</v>
      </c>
      <c r="G613" s="2">
        <v>10</v>
      </c>
      <c r="H613" s="25">
        <v>1180</v>
      </c>
      <c r="I613" s="8">
        <v>0</v>
      </c>
      <c r="J613" s="25">
        <v>11800</v>
      </c>
      <c r="K613" s="25">
        <f>G613*H613</f>
        <v>11800</v>
      </c>
      <c r="L613" s="8">
        <f>K613*I613/100</f>
        <v>0</v>
      </c>
      <c r="M613" s="2" t="s">
        <v>102</v>
      </c>
      <c r="N613" s="2" t="s">
        <v>188</v>
      </c>
      <c r="O613" s="2">
        <v>2025</v>
      </c>
      <c r="P613" s="2" t="str">
        <v>October</v>
      </c>
      <c r="Q613" s="2" t="s">
        <v>47</v>
      </c>
    </row>
    <row r="614" spans="1:17" x14ac:dyDescent="0.25">
      <c r="A614" s="2" t="s">
        <v>1420</v>
      </c>
      <c r="B614" s="7">
        <v>45968</v>
      </c>
      <c r="C614" s="5" t="s">
        <v>135</v>
      </c>
      <c r="D614" s="5" t="s">
        <v>58</v>
      </c>
      <c r="E614" s="5" t="s">
        <v>34</v>
      </c>
      <c r="F614" s="2" t="s">
        <v>164</v>
      </c>
      <c r="G614" s="2">
        <v>8</v>
      </c>
      <c r="H614" s="25">
        <v>74490</v>
      </c>
      <c r="I614" s="8">
        <v>0</v>
      </c>
      <c r="J614" s="25">
        <v>595920</v>
      </c>
      <c r="K614" s="25">
        <f>G614*H614</f>
        <v>595920</v>
      </c>
      <c r="L614" s="8">
        <f>K614*I614/100</f>
        <v>0</v>
      </c>
      <c r="M614" s="2" t="s">
        <v>139</v>
      </c>
      <c r="N614" s="2" t="s">
        <v>411</v>
      </c>
      <c r="O614" s="2">
        <v>2025</v>
      </c>
      <c r="P614" s="2" t="str">
        <v>November</v>
      </c>
      <c r="Q614" s="2" t="s">
        <v>47</v>
      </c>
    </row>
    <row r="615" spans="1:17" x14ac:dyDescent="0.25">
      <c r="A615" s="2" t="s">
        <v>1421</v>
      </c>
      <c r="B615" s="7">
        <v>45984</v>
      </c>
      <c r="C615" s="5" t="s">
        <v>135</v>
      </c>
      <c r="D615" s="5" t="s">
        <v>58</v>
      </c>
      <c r="E615" s="5" t="s">
        <v>179</v>
      </c>
      <c r="F615" s="2" t="s">
        <v>106</v>
      </c>
      <c r="G615" s="2">
        <v>6</v>
      </c>
      <c r="H615" s="25">
        <v>46630</v>
      </c>
      <c r="I615" s="8">
        <v>5</v>
      </c>
      <c r="J615" s="25">
        <v>265791</v>
      </c>
      <c r="K615" s="25">
        <f>G615*H615</f>
        <v>279780</v>
      </c>
      <c r="L615" s="8">
        <f>K615*I615/100</f>
        <v>13989</v>
      </c>
      <c r="M615" s="2" t="s">
        <v>53</v>
      </c>
      <c r="N615" s="2" t="s">
        <v>68</v>
      </c>
      <c r="O615" s="2">
        <v>2025</v>
      </c>
      <c r="P615" s="2" t="str">
        <v>November</v>
      </c>
      <c r="Q615" s="2" t="s">
        <v>47</v>
      </c>
    </row>
    <row r="616" spans="1:17" x14ac:dyDescent="0.25">
      <c r="A616" s="2" t="s">
        <v>1422</v>
      </c>
      <c r="B616" s="7">
        <v>45695</v>
      </c>
      <c r="C616" s="5" t="s">
        <v>32</v>
      </c>
      <c r="D616" s="5" t="s">
        <v>33</v>
      </c>
      <c r="E616" s="5" t="s">
        <v>148</v>
      </c>
      <c r="F616" s="2" t="s">
        <v>252</v>
      </c>
      <c r="G616" s="2">
        <v>11</v>
      </c>
      <c r="H616" s="25">
        <v>8600</v>
      </c>
      <c r="I616" s="8">
        <v>0</v>
      </c>
      <c r="J616" s="25">
        <v>94600</v>
      </c>
      <c r="K616" s="25">
        <f>G616*H616</f>
        <v>94600</v>
      </c>
      <c r="L616" s="8">
        <f>K616*I616/100</f>
        <v>0</v>
      </c>
      <c r="M616" s="2" t="s">
        <v>102</v>
      </c>
      <c r="N616" s="2" t="s">
        <v>411</v>
      </c>
      <c r="O616" s="2">
        <v>2025</v>
      </c>
      <c r="P616" s="2" t="str">
        <v>February</v>
      </c>
      <c r="Q616" s="2" t="s">
        <v>47</v>
      </c>
    </row>
    <row r="617" spans="1:17" x14ac:dyDescent="0.25">
      <c r="A617" s="2" t="s">
        <v>1424</v>
      </c>
      <c r="B617" s="7">
        <v>45958</v>
      </c>
      <c r="C617" s="5" t="s">
        <v>76</v>
      </c>
      <c r="D617" s="5" t="s">
        <v>33</v>
      </c>
      <c r="E617" s="5" t="s">
        <v>25</v>
      </c>
      <c r="F617" s="2" t="s">
        <v>26</v>
      </c>
      <c r="G617" s="2">
        <v>3</v>
      </c>
      <c r="H617" s="25">
        <v>1120</v>
      </c>
      <c r="I617" s="8">
        <v>0</v>
      </c>
      <c r="J617" s="25">
        <v>3360</v>
      </c>
      <c r="K617" s="25">
        <f>G617*H617</f>
        <v>3360</v>
      </c>
      <c r="L617" s="8">
        <f>K617*I617/100</f>
        <v>0</v>
      </c>
      <c r="M617" s="2" t="s">
        <v>94</v>
      </c>
      <c r="N617" s="2" t="s">
        <v>266</v>
      </c>
      <c r="O617" s="2">
        <v>2025</v>
      </c>
      <c r="P617" s="2" t="str">
        <v>October</v>
      </c>
      <c r="Q617" s="2" t="s">
        <v>21</v>
      </c>
    </row>
    <row r="618" spans="1:17" x14ac:dyDescent="0.25">
      <c r="A618" s="2" t="s">
        <v>1426</v>
      </c>
      <c r="B618" s="7">
        <v>45806</v>
      </c>
      <c r="C618" s="5" t="s">
        <v>41</v>
      </c>
      <c r="D618" s="5" t="s">
        <v>33</v>
      </c>
      <c r="E618" s="5" t="s">
        <v>25</v>
      </c>
      <c r="F618" s="2" t="s">
        <v>26</v>
      </c>
      <c r="G618" s="2">
        <v>2</v>
      </c>
      <c r="H618" s="25">
        <v>2430</v>
      </c>
      <c r="I618" s="8">
        <v>0</v>
      </c>
      <c r="J618" s="25">
        <v>4860</v>
      </c>
      <c r="K618" s="25">
        <f>G618*H618</f>
        <v>4860</v>
      </c>
      <c r="L618" s="8">
        <f>K618*I618/100</f>
        <v>0</v>
      </c>
      <c r="M618" s="2" t="s">
        <v>102</v>
      </c>
      <c r="N618" s="2" t="s">
        <v>341</v>
      </c>
      <c r="O618" s="2">
        <v>2025</v>
      </c>
      <c r="P618" s="2" t="str">
        <v>May</v>
      </c>
      <c r="Q618" s="2" t="s">
        <v>21</v>
      </c>
    </row>
    <row r="619" spans="1:17" x14ac:dyDescent="0.25">
      <c r="A619" s="2" t="s">
        <v>1428</v>
      </c>
      <c r="B619" s="7">
        <v>45748</v>
      </c>
      <c r="C619" s="5" t="s">
        <v>41</v>
      </c>
      <c r="D619" s="5" t="s">
        <v>42</v>
      </c>
      <c r="E619" s="5" t="s">
        <v>34</v>
      </c>
      <c r="F619" s="2" t="s">
        <v>18</v>
      </c>
      <c r="G619" s="2">
        <v>2</v>
      </c>
      <c r="H619" s="25">
        <v>560</v>
      </c>
      <c r="I619" s="8">
        <v>0</v>
      </c>
      <c r="J619" s="25">
        <v>1120</v>
      </c>
      <c r="K619" s="25">
        <f>G619*H619</f>
        <v>1120</v>
      </c>
      <c r="L619" s="8">
        <f>K619*I619/100</f>
        <v>0</v>
      </c>
      <c r="M619" s="2" t="s">
        <v>53</v>
      </c>
      <c r="N619" s="2" t="s">
        <v>176</v>
      </c>
      <c r="O619" s="2">
        <v>2025</v>
      </c>
      <c r="P619" s="2" t="str">
        <v>April</v>
      </c>
      <c r="Q619" s="2" t="s">
        <v>21</v>
      </c>
    </row>
    <row r="620" spans="1:17" x14ac:dyDescent="0.25">
      <c r="A620" s="2" t="s">
        <v>1430</v>
      </c>
      <c r="B620" s="7">
        <v>45848</v>
      </c>
      <c r="C620" s="5" t="s">
        <v>41</v>
      </c>
      <c r="D620" s="5" t="s">
        <v>42</v>
      </c>
      <c r="E620" s="5" t="s">
        <v>295</v>
      </c>
      <c r="F620" s="2" t="s">
        <v>66</v>
      </c>
      <c r="G620" s="2">
        <v>9</v>
      </c>
      <c r="H620" s="25">
        <v>62700</v>
      </c>
      <c r="I620" s="8">
        <v>0</v>
      </c>
      <c r="J620" s="25">
        <v>564300</v>
      </c>
      <c r="K620" s="25">
        <f>G620*H620</f>
        <v>564300</v>
      </c>
      <c r="L620" s="8">
        <f>K620*I620/100</f>
        <v>0</v>
      </c>
      <c r="M620" s="2" t="s">
        <v>94</v>
      </c>
      <c r="N620" s="2" t="s">
        <v>176</v>
      </c>
      <c r="O620" s="2">
        <v>2025</v>
      </c>
      <c r="P620" s="2" t="str">
        <v>July</v>
      </c>
      <c r="Q620" s="2" t="s">
        <v>21</v>
      </c>
    </row>
    <row r="621" spans="1:17" x14ac:dyDescent="0.25">
      <c r="A621" s="2" t="s">
        <v>1432</v>
      </c>
      <c r="B621" s="7">
        <v>45959</v>
      </c>
      <c r="C621" s="5" t="s">
        <v>24</v>
      </c>
      <c r="D621" s="5" t="s">
        <v>16</v>
      </c>
      <c r="E621" s="5" t="s">
        <v>34</v>
      </c>
      <c r="F621" s="2" t="s">
        <v>35</v>
      </c>
      <c r="G621" s="2">
        <v>9</v>
      </c>
      <c r="H621" s="25">
        <v>4950</v>
      </c>
      <c r="I621" s="8">
        <v>0</v>
      </c>
      <c r="J621" s="25">
        <v>44550</v>
      </c>
      <c r="K621" s="25">
        <f>G621*H621</f>
        <v>44550</v>
      </c>
      <c r="L621" s="8">
        <f>K621*I621/100</f>
        <v>0</v>
      </c>
      <c r="M621" s="2" t="s">
        <v>53</v>
      </c>
      <c r="N621" s="2" t="s">
        <v>68</v>
      </c>
      <c r="O621" s="2">
        <v>2025</v>
      </c>
      <c r="P621" s="2" t="str">
        <v>October</v>
      </c>
      <c r="Q621" s="2" t="s">
        <v>21</v>
      </c>
    </row>
    <row r="622" spans="1:17" x14ac:dyDescent="0.25">
      <c r="A622" s="2" t="s">
        <v>1434</v>
      </c>
      <c r="B622" s="7">
        <v>45763</v>
      </c>
      <c r="C622" s="5" t="s">
        <v>238</v>
      </c>
      <c r="D622" s="5" t="s">
        <v>51</v>
      </c>
      <c r="E622" s="5" t="s">
        <v>34</v>
      </c>
      <c r="F622" s="2" t="s">
        <v>374</v>
      </c>
      <c r="G622" s="2">
        <v>11</v>
      </c>
      <c r="H622" s="25">
        <v>16670</v>
      </c>
      <c r="I622" s="8">
        <v>0</v>
      </c>
      <c r="J622" s="25">
        <v>183370</v>
      </c>
      <c r="K622" s="25">
        <f>G622*H622</f>
        <v>183370</v>
      </c>
      <c r="L622" s="8">
        <f>K622*I622/100</f>
        <v>0</v>
      </c>
      <c r="M622" s="2" t="s">
        <v>94</v>
      </c>
      <c r="N622" s="2" t="s">
        <v>168</v>
      </c>
      <c r="O622" s="2">
        <v>2025</v>
      </c>
      <c r="P622" s="2" t="str">
        <v>April</v>
      </c>
      <c r="Q622" s="2" t="s">
        <v>21</v>
      </c>
    </row>
    <row r="623" spans="1:17" x14ac:dyDescent="0.25">
      <c r="A623" s="2" t="s">
        <v>1436</v>
      </c>
      <c r="B623" s="7">
        <v>45878</v>
      </c>
      <c r="C623" s="5" t="s">
        <v>32</v>
      </c>
      <c r="D623" s="5" t="s">
        <v>33</v>
      </c>
      <c r="E623" s="5" t="s">
        <v>148</v>
      </c>
      <c r="F623" s="2" t="s">
        <v>435</v>
      </c>
      <c r="G623" s="2">
        <v>4</v>
      </c>
      <c r="H623" s="25">
        <v>3180</v>
      </c>
      <c r="I623" s="8">
        <v>0</v>
      </c>
      <c r="J623" s="25">
        <v>12720</v>
      </c>
      <c r="K623" s="25">
        <f>G623*H623</f>
        <v>12720</v>
      </c>
      <c r="L623" s="8">
        <f>K623*I623/100</f>
        <v>0</v>
      </c>
      <c r="M623" s="2" t="s">
        <v>102</v>
      </c>
      <c r="N623" s="2" t="s">
        <v>266</v>
      </c>
      <c r="O623" s="2">
        <v>2025</v>
      </c>
      <c r="P623" s="2" t="str">
        <v>August</v>
      </c>
      <c r="Q623" s="2" t="s">
        <v>47</v>
      </c>
    </row>
    <row r="624" spans="1:17" x14ac:dyDescent="0.25">
      <c r="A624" s="2" t="s">
        <v>1438</v>
      </c>
      <c r="B624" s="7">
        <v>45902</v>
      </c>
      <c r="C624" s="5" t="s">
        <v>135</v>
      </c>
      <c r="D624" s="5" t="s">
        <v>58</v>
      </c>
      <c r="E624" s="5" t="s">
        <v>34</v>
      </c>
      <c r="F624" s="2" t="s">
        <v>71</v>
      </c>
      <c r="G624" s="2">
        <v>5</v>
      </c>
      <c r="H624" s="25">
        <v>12480</v>
      </c>
      <c r="I624" s="8">
        <v>5</v>
      </c>
      <c r="J624" s="25">
        <v>59280</v>
      </c>
      <c r="K624" s="25">
        <f>G624*H624</f>
        <v>62400</v>
      </c>
      <c r="L624" s="8">
        <f>K624*I624/100</f>
        <v>3120</v>
      </c>
      <c r="M624" s="2" t="s">
        <v>102</v>
      </c>
      <c r="N624" s="2" t="s">
        <v>341</v>
      </c>
      <c r="O624" s="2">
        <v>2025</v>
      </c>
      <c r="P624" s="2" t="str">
        <v>September</v>
      </c>
      <c r="Q624" s="2" t="s">
        <v>47</v>
      </c>
    </row>
    <row r="625" spans="1:17" x14ac:dyDescent="0.25">
      <c r="A625" s="2" t="s">
        <v>1440</v>
      </c>
      <c r="B625" s="7">
        <v>45805</v>
      </c>
      <c r="C625" s="5" t="s">
        <v>24</v>
      </c>
      <c r="D625" s="5" t="s">
        <v>16</v>
      </c>
      <c r="E625" s="5" t="s">
        <v>148</v>
      </c>
      <c r="F625" s="2" t="s">
        <v>60</v>
      </c>
      <c r="G625" s="2">
        <v>4</v>
      </c>
      <c r="H625" s="25">
        <v>5200</v>
      </c>
      <c r="I625" s="8">
        <v>10</v>
      </c>
      <c r="J625" s="25">
        <v>18720</v>
      </c>
      <c r="K625" s="25">
        <f>G625*H625</f>
        <v>20800</v>
      </c>
      <c r="L625" s="8">
        <f>K625*I625/100</f>
        <v>2080</v>
      </c>
      <c r="M625" s="2" t="s">
        <v>94</v>
      </c>
      <c r="N625" s="2" t="s">
        <v>46</v>
      </c>
      <c r="O625" s="2">
        <v>2025</v>
      </c>
      <c r="P625" s="2" t="str">
        <v>May</v>
      </c>
      <c r="Q625" s="2" t="s">
        <v>21</v>
      </c>
    </row>
    <row r="626" spans="1:17" x14ac:dyDescent="0.25">
      <c r="A626" s="2" t="s">
        <v>1442</v>
      </c>
      <c r="B626" s="7">
        <v>45881</v>
      </c>
      <c r="C626" s="5" t="s">
        <v>24</v>
      </c>
      <c r="D626" s="5" t="s">
        <v>16</v>
      </c>
      <c r="E626" s="5" t="s">
        <v>148</v>
      </c>
      <c r="F626" s="2" t="s">
        <v>60</v>
      </c>
      <c r="G626" s="2">
        <v>11</v>
      </c>
      <c r="H626" s="25">
        <v>540</v>
      </c>
      <c r="I626" s="8">
        <v>0</v>
      </c>
      <c r="J626" s="25">
        <v>5940</v>
      </c>
      <c r="K626" s="25">
        <f>G626*H626</f>
        <v>5940</v>
      </c>
      <c r="L626" s="8">
        <f>K626*I626/100</f>
        <v>0</v>
      </c>
      <c r="M626" s="2" t="s">
        <v>102</v>
      </c>
      <c r="N626" s="2" t="s">
        <v>54</v>
      </c>
      <c r="O626" s="2">
        <v>2025</v>
      </c>
      <c r="P626" s="2" t="str">
        <v>August</v>
      </c>
      <c r="Q626" s="2" t="s">
        <v>21</v>
      </c>
    </row>
    <row r="627" spans="1:17" x14ac:dyDescent="0.25">
      <c r="A627" s="2" t="s">
        <v>1443</v>
      </c>
      <c r="B627" s="7">
        <v>45931</v>
      </c>
      <c r="C627" s="5" t="s">
        <v>24</v>
      </c>
      <c r="D627" s="5" t="s">
        <v>16</v>
      </c>
      <c r="E627" s="5" t="s">
        <v>295</v>
      </c>
      <c r="F627" s="2" t="s">
        <v>126</v>
      </c>
      <c r="G627" s="2">
        <v>7</v>
      </c>
      <c r="H627" s="25">
        <v>8810</v>
      </c>
      <c r="I627" s="8">
        <v>0</v>
      </c>
      <c r="J627" s="25">
        <v>61670</v>
      </c>
      <c r="K627" s="25">
        <f>G627*H627</f>
        <v>61670</v>
      </c>
      <c r="L627" s="8">
        <f>K627*I627/100</f>
        <v>0</v>
      </c>
      <c r="M627" s="2" t="s">
        <v>102</v>
      </c>
      <c r="N627" s="2" t="s">
        <v>79</v>
      </c>
      <c r="O627" s="2">
        <v>2025</v>
      </c>
      <c r="P627" s="2" t="str">
        <v>October</v>
      </c>
      <c r="Q627" s="2" t="s">
        <v>47</v>
      </c>
    </row>
    <row r="628" spans="1:17" x14ac:dyDescent="0.25">
      <c r="A628" s="2" t="s">
        <v>1445</v>
      </c>
      <c r="B628" s="7">
        <v>45947</v>
      </c>
      <c r="C628" s="5" t="s">
        <v>135</v>
      </c>
      <c r="D628" s="5" t="s">
        <v>33</v>
      </c>
      <c r="E628" s="5" t="s">
        <v>34</v>
      </c>
      <c r="F628" s="2" t="s">
        <v>164</v>
      </c>
      <c r="G628" s="2">
        <v>5</v>
      </c>
      <c r="H628" s="25">
        <v>74220</v>
      </c>
      <c r="I628" s="8">
        <v>0</v>
      </c>
      <c r="J628" s="25">
        <v>371100</v>
      </c>
      <c r="K628" s="25">
        <f>G628*H628</f>
        <v>371100</v>
      </c>
      <c r="L628" s="8">
        <f>K628*I628/100</f>
        <v>0</v>
      </c>
      <c r="M628" s="2" t="s">
        <v>94</v>
      </c>
      <c r="N628" s="2" t="s">
        <v>266</v>
      </c>
      <c r="O628" s="2">
        <v>2025</v>
      </c>
      <c r="P628" s="2" t="str">
        <v>October</v>
      </c>
      <c r="Q628" s="2" t="s">
        <v>47</v>
      </c>
    </row>
    <row r="629" spans="1:17" x14ac:dyDescent="0.25">
      <c r="A629" s="2" t="s">
        <v>1446</v>
      </c>
      <c r="B629" s="7">
        <v>45897</v>
      </c>
      <c r="C629" s="5" t="s">
        <v>76</v>
      </c>
      <c r="D629" s="5" t="s">
        <v>33</v>
      </c>
      <c r="E629" s="5" t="s">
        <v>25</v>
      </c>
      <c r="F629" s="2" t="s">
        <v>93</v>
      </c>
      <c r="G629" s="2">
        <v>2</v>
      </c>
      <c r="H629" s="25">
        <v>5410</v>
      </c>
      <c r="I629" s="8">
        <v>5</v>
      </c>
      <c r="J629" s="25">
        <v>10279</v>
      </c>
      <c r="K629" s="25">
        <f>G629*H629</f>
        <v>10820</v>
      </c>
      <c r="L629" s="8">
        <f>K629*I629/100</f>
        <v>541</v>
      </c>
      <c r="M629" s="2" t="s">
        <v>94</v>
      </c>
      <c r="N629" s="2" t="s">
        <v>176</v>
      </c>
      <c r="O629" s="2">
        <v>2025</v>
      </c>
      <c r="P629" s="2" t="str">
        <v>August</v>
      </c>
      <c r="Q629" s="2" t="s">
        <v>21</v>
      </c>
    </row>
    <row r="630" spans="1:17" x14ac:dyDescent="0.25">
      <c r="A630" s="2" t="s">
        <v>1448</v>
      </c>
      <c r="B630" s="7">
        <v>45849</v>
      </c>
      <c r="C630" s="5" t="s">
        <v>156</v>
      </c>
      <c r="D630" s="5" t="s">
        <v>51</v>
      </c>
      <c r="E630" s="5" t="s">
        <v>148</v>
      </c>
      <c r="F630" s="2" t="s">
        <v>83</v>
      </c>
      <c r="G630" s="2">
        <v>8</v>
      </c>
      <c r="H630" s="25">
        <v>49840</v>
      </c>
      <c r="I630" s="8">
        <v>0</v>
      </c>
      <c r="J630" s="25">
        <v>398720</v>
      </c>
      <c r="K630" s="25">
        <f>G630*H630</f>
        <v>398720</v>
      </c>
      <c r="L630" s="8">
        <f>K630*I630/100</f>
        <v>0</v>
      </c>
      <c r="M630" s="2" t="s">
        <v>139</v>
      </c>
      <c r="N630" s="2" t="s">
        <v>176</v>
      </c>
      <c r="O630" s="2">
        <v>2025</v>
      </c>
      <c r="P630" s="2" t="str">
        <v>July</v>
      </c>
      <c r="Q630" s="2" t="s">
        <v>47</v>
      </c>
    </row>
    <row r="631" spans="1:17" x14ac:dyDescent="0.25">
      <c r="A631" s="2" t="s">
        <v>1449</v>
      </c>
      <c r="B631" s="7">
        <v>45992</v>
      </c>
      <c r="C631" s="5" t="s">
        <v>24</v>
      </c>
      <c r="D631" s="5" t="s">
        <v>16</v>
      </c>
      <c r="E631" s="5" t="s">
        <v>25</v>
      </c>
      <c r="F631" s="2" t="s">
        <v>93</v>
      </c>
      <c r="G631" s="2">
        <v>11</v>
      </c>
      <c r="H631" s="25">
        <v>1230</v>
      </c>
      <c r="I631" s="8">
        <v>5</v>
      </c>
      <c r="J631" s="25">
        <v>12853.5</v>
      </c>
      <c r="K631" s="25">
        <f>G631*H631</f>
        <v>13530</v>
      </c>
      <c r="L631" s="8">
        <f>K631*I631/100</f>
        <v>676.5</v>
      </c>
      <c r="M631" s="2" t="s">
        <v>102</v>
      </c>
      <c r="N631" s="2" t="s">
        <v>73</v>
      </c>
      <c r="O631" s="2">
        <v>2025</v>
      </c>
      <c r="P631" s="2" t="str">
        <v>December</v>
      </c>
      <c r="Q631" s="2" t="s">
        <v>21</v>
      </c>
    </row>
    <row r="632" spans="1:17" x14ac:dyDescent="0.25">
      <c r="A632" s="2" t="s">
        <v>1451</v>
      </c>
      <c r="B632" s="7">
        <v>45783</v>
      </c>
      <c r="C632" s="5" t="s">
        <v>41</v>
      </c>
      <c r="D632" s="5" t="s">
        <v>42</v>
      </c>
      <c r="E632" s="5" t="s">
        <v>295</v>
      </c>
      <c r="F632" s="2" t="s">
        <v>296</v>
      </c>
      <c r="G632" s="2">
        <v>3</v>
      </c>
      <c r="H632" s="25">
        <v>23320</v>
      </c>
      <c r="I632" s="8">
        <v>0</v>
      </c>
      <c r="J632" s="25">
        <v>69960</v>
      </c>
      <c r="K632" s="25">
        <f>G632*H632</f>
        <v>69960</v>
      </c>
      <c r="L632" s="8">
        <f>K632*I632/100</f>
        <v>0</v>
      </c>
      <c r="M632" s="2" t="s">
        <v>53</v>
      </c>
      <c r="N632" s="2" t="s">
        <v>68</v>
      </c>
      <c r="O632" s="2">
        <v>2025</v>
      </c>
      <c r="P632" s="2" t="str">
        <v>May</v>
      </c>
      <c r="Q632" s="2" t="s">
        <v>47</v>
      </c>
    </row>
    <row r="633" spans="1:17" x14ac:dyDescent="0.25">
      <c r="A633" s="2" t="s">
        <v>1453</v>
      </c>
      <c r="B633" s="7">
        <v>45961</v>
      </c>
      <c r="C633" s="5" t="s">
        <v>24</v>
      </c>
      <c r="D633" s="5" t="s">
        <v>16</v>
      </c>
      <c r="E633" s="5" t="s">
        <v>25</v>
      </c>
      <c r="F633" s="2" t="s">
        <v>44</v>
      </c>
      <c r="G633" s="2">
        <v>1</v>
      </c>
      <c r="H633" s="25">
        <v>18550</v>
      </c>
      <c r="I633" s="8">
        <v>0</v>
      </c>
      <c r="J633" s="25">
        <v>18550</v>
      </c>
      <c r="K633" s="25">
        <f>G633*H633</f>
        <v>18550</v>
      </c>
      <c r="L633" s="8">
        <f>K633*I633/100</f>
        <v>0</v>
      </c>
      <c r="M633" s="2" t="s">
        <v>94</v>
      </c>
      <c r="N633" s="2" t="s">
        <v>79</v>
      </c>
      <c r="O633" s="2">
        <v>2025</v>
      </c>
      <c r="P633" s="2" t="str">
        <v>October</v>
      </c>
      <c r="Q633" s="2" t="s">
        <v>21</v>
      </c>
    </row>
    <row r="634" spans="1:17" x14ac:dyDescent="0.25">
      <c r="A634" s="2" t="s">
        <v>1456</v>
      </c>
      <c r="B634" s="7">
        <v>45664</v>
      </c>
      <c r="C634" s="5" t="s">
        <v>135</v>
      </c>
      <c r="D634" s="5" t="s">
        <v>58</v>
      </c>
      <c r="E634" s="5" t="s">
        <v>34</v>
      </c>
      <c r="F634" s="2" t="s">
        <v>35</v>
      </c>
      <c r="G634" s="2">
        <v>3</v>
      </c>
      <c r="H634" s="25">
        <v>8520</v>
      </c>
      <c r="I634" s="8">
        <v>5</v>
      </c>
      <c r="J634" s="25">
        <v>24282</v>
      </c>
      <c r="K634" s="25">
        <f>G634*H634</f>
        <v>25560</v>
      </c>
      <c r="L634" s="8">
        <f>K634*I634/100</f>
        <v>1278</v>
      </c>
      <c r="M634" s="2" t="s">
        <v>139</v>
      </c>
      <c r="N634" s="2" t="s">
        <v>46</v>
      </c>
      <c r="O634" s="2">
        <v>2025</v>
      </c>
      <c r="P634" s="2" t="str">
        <v>January</v>
      </c>
      <c r="Q634" s="2" t="s">
        <v>21</v>
      </c>
    </row>
    <row r="635" spans="1:17" x14ac:dyDescent="0.25">
      <c r="A635" s="2" t="s">
        <v>1458</v>
      </c>
      <c r="B635" s="7">
        <v>45933</v>
      </c>
      <c r="C635" s="5" t="s">
        <v>24</v>
      </c>
      <c r="D635" s="5" t="s">
        <v>16</v>
      </c>
      <c r="E635" s="5" t="s">
        <v>34</v>
      </c>
      <c r="F635" s="2" t="s">
        <v>171</v>
      </c>
      <c r="G635" s="2">
        <v>4</v>
      </c>
      <c r="H635" s="25">
        <v>27650</v>
      </c>
      <c r="I635" s="8">
        <v>0</v>
      </c>
      <c r="J635" s="25">
        <v>110600</v>
      </c>
      <c r="K635" s="25">
        <f>G635*H635</f>
        <v>110600</v>
      </c>
      <c r="L635" s="8">
        <f>K635*I635/100</f>
        <v>0</v>
      </c>
      <c r="M635" s="2" t="s">
        <v>102</v>
      </c>
      <c r="N635" s="2" t="s">
        <v>54</v>
      </c>
      <c r="O635" s="2">
        <v>2025</v>
      </c>
      <c r="P635" s="2" t="str">
        <v>October</v>
      </c>
      <c r="Q635" s="2" t="s">
        <v>47</v>
      </c>
    </row>
    <row r="636" spans="1:17" x14ac:dyDescent="0.25">
      <c r="A636" s="2" t="s">
        <v>1460</v>
      </c>
      <c r="B636" s="7">
        <v>45841</v>
      </c>
      <c r="C636" s="5" t="s">
        <v>24</v>
      </c>
      <c r="D636" s="5" t="s">
        <v>16</v>
      </c>
      <c r="E636" s="5" t="s">
        <v>148</v>
      </c>
      <c r="F636" s="2" t="s">
        <v>435</v>
      </c>
      <c r="G636" s="2">
        <v>11</v>
      </c>
      <c r="H636" s="25">
        <v>5200</v>
      </c>
      <c r="I636" s="8">
        <v>15</v>
      </c>
      <c r="J636" s="25">
        <v>48620</v>
      </c>
      <c r="K636" s="25">
        <f>G636*H636</f>
        <v>57200</v>
      </c>
      <c r="L636" s="8">
        <f>K636*I636/100</f>
        <v>8580</v>
      </c>
      <c r="M636" s="2" t="s">
        <v>102</v>
      </c>
      <c r="N636" s="2" t="s">
        <v>266</v>
      </c>
      <c r="O636" s="2">
        <v>2025</v>
      </c>
      <c r="P636" s="2" t="str">
        <v>July</v>
      </c>
      <c r="Q636" s="2" t="s">
        <v>21</v>
      </c>
    </row>
    <row r="637" spans="1:17" x14ac:dyDescent="0.25">
      <c r="A637" s="2" t="s">
        <v>1461</v>
      </c>
      <c r="B637" s="7">
        <v>45902</v>
      </c>
      <c r="C637" s="5" t="s">
        <v>135</v>
      </c>
      <c r="D637" s="5" t="s">
        <v>58</v>
      </c>
      <c r="E637" s="5" t="s">
        <v>295</v>
      </c>
      <c r="F637" s="2" t="s">
        <v>66</v>
      </c>
      <c r="G637" s="2">
        <v>12</v>
      </c>
      <c r="H637" s="25">
        <v>16470</v>
      </c>
      <c r="I637" s="8">
        <v>0</v>
      </c>
      <c r="J637" s="25">
        <v>197640</v>
      </c>
      <c r="K637" s="25">
        <f>G637*H637</f>
        <v>197640</v>
      </c>
      <c r="L637" s="8">
        <f>K637*I637/100</f>
        <v>0</v>
      </c>
      <c r="M637" s="2" t="s">
        <v>53</v>
      </c>
      <c r="N637" s="2" t="s">
        <v>883</v>
      </c>
      <c r="O637" s="2">
        <v>2025</v>
      </c>
      <c r="P637" s="2" t="str">
        <v>September</v>
      </c>
      <c r="Q637" s="2" t="s">
        <v>47</v>
      </c>
    </row>
    <row r="638" spans="1:17" x14ac:dyDescent="0.25">
      <c r="A638" s="2" t="s">
        <v>1463</v>
      </c>
      <c r="B638" s="7">
        <v>45812</v>
      </c>
      <c r="C638" s="5" t="s">
        <v>238</v>
      </c>
      <c r="D638" s="5" t="s">
        <v>51</v>
      </c>
      <c r="E638" s="5" t="s">
        <v>179</v>
      </c>
      <c r="F638" s="2" t="s">
        <v>232</v>
      </c>
      <c r="G638" s="2">
        <v>12</v>
      </c>
      <c r="H638" s="25">
        <v>7540</v>
      </c>
      <c r="I638" s="8">
        <v>0</v>
      </c>
      <c r="J638" s="25">
        <v>90480</v>
      </c>
      <c r="K638" s="25">
        <f>G638*H638</f>
        <v>90480</v>
      </c>
      <c r="L638" s="8">
        <f>K638*I638/100</f>
        <v>0</v>
      </c>
      <c r="M638" s="2" t="s">
        <v>102</v>
      </c>
      <c r="N638" s="2" t="s">
        <v>344</v>
      </c>
      <c r="O638" s="2">
        <v>2025</v>
      </c>
      <c r="P638" s="2" t="str">
        <v>June</v>
      </c>
      <c r="Q638" s="2" t="s">
        <v>47</v>
      </c>
    </row>
    <row r="639" spans="1:17" x14ac:dyDescent="0.25">
      <c r="A639" s="2" t="s">
        <v>1466</v>
      </c>
      <c r="B639" s="7">
        <v>45666</v>
      </c>
      <c r="C639" s="5" t="s">
        <v>135</v>
      </c>
      <c r="D639" s="5" t="s">
        <v>33</v>
      </c>
      <c r="E639" s="5" t="s">
        <v>25</v>
      </c>
      <c r="F639" s="2" t="s">
        <v>115</v>
      </c>
      <c r="G639" s="2">
        <v>8</v>
      </c>
      <c r="H639" s="25">
        <v>3570</v>
      </c>
      <c r="I639" s="8">
        <v>0</v>
      </c>
      <c r="J639" s="25">
        <v>28560</v>
      </c>
      <c r="K639" s="25">
        <f>G639*H639</f>
        <v>28560</v>
      </c>
      <c r="L639" s="8">
        <f>K639*I639/100</f>
        <v>0</v>
      </c>
      <c r="M639" s="2" t="s">
        <v>94</v>
      </c>
      <c r="N639" s="2" t="s">
        <v>68</v>
      </c>
      <c r="O639" s="2">
        <v>2025</v>
      </c>
      <c r="P639" s="2" t="str">
        <v>January</v>
      </c>
      <c r="Q639" s="2" t="s">
        <v>21</v>
      </c>
    </row>
    <row r="640" spans="1:17" x14ac:dyDescent="0.25">
      <c r="A640" s="2" t="s">
        <v>1468</v>
      </c>
      <c r="B640" s="7">
        <v>45906</v>
      </c>
      <c r="C640" s="5" t="s">
        <v>41</v>
      </c>
      <c r="D640" s="5" t="s">
        <v>42</v>
      </c>
      <c r="E640" s="5" t="s">
        <v>295</v>
      </c>
      <c r="F640" s="2" t="s">
        <v>126</v>
      </c>
      <c r="G640" s="2">
        <v>3</v>
      </c>
      <c r="H640" s="25">
        <v>2780</v>
      </c>
      <c r="I640" s="8">
        <v>0</v>
      </c>
      <c r="J640" s="25">
        <v>8340</v>
      </c>
      <c r="K640" s="25">
        <f>G640*H640</f>
        <v>8340</v>
      </c>
      <c r="L640" s="8">
        <f>K640*I640/100</f>
        <v>0</v>
      </c>
      <c r="M640" s="2" t="s">
        <v>94</v>
      </c>
      <c r="N640" s="2" t="s">
        <v>411</v>
      </c>
      <c r="O640" s="2">
        <v>2025</v>
      </c>
      <c r="P640" s="2" t="str">
        <v>September</v>
      </c>
      <c r="Q640" s="2" t="s">
        <v>47</v>
      </c>
    </row>
    <row r="641" spans="1:17" x14ac:dyDescent="0.25">
      <c r="A641" s="2" t="s">
        <v>1470</v>
      </c>
      <c r="B641" s="7">
        <v>46022</v>
      </c>
      <c r="C641" s="5" t="s">
        <v>156</v>
      </c>
      <c r="D641" s="5" t="s">
        <v>51</v>
      </c>
      <c r="E641" s="5" t="s">
        <v>179</v>
      </c>
      <c r="F641" s="2" t="s">
        <v>543</v>
      </c>
      <c r="G641" s="2">
        <v>5</v>
      </c>
      <c r="H641" s="25">
        <v>3190</v>
      </c>
      <c r="I641" s="8">
        <v>0</v>
      </c>
      <c r="J641" s="25">
        <v>15950</v>
      </c>
      <c r="K641" s="25">
        <f>G641*H641</f>
        <v>15950</v>
      </c>
      <c r="L641" s="8">
        <f>K641*I641/100</f>
        <v>0</v>
      </c>
      <c r="M641" s="2" t="s">
        <v>53</v>
      </c>
      <c r="N641" s="2" t="s">
        <v>406</v>
      </c>
      <c r="O641" s="2">
        <v>2025</v>
      </c>
      <c r="P641" s="2" t="str">
        <v>December</v>
      </c>
      <c r="Q641" s="2" t="s">
        <v>21</v>
      </c>
    </row>
    <row r="642" spans="1:17" x14ac:dyDescent="0.25">
      <c r="A642" s="2" t="s">
        <v>1472</v>
      </c>
      <c r="B642" s="7">
        <v>45809</v>
      </c>
      <c r="C642" s="5" t="s">
        <v>32</v>
      </c>
      <c r="D642" s="5" t="s">
        <v>33</v>
      </c>
      <c r="E642" s="5" t="s">
        <v>25</v>
      </c>
      <c r="F642" s="2" t="s">
        <v>248</v>
      </c>
      <c r="G642" s="2">
        <v>12</v>
      </c>
      <c r="H642" s="25">
        <v>4670</v>
      </c>
      <c r="I642" s="8">
        <v>0</v>
      </c>
      <c r="J642" s="25">
        <v>56040</v>
      </c>
      <c r="K642" s="25">
        <f>G642*H642</f>
        <v>56040</v>
      </c>
      <c r="L642" s="8">
        <f>K642*I642/100</f>
        <v>0</v>
      </c>
      <c r="M642" s="2" t="s">
        <v>53</v>
      </c>
      <c r="N642" s="2" t="s">
        <v>46</v>
      </c>
      <c r="O642" s="2">
        <v>2025</v>
      </c>
      <c r="P642" s="2" t="str">
        <v>June</v>
      </c>
      <c r="Q642" s="2" t="s">
        <v>21</v>
      </c>
    </row>
    <row r="643" spans="1:17" x14ac:dyDescent="0.25">
      <c r="A643" s="2" t="s">
        <v>1474</v>
      </c>
      <c r="B643" s="7">
        <v>45670</v>
      </c>
      <c r="C643" s="5" t="s">
        <v>238</v>
      </c>
      <c r="D643" s="5" t="s">
        <v>51</v>
      </c>
      <c r="E643" s="5" t="s">
        <v>148</v>
      </c>
      <c r="F643" s="2" t="s">
        <v>379</v>
      </c>
      <c r="G643" s="2">
        <v>8</v>
      </c>
      <c r="H643" s="25">
        <v>5020</v>
      </c>
      <c r="I643" s="8">
        <v>10</v>
      </c>
      <c r="J643" s="25">
        <v>36144</v>
      </c>
      <c r="K643" s="25">
        <f>G643*H643</f>
        <v>40160</v>
      </c>
      <c r="L643" s="8">
        <f>K643*I643/100</f>
        <v>4016</v>
      </c>
      <c r="M643" s="2" t="s">
        <v>53</v>
      </c>
      <c r="N643" s="2" t="s">
        <v>411</v>
      </c>
      <c r="O643" s="2">
        <v>2025</v>
      </c>
      <c r="P643" s="2" t="str">
        <v>January</v>
      </c>
      <c r="Q643" s="2" t="s">
        <v>47</v>
      </c>
    </row>
    <row r="644" spans="1:17" x14ac:dyDescent="0.25">
      <c r="A644" s="2" t="s">
        <v>1476</v>
      </c>
      <c r="B644" s="7">
        <v>45885</v>
      </c>
      <c r="C644" s="5" t="s">
        <v>238</v>
      </c>
      <c r="D644" s="5" t="s">
        <v>51</v>
      </c>
      <c r="E644" s="5" t="s">
        <v>34</v>
      </c>
      <c r="F644" s="2" t="s">
        <v>18</v>
      </c>
      <c r="G644" s="2">
        <v>3</v>
      </c>
      <c r="H644" s="25">
        <v>41200</v>
      </c>
      <c r="I644" s="8">
        <v>0</v>
      </c>
      <c r="J644" s="25">
        <v>123600</v>
      </c>
      <c r="K644" s="25">
        <f>G644*H644</f>
        <v>123600</v>
      </c>
      <c r="L644" s="8">
        <f>K644*I644/100</f>
        <v>0</v>
      </c>
      <c r="M644" s="2" t="s">
        <v>53</v>
      </c>
      <c r="N644" s="2" t="s">
        <v>266</v>
      </c>
      <c r="O644" s="2">
        <v>2025</v>
      </c>
      <c r="P644" s="2" t="str">
        <v>August</v>
      </c>
      <c r="Q644" s="2" t="s">
        <v>47</v>
      </c>
    </row>
    <row r="645" spans="1:17" x14ac:dyDescent="0.25">
      <c r="A645" s="2" t="s">
        <v>1477</v>
      </c>
      <c r="B645" s="7">
        <v>45985</v>
      </c>
      <c r="C645" s="5" t="s">
        <v>41</v>
      </c>
      <c r="D645" s="5" t="s">
        <v>42</v>
      </c>
      <c r="E645" s="5" t="s">
        <v>295</v>
      </c>
      <c r="F645" s="2" t="s">
        <v>219</v>
      </c>
      <c r="G645" s="2">
        <v>10</v>
      </c>
      <c r="H645" s="25">
        <v>7980</v>
      </c>
      <c r="I645" s="8">
        <v>0</v>
      </c>
      <c r="J645" s="25">
        <v>79800</v>
      </c>
      <c r="K645" s="25">
        <f>G645*H645</f>
        <v>79800</v>
      </c>
      <c r="L645" s="8">
        <f>K645*I645/100</f>
        <v>0</v>
      </c>
      <c r="M645" s="2" t="s">
        <v>139</v>
      </c>
      <c r="N645" s="2" t="s">
        <v>73</v>
      </c>
      <c r="O645" s="2">
        <v>2025</v>
      </c>
      <c r="P645" s="2" t="str">
        <v>November</v>
      </c>
      <c r="Q645" s="2" t="s">
        <v>47</v>
      </c>
    </row>
    <row r="646" spans="1:17" x14ac:dyDescent="0.25">
      <c r="A646" s="2" t="s">
        <v>1479</v>
      </c>
      <c r="B646" s="7">
        <v>45927</v>
      </c>
      <c r="C646" s="5" t="s">
        <v>135</v>
      </c>
      <c r="D646" s="2" t="s">
        <v>33</v>
      </c>
      <c r="E646" s="2" t="s">
        <v>34</v>
      </c>
      <c r="F646" s="2" t="s">
        <v>290</v>
      </c>
      <c r="G646" s="2">
        <v>6</v>
      </c>
      <c r="H646" s="25">
        <v>560</v>
      </c>
      <c r="I646" s="8">
        <v>15</v>
      </c>
      <c r="J646" s="25">
        <v>2856</v>
      </c>
      <c r="K646" s="25">
        <f>G646*H646</f>
        <v>3360</v>
      </c>
      <c r="L646" s="8">
        <f>K646*I646/100</f>
        <v>504</v>
      </c>
      <c r="M646" s="2" t="s">
        <v>53</v>
      </c>
      <c r="N646" s="2" t="s">
        <v>411</v>
      </c>
      <c r="O646" s="2">
        <v>2025</v>
      </c>
      <c r="P646" s="2" t="str">
        <v>September</v>
      </c>
      <c r="Q646" s="2" t="s">
        <v>47</v>
      </c>
    </row>
    <row r="647" spans="1:17" x14ac:dyDescent="0.25">
      <c r="A647" s="2" t="s">
        <v>1481</v>
      </c>
      <c r="B647" s="7">
        <v>45685</v>
      </c>
      <c r="C647" s="5" t="s">
        <v>76</v>
      </c>
      <c r="D647" s="5" t="s">
        <v>33</v>
      </c>
      <c r="E647" s="5" t="s">
        <v>179</v>
      </c>
      <c r="F647" s="2" t="s">
        <v>232</v>
      </c>
      <c r="G647" s="2">
        <v>2</v>
      </c>
      <c r="H647" s="25">
        <v>7710</v>
      </c>
      <c r="I647" s="8">
        <v>0</v>
      </c>
      <c r="J647" s="25">
        <v>15420</v>
      </c>
      <c r="K647" s="25">
        <f>G647*H647</f>
        <v>15420</v>
      </c>
      <c r="L647" s="8">
        <f>K647*I647/100</f>
        <v>0</v>
      </c>
      <c r="M647" s="2" t="s">
        <v>53</v>
      </c>
      <c r="N647" s="2" t="s">
        <v>406</v>
      </c>
      <c r="O647" s="2">
        <v>2025</v>
      </c>
      <c r="P647" s="2" t="str">
        <v>January</v>
      </c>
      <c r="Q647" s="2" t="s">
        <v>47</v>
      </c>
    </row>
    <row r="648" spans="1:17" x14ac:dyDescent="0.25">
      <c r="A648" s="2" t="s">
        <v>1483</v>
      </c>
      <c r="B648" s="7">
        <v>45892</v>
      </c>
      <c r="C648" s="5" t="s">
        <v>24</v>
      </c>
      <c r="D648" s="5" t="s">
        <v>16</v>
      </c>
      <c r="E648" s="5" t="s">
        <v>295</v>
      </c>
      <c r="F648" s="2" t="s">
        <v>319</v>
      </c>
      <c r="G648" s="2">
        <v>1</v>
      </c>
      <c r="H648" s="25">
        <v>9140</v>
      </c>
      <c r="I648" s="8">
        <v>0</v>
      </c>
      <c r="J648" s="25">
        <v>9140</v>
      </c>
      <c r="K648" s="25">
        <f>G648*H648</f>
        <v>9140</v>
      </c>
      <c r="L648" s="8">
        <f>K648*I648/100</f>
        <v>0</v>
      </c>
      <c r="M648" s="2" t="s">
        <v>139</v>
      </c>
      <c r="N648" s="2" t="s">
        <v>188</v>
      </c>
      <c r="O648" s="2">
        <v>2025</v>
      </c>
      <c r="P648" s="2" t="str">
        <v>August</v>
      </c>
      <c r="Q648" s="2" t="s">
        <v>21</v>
      </c>
    </row>
    <row r="649" spans="1:17" x14ac:dyDescent="0.25">
      <c r="A649" s="2" t="s">
        <v>1485</v>
      </c>
      <c r="B649" s="7">
        <v>45958</v>
      </c>
      <c r="C649" s="5" t="s">
        <v>156</v>
      </c>
      <c r="D649" s="5" t="s">
        <v>51</v>
      </c>
      <c r="E649" s="5" t="s">
        <v>25</v>
      </c>
      <c r="F649" s="2" t="s">
        <v>248</v>
      </c>
      <c r="G649" s="2">
        <v>11</v>
      </c>
      <c r="H649" s="25">
        <v>9120</v>
      </c>
      <c r="I649" s="8">
        <v>0</v>
      </c>
      <c r="J649" s="25">
        <v>100320</v>
      </c>
      <c r="K649" s="25">
        <f>G649*H649</f>
        <v>100320</v>
      </c>
      <c r="L649" s="8">
        <f>K649*I649/100</f>
        <v>0</v>
      </c>
      <c r="M649" s="2" t="s">
        <v>102</v>
      </c>
      <c r="N649" s="2" t="s">
        <v>341</v>
      </c>
      <c r="O649" s="2">
        <v>2025</v>
      </c>
      <c r="P649" s="2" t="str">
        <v>October</v>
      </c>
      <c r="Q649" s="2" t="s">
        <v>21</v>
      </c>
    </row>
    <row r="650" spans="1:17" x14ac:dyDescent="0.25">
      <c r="A650" s="2" t="s">
        <v>1486</v>
      </c>
      <c r="B650" s="7">
        <v>45778</v>
      </c>
      <c r="C650" s="5" t="s">
        <v>41</v>
      </c>
      <c r="D650" s="5" t="s">
        <v>42</v>
      </c>
      <c r="E650" s="5" t="s">
        <v>295</v>
      </c>
      <c r="F650" s="2" t="s">
        <v>319</v>
      </c>
      <c r="G650" s="2">
        <v>7</v>
      </c>
      <c r="H650" s="25">
        <v>530</v>
      </c>
      <c r="I650" s="8">
        <v>0</v>
      </c>
      <c r="J650" s="25">
        <v>3710</v>
      </c>
      <c r="K650" s="25">
        <f>G650*H650</f>
        <v>3710</v>
      </c>
      <c r="L650" s="8">
        <f>K650*I650/100</f>
        <v>0</v>
      </c>
      <c r="M650" s="2" t="s">
        <v>53</v>
      </c>
      <c r="N650" s="2" t="s">
        <v>411</v>
      </c>
      <c r="O650" s="2">
        <v>2025</v>
      </c>
      <c r="P650" s="2" t="str">
        <v>May</v>
      </c>
      <c r="Q650" s="2" t="s">
        <v>47</v>
      </c>
    </row>
    <row r="651" spans="1:17" x14ac:dyDescent="0.25">
      <c r="A651" s="2" t="s">
        <v>1488</v>
      </c>
      <c r="B651" s="7">
        <v>45739</v>
      </c>
      <c r="C651" s="5" t="s">
        <v>41</v>
      </c>
      <c r="D651" s="5" t="s">
        <v>42</v>
      </c>
      <c r="E651" s="5" t="s">
        <v>34</v>
      </c>
      <c r="F651" s="2" t="s">
        <v>171</v>
      </c>
      <c r="G651" s="2">
        <v>2</v>
      </c>
      <c r="H651" s="25">
        <v>12300</v>
      </c>
      <c r="I651" s="8">
        <v>15</v>
      </c>
      <c r="J651" s="25">
        <v>20910</v>
      </c>
      <c r="K651" s="25">
        <f>G651*H651</f>
        <v>24600</v>
      </c>
      <c r="L651" s="8">
        <f>K651*I651/100</f>
        <v>3690</v>
      </c>
      <c r="M651" s="2" t="s">
        <v>102</v>
      </c>
      <c r="N651" s="2" t="s">
        <v>46</v>
      </c>
      <c r="O651" s="2">
        <v>2025</v>
      </c>
      <c r="P651" s="2" t="str">
        <v>March</v>
      </c>
      <c r="Q651" s="2" t="s">
        <v>21</v>
      </c>
    </row>
    <row r="652" spans="1:17" x14ac:dyDescent="0.25">
      <c r="A652" s="2" t="s">
        <v>1489</v>
      </c>
      <c r="B652" s="7">
        <v>45690</v>
      </c>
      <c r="C652" s="5" t="s">
        <v>24</v>
      </c>
      <c r="D652" s="5" t="s">
        <v>16</v>
      </c>
      <c r="E652" s="5" t="s">
        <v>295</v>
      </c>
      <c r="F652" s="2" t="s">
        <v>314</v>
      </c>
      <c r="G652" s="2">
        <v>8</v>
      </c>
      <c r="H652" s="25">
        <v>7500</v>
      </c>
      <c r="I652" s="8">
        <v>0</v>
      </c>
      <c r="J652" s="25">
        <v>60000</v>
      </c>
      <c r="K652" s="25">
        <f>G652*H652</f>
        <v>60000</v>
      </c>
      <c r="L652" s="8">
        <f>K652*I652/100</f>
        <v>0</v>
      </c>
      <c r="M652" s="2" t="s">
        <v>139</v>
      </c>
      <c r="N652" s="2" t="s">
        <v>266</v>
      </c>
      <c r="O652" s="2">
        <v>2025</v>
      </c>
      <c r="P652" s="2" t="str">
        <v>February</v>
      </c>
      <c r="Q652" s="2" t="s">
        <v>21</v>
      </c>
    </row>
    <row r="653" spans="1:17" x14ac:dyDescent="0.25">
      <c r="A653" s="2" t="s">
        <v>1490</v>
      </c>
      <c r="B653" s="7">
        <v>45697</v>
      </c>
      <c r="C653" s="5" t="s">
        <v>238</v>
      </c>
      <c r="D653" s="5" t="s">
        <v>51</v>
      </c>
      <c r="E653" s="5" t="s">
        <v>179</v>
      </c>
      <c r="F653" s="2" t="s">
        <v>232</v>
      </c>
      <c r="G653" s="2">
        <v>5</v>
      </c>
      <c r="H653" s="25">
        <v>40770</v>
      </c>
      <c r="I653" s="8">
        <v>5</v>
      </c>
      <c r="J653" s="25">
        <v>193657.5</v>
      </c>
      <c r="K653" s="25">
        <f>G653*H653</f>
        <v>203850</v>
      </c>
      <c r="L653" s="8">
        <f>K653*I653/100</f>
        <v>10192.5</v>
      </c>
      <c r="M653" s="2" t="s">
        <v>102</v>
      </c>
      <c r="N653" s="2" t="s">
        <v>176</v>
      </c>
      <c r="O653" s="2">
        <v>2025</v>
      </c>
      <c r="P653" s="2" t="str">
        <v>February</v>
      </c>
      <c r="Q653" s="2" t="s">
        <v>47</v>
      </c>
    </row>
    <row r="654" spans="1:17" x14ac:dyDescent="0.25">
      <c r="A654" s="2" t="s">
        <v>1492</v>
      </c>
      <c r="B654" s="7">
        <v>45896</v>
      </c>
      <c r="C654" s="5" t="s">
        <v>41</v>
      </c>
      <c r="D654" s="5" t="s">
        <v>42</v>
      </c>
      <c r="E654" s="5" t="s">
        <v>179</v>
      </c>
      <c r="F654" s="2" t="s">
        <v>239</v>
      </c>
      <c r="G654" s="2">
        <v>10</v>
      </c>
      <c r="H654" s="25">
        <v>7140</v>
      </c>
      <c r="I654" s="8">
        <v>0</v>
      </c>
      <c r="J654" s="25">
        <v>71400</v>
      </c>
      <c r="K654" s="25">
        <f>G654*H654</f>
        <v>71400</v>
      </c>
      <c r="L654" s="8">
        <f>K654*I654/100</f>
        <v>0</v>
      </c>
      <c r="M654" s="2" t="s">
        <v>102</v>
      </c>
      <c r="N654" s="2" t="s">
        <v>168</v>
      </c>
      <c r="O654" s="2">
        <v>2025</v>
      </c>
      <c r="P654" s="2" t="str">
        <v>August</v>
      </c>
      <c r="Q654" s="2" t="s">
        <v>21</v>
      </c>
    </row>
    <row r="655" spans="1:17" x14ac:dyDescent="0.25">
      <c r="A655" s="2" t="s">
        <v>1494</v>
      </c>
      <c r="B655" s="7">
        <v>45932</v>
      </c>
      <c r="C655" s="5" t="s">
        <v>76</v>
      </c>
      <c r="D655" s="5" t="s">
        <v>33</v>
      </c>
      <c r="E655" s="5" t="s">
        <v>34</v>
      </c>
      <c r="F655" s="2" t="s">
        <v>71</v>
      </c>
      <c r="G655" s="2">
        <v>5</v>
      </c>
      <c r="H655" s="25">
        <v>42820</v>
      </c>
      <c r="I655" s="8">
        <v>5</v>
      </c>
      <c r="J655" s="25">
        <v>203395</v>
      </c>
      <c r="K655" s="25">
        <f>G655*H655</f>
        <v>214100</v>
      </c>
      <c r="L655" s="8">
        <f>K655*I655/100</f>
        <v>10705</v>
      </c>
      <c r="M655" s="2" t="s">
        <v>53</v>
      </c>
      <c r="N655" s="2" t="s">
        <v>79</v>
      </c>
      <c r="O655" s="2">
        <v>2025</v>
      </c>
      <c r="P655" s="2" t="str">
        <v>October</v>
      </c>
      <c r="Q655" s="2" t="s">
        <v>47</v>
      </c>
    </row>
    <row r="656" spans="1:17" x14ac:dyDescent="0.25">
      <c r="A656" s="2" t="s">
        <v>1496</v>
      </c>
      <c r="B656" s="7">
        <v>45670</v>
      </c>
      <c r="C656" s="5" t="s">
        <v>238</v>
      </c>
      <c r="D656" s="5" t="s">
        <v>51</v>
      </c>
      <c r="E656" s="5" t="s">
        <v>25</v>
      </c>
      <c r="F656" s="2" t="s">
        <v>248</v>
      </c>
      <c r="G656" s="2">
        <v>2</v>
      </c>
      <c r="H656" s="25">
        <v>49690</v>
      </c>
      <c r="I656" s="8">
        <v>0</v>
      </c>
      <c r="J656" s="25">
        <v>99380</v>
      </c>
      <c r="K656" s="25">
        <f>G656*H656</f>
        <v>99380</v>
      </c>
      <c r="L656" s="8">
        <f>K656*I656/100</f>
        <v>0</v>
      </c>
      <c r="M656" s="2" t="s">
        <v>102</v>
      </c>
      <c r="N656" s="2" t="s">
        <v>54</v>
      </c>
      <c r="O656" s="2">
        <v>2025</v>
      </c>
      <c r="P656" s="2" t="str">
        <v>January</v>
      </c>
      <c r="Q656" s="2" t="s">
        <v>47</v>
      </c>
    </row>
    <row r="657" spans="1:17" x14ac:dyDescent="0.25">
      <c r="A657" s="2" t="s">
        <v>1498</v>
      </c>
      <c r="B657" s="7">
        <v>45768</v>
      </c>
      <c r="C657" s="5" t="s">
        <v>41</v>
      </c>
      <c r="D657" s="5" t="s">
        <v>42</v>
      </c>
      <c r="E657" s="5" t="s">
        <v>295</v>
      </c>
      <c r="F657" s="2" t="s">
        <v>314</v>
      </c>
      <c r="G657" s="2">
        <v>2</v>
      </c>
      <c r="H657" s="25">
        <v>25910</v>
      </c>
      <c r="I657" s="8">
        <v>0</v>
      </c>
      <c r="J657" s="25">
        <v>51820</v>
      </c>
      <c r="K657" s="25">
        <f>G657*H657</f>
        <v>51820</v>
      </c>
      <c r="L657" s="8">
        <f>K657*I657/100</f>
        <v>0</v>
      </c>
      <c r="M657" s="2" t="s">
        <v>102</v>
      </c>
      <c r="N657" s="2" t="s">
        <v>168</v>
      </c>
      <c r="O657" s="2">
        <v>2025</v>
      </c>
      <c r="P657" s="2" t="str">
        <v>April</v>
      </c>
      <c r="Q657" s="2" t="s">
        <v>21</v>
      </c>
    </row>
    <row r="658" spans="1:17" x14ac:dyDescent="0.25">
      <c r="A658" s="2" t="s">
        <v>1499</v>
      </c>
      <c r="B658" s="7">
        <v>45726</v>
      </c>
      <c r="C658" s="5" t="s">
        <v>238</v>
      </c>
      <c r="D658" s="5" t="s">
        <v>51</v>
      </c>
      <c r="E658" s="5" t="s">
        <v>25</v>
      </c>
      <c r="F658" s="2" t="s">
        <v>93</v>
      </c>
      <c r="G658" s="2">
        <v>10</v>
      </c>
      <c r="H658" s="25">
        <v>25650</v>
      </c>
      <c r="I658" s="8">
        <v>0</v>
      </c>
      <c r="J658" s="25">
        <v>256500</v>
      </c>
      <c r="K658" s="25">
        <f>G658*H658</f>
        <v>256500</v>
      </c>
      <c r="L658" s="8">
        <f>K658*I658/100</f>
        <v>0</v>
      </c>
      <c r="M658" s="2" t="s">
        <v>94</v>
      </c>
      <c r="N658" s="2" t="s">
        <v>341</v>
      </c>
      <c r="O658" s="2">
        <v>2025</v>
      </c>
      <c r="P658" s="2" t="str">
        <v>March</v>
      </c>
      <c r="Q658" s="2" t="s">
        <v>21</v>
      </c>
    </row>
    <row r="659" spans="1:17" x14ac:dyDescent="0.25">
      <c r="A659" s="2" t="s">
        <v>1501</v>
      </c>
      <c r="B659" s="7">
        <v>45841</v>
      </c>
      <c r="C659" s="5" t="s">
        <v>32</v>
      </c>
      <c r="D659" s="5" t="s">
        <v>33</v>
      </c>
      <c r="E659" s="5" t="s">
        <v>34</v>
      </c>
      <c r="F659" s="2" t="s">
        <v>199</v>
      </c>
      <c r="G659" s="2">
        <v>2</v>
      </c>
      <c r="H659" s="25">
        <v>540</v>
      </c>
      <c r="I659" s="8">
        <v>5</v>
      </c>
      <c r="J659" s="25">
        <v>1026</v>
      </c>
      <c r="K659" s="25">
        <f>G659*H659</f>
        <v>1080</v>
      </c>
      <c r="L659" s="8">
        <f>K659*I659/100</f>
        <v>54</v>
      </c>
      <c r="M659" s="2" t="s">
        <v>139</v>
      </c>
      <c r="N659" s="2" t="s">
        <v>266</v>
      </c>
      <c r="O659" s="2">
        <v>2025</v>
      </c>
      <c r="P659" s="2" t="str">
        <v>July</v>
      </c>
      <c r="Q659" s="2" t="s">
        <v>47</v>
      </c>
    </row>
    <row r="660" spans="1:17" x14ac:dyDescent="0.25">
      <c r="A660" s="2" t="s">
        <v>1502</v>
      </c>
      <c r="B660" s="7">
        <v>45766</v>
      </c>
      <c r="C660" s="5" t="s">
        <v>156</v>
      </c>
      <c r="D660" s="5" t="s">
        <v>51</v>
      </c>
      <c r="E660" s="5" t="s">
        <v>295</v>
      </c>
      <c r="F660" s="2" t="s">
        <v>66</v>
      </c>
      <c r="G660" s="2">
        <v>11</v>
      </c>
      <c r="H660" s="25">
        <v>1250</v>
      </c>
      <c r="I660" s="8">
        <v>5</v>
      </c>
      <c r="J660" s="25">
        <v>13062.5</v>
      </c>
      <c r="K660" s="25">
        <f>G660*H660</f>
        <v>13750</v>
      </c>
      <c r="L660" s="8">
        <f>K660*I660/100</f>
        <v>687.5</v>
      </c>
      <c r="M660" s="2" t="s">
        <v>102</v>
      </c>
      <c r="N660" s="2" t="s">
        <v>344</v>
      </c>
      <c r="O660" s="2">
        <v>2025</v>
      </c>
      <c r="P660" s="2" t="str">
        <v>April</v>
      </c>
      <c r="Q660" s="2" t="s">
        <v>21</v>
      </c>
    </row>
    <row r="661" spans="1:17" x14ac:dyDescent="0.25">
      <c r="A661" s="2" t="s">
        <v>1505</v>
      </c>
      <c r="B661" s="7">
        <v>45902</v>
      </c>
      <c r="C661" s="5" t="s">
        <v>32</v>
      </c>
      <c r="D661" s="5" t="s">
        <v>33</v>
      </c>
      <c r="E661" s="5" t="s">
        <v>179</v>
      </c>
      <c r="F661" s="2" t="s">
        <v>543</v>
      </c>
      <c r="G661" s="2">
        <v>10</v>
      </c>
      <c r="H661" s="25">
        <v>1250</v>
      </c>
      <c r="I661" s="8">
        <v>5</v>
      </c>
      <c r="J661" s="25">
        <v>11875</v>
      </c>
      <c r="K661" s="25">
        <f>G661*H661</f>
        <v>12500</v>
      </c>
      <c r="L661" s="8">
        <f>K661*I661/100</f>
        <v>625</v>
      </c>
      <c r="M661" s="2" t="s">
        <v>102</v>
      </c>
      <c r="N661" s="2" t="s">
        <v>188</v>
      </c>
      <c r="O661" s="2">
        <v>2025</v>
      </c>
      <c r="P661" s="2" t="str">
        <v>September</v>
      </c>
      <c r="Q661" s="2" t="s">
        <v>47</v>
      </c>
    </row>
    <row r="662" spans="1:17" x14ac:dyDescent="0.25">
      <c r="A662" s="2" t="s">
        <v>1507</v>
      </c>
      <c r="B662" s="7">
        <v>45674</v>
      </c>
      <c r="C662" s="5" t="s">
        <v>32</v>
      </c>
      <c r="D662" s="5" t="s">
        <v>33</v>
      </c>
      <c r="E662" s="5" t="s">
        <v>179</v>
      </c>
      <c r="F662" s="2" t="s">
        <v>143</v>
      </c>
      <c r="G662" s="2">
        <v>3</v>
      </c>
      <c r="H662" s="25">
        <v>8600</v>
      </c>
      <c r="I662" s="8">
        <v>15</v>
      </c>
      <c r="J662" s="25">
        <v>21930</v>
      </c>
      <c r="K662" s="25">
        <f>G662*H662</f>
        <v>25800</v>
      </c>
      <c r="L662" s="8">
        <f>K662*I662/100</f>
        <v>3870</v>
      </c>
      <c r="M662" s="2" t="s">
        <v>102</v>
      </c>
      <c r="N662" s="2" t="s">
        <v>168</v>
      </c>
      <c r="O662" s="2">
        <v>2025</v>
      </c>
      <c r="P662" s="2" t="str">
        <v>January</v>
      </c>
      <c r="Q662" s="2" t="s">
        <v>21</v>
      </c>
    </row>
    <row r="663" spans="1:17" x14ac:dyDescent="0.25">
      <c r="A663" s="2" t="s">
        <v>1509</v>
      </c>
      <c r="B663" s="7">
        <v>45773</v>
      </c>
      <c r="C663" s="5" t="s">
        <v>76</v>
      </c>
      <c r="D663" s="5" t="s">
        <v>33</v>
      </c>
      <c r="E663" s="5" t="s">
        <v>25</v>
      </c>
      <c r="F663" s="2" t="s">
        <v>44</v>
      </c>
      <c r="G663" s="2">
        <v>4</v>
      </c>
      <c r="H663" s="25">
        <v>69770</v>
      </c>
      <c r="I663" s="8">
        <v>15</v>
      </c>
      <c r="J663" s="25">
        <v>237218</v>
      </c>
      <c r="K663" s="25">
        <f>G663*H663</f>
        <v>279080</v>
      </c>
      <c r="L663" s="8">
        <f>K663*I663/100</f>
        <v>41862</v>
      </c>
      <c r="M663" s="2" t="s">
        <v>53</v>
      </c>
      <c r="N663" s="2" t="s">
        <v>68</v>
      </c>
      <c r="O663" s="2">
        <v>2025</v>
      </c>
      <c r="P663" s="2" t="str">
        <v>April</v>
      </c>
      <c r="Q663" s="2" t="s">
        <v>47</v>
      </c>
    </row>
    <row r="664" spans="1:17" x14ac:dyDescent="0.25">
      <c r="A664" s="2" t="s">
        <v>1510</v>
      </c>
      <c r="B664" s="7">
        <v>45881</v>
      </c>
      <c r="C664" s="5" t="s">
        <v>24</v>
      </c>
      <c r="D664" s="5" t="s">
        <v>16</v>
      </c>
      <c r="E664" s="5" t="s">
        <v>179</v>
      </c>
      <c r="F664" s="2" t="s">
        <v>379</v>
      </c>
      <c r="G664" s="2">
        <v>7</v>
      </c>
      <c r="H664" s="25">
        <v>13080</v>
      </c>
      <c r="I664" s="8">
        <v>0</v>
      </c>
      <c r="J664" s="25">
        <v>91560</v>
      </c>
      <c r="K664" s="25">
        <f>G664*H664</f>
        <v>91560</v>
      </c>
      <c r="L664" s="8">
        <f>K664*I664/100</f>
        <v>0</v>
      </c>
      <c r="M664" s="2" t="s">
        <v>139</v>
      </c>
      <c r="N664" s="2" t="s">
        <v>37</v>
      </c>
      <c r="O664" s="2">
        <v>2025</v>
      </c>
      <c r="P664" s="2" t="str">
        <v>August</v>
      </c>
      <c r="Q664" s="2" t="s">
        <v>21</v>
      </c>
    </row>
    <row r="665" spans="1:17" x14ac:dyDescent="0.25">
      <c r="A665" s="2" t="s">
        <v>1512</v>
      </c>
      <c r="B665" s="7">
        <v>45776</v>
      </c>
      <c r="C665" s="5" t="s">
        <v>135</v>
      </c>
      <c r="D665" s="5" t="s">
        <v>58</v>
      </c>
      <c r="E665" s="5" t="s">
        <v>25</v>
      </c>
      <c r="F665" s="2" t="s">
        <v>26</v>
      </c>
      <c r="G665" s="2">
        <v>1</v>
      </c>
      <c r="H665" s="25">
        <v>7570</v>
      </c>
      <c r="I665" s="8">
        <v>5</v>
      </c>
      <c r="J665" s="25">
        <v>7191.5</v>
      </c>
      <c r="K665" s="25">
        <f>G665*H665</f>
        <v>7570</v>
      </c>
      <c r="L665" s="8">
        <f>K665*I665/100</f>
        <v>378.5</v>
      </c>
      <c r="M665" s="2" t="s">
        <v>102</v>
      </c>
      <c r="N665" s="2" t="s">
        <v>68</v>
      </c>
      <c r="O665" s="2">
        <v>2025</v>
      </c>
      <c r="P665" s="2" t="str">
        <v>April</v>
      </c>
      <c r="Q665" s="2" t="s">
        <v>21</v>
      </c>
    </row>
    <row r="666" spans="1:17" x14ac:dyDescent="0.25">
      <c r="A666" s="2" t="s">
        <v>1513</v>
      </c>
      <c r="B666" s="7">
        <v>45846</v>
      </c>
      <c r="C666" s="5" t="s">
        <v>32</v>
      </c>
      <c r="D666" s="5" t="s">
        <v>33</v>
      </c>
      <c r="E666" s="5" t="s">
        <v>25</v>
      </c>
      <c r="F666" s="2" t="s">
        <v>93</v>
      </c>
      <c r="G666" s="2">
        <v>9</v>
      </c>
      <c r="H666" s="25">
        <v>4580</v>
      </c>
      <c r="I666" s="8">
        <v>0</v>
      </c>
      <c r="J666" s="25">
        <v>41220</v>
      </c>
      <c r="K666" s="25">
        <f>G666*H666</f>
        <v>41220</v>
      </c>
      <c r="L666" s="8">
        <f>K666*I666/100</f>
        <v>0</v>
      </c>
      <c r="M666" s="2" t="s">
        <v>53</v>
      </c>
      <c r="N666" s="2" t="s">
        <v>406</v>
      </c>
      <c r="O666" s="2">
        <v>2025</v>
      </c>
      <c r="P666" s="2" t="str">
        <v>July</v>
      </c>
      <c r="Q666" s="2" t="s">
        <v>47</v>
      </c>
    </row>
    <row r="667" spans="1:17" x14ac:dyDescent="0.25">
      <c r="A667" s="2" t="s">
        <v>1515</v>
      </c>
      <c r="B667" s="7">
        <v>45658</v>
      </c>
      <c r="C667" s="5" t="s">
        <v>156</v>
      </c>
      <c r="D667" s="5" t="s">
        <v>51</v>
      </c>
      <c r="E667" s="5" t="s">
        <v>295</v>
      </c>
      <c r="F667" s="2" t="s">
        <v>314</v>
      </c>
      <c r="G667" s="2">
        <v>3</v>
      </c>
      <c r="H667" s="25">
        <v>12200</v>
      </c>
      <c r="I667" s="8">
        <v>10</v>
      </c>
      <c r="J667" s="25">
        <v>32940</v>
      </c>
      <c r="K667" s="25">
        <f>G667*H667</f>
        <v>36600</v>
      </c>
      <c r="L667" s="8">
        <f>K667*I667/100</f>
        <v>3660</v>
      </c>
      <c r="M667" s="2" t="s">
        <v>139</v>
      </c>
      <c r="N667" s="2" t="s">
        <v>411</v>
      </c>
      <c r="O667" s="2">
        <v>2025</v>
      </c>
      <c r="P667" s="2" t="str">
        <v>January</v>
      </c>
      <c r="Q667" s="2" t="s">
        <v>47</v>
      </c>
    </row>
    <row r="668" spans="1:17" x14ac:dyDescent="0.25">
      <c r="A668" s="2" t="s">
        <v>1517</v>
      </c>
      <c r="B668" s="7">
        <v>45946</v>
      </c>
      <c r="C668" s="5" t="s">
        <v>41</v>
      </c>
      <c r="D668" s="5" t="s">
        <v>42</v>
      </c>
      <c r="E668" s="5" t="s">
        <v>295</v>
      </c>
      <c r="F668" s="2" t="s">
        <v>132</v>
      </c>
      <c r="G668" s="2">
        <v>1</v>
      </c>
      <c r="H668" s="25">
        <v>17390</v>
      </c>
      <c r="I668" s="8">
        <v>0</v>
      </c>
      <c r="J668" s="25">
        <v>17390</v>
      </c>
      <c r="K668" s="25">
        <f>G668*H668</f>
        <v>17390</v>
      </c>
      <c r="L668" s="8">
        <f>K668*I668/100</f>
        <v>0</v>
      </c>
      <c r="M668" s="2" t="s">
        <v>94</v>
      </c>
      <c r="N668" s="2" t="s">
        <v>176</v>
      </c>
      <c r="O668" s="2">
        <v>2025</v>
      </c>
      <c r="P668" s="2" t="str">
        <v>October</v>
      </c>
      <c r="Q668" s="2" t="s">
        <v>21</v>
      </c>
    </row>
    <row r="669" spans="1:17" x14ac:dyDescent="0.25">
      <c r="A669" s="2" t="s">
        <v>1518</v>
      </c>
      <c r="B669" s="7">
        <v>45821</v>
      </c>
      <c r="C669" s="5" t="s">
        <v>41</v>
      </c>
      <c r="D669" s="5" t="s">
        <v>42</v>
      </c>
      <c r="E669" s="5" t="s">
        <v>179</v>
      </c>
      <c r="F669" s="2" t="s">
        <v>149</v>
      </c>
      <c r="G669" s="2">
        <v>8</v>
      </c>
      <c r="H669" s="25">
        <v>73760</v>
      </c>
      <c r="I669" s="8">
        <v>0</v>
      </c>
      <c r="J669" s="25">
        <v>590080</v>
      </c>
      <c r="K669" s="25">
        <f>G669*H669</f>
        <v>590080</v>
      </c>
      <c r="L669" s="8">
        <f>K669*I669/100</f>
        <v>0</v>
      </c>
      <c r="M669" s="2" t="s">
        <v>94</v>
      </c>
      <c r="N669" s="2" t="s">
        <v>73</v>
      </c>
      <c r="O669" s="2">
        <v>2025</v>
      </c>
      <c r="P669" s="2" t="str">
        <v>June</v>
      </c>
      <c r="Q669" s="2" t="s">
        <v>47</v>
      </c>
    </row>
    <row r="670" spans="1:17" x14ac:dyDescent="0.25">
      <c r="A670" s="2" t="s">
        <v>1520</v>
      </c>
      <c r="B670" s="7">
        <v>45839</v>
      </c>
      <c r="C670" s="5" t="s">
        <v>76</v>
      </c>
      <c r="D670" s="5" t="s">
        <v>33</v>
      </c>
      <c r="E670" s="5" t="s">
        <v>179</v>
      </c>
      <c r="F670" s="2" t="s">
        <v>543</v>
      </c>
      <c r="G670" s="2">
        <v>4</v>
      </c>
      <c r="H670" s="25">
        <v>12740</v>
      </c>
      <c r="I670" s="8">
        <v>0</v>
      </c>
      <c r="J670" s="25">
        <v>50960</v>
      </c>
      <c r="K670" s="25">
        <f>G670*H670</f>
        <v>50960</v>
      </c>
      <c r="L670" s="8">
        <f>K670*I670/100</f>
        <v>0</v>
      </c>
      <c r="M670" s="2" t="s">
        <v>94</v>
      </c>
      <c r="N670" s="2" t="s">
        <v>341</v>
      </c>
      <c r="O670" s="2">
        <v>2025</v>
      </c>
      <c r="P670" s="2" t="str">
        <v>July</v>
      </c>
      <c r="Q670" s="2" t="s">
        <v>21</v>
      </c>
    </row>
    <row r="671" spans="1:17" x14ac:dyDescent="0.25">
      <c r="A671" s="2" t="s">
        <v>1522</v>
      </c>
      <c r="B671" s="7">
        <v>45827</v>
      </c>
      <c r="C671" s="5" t="s">
        <v>135</v>
      </c>
      <c r="D671" s="5" t="s">
        <v>58</v>
      </c>
      <c r="E671" s="5" t="s">
        <v>179</v>
      </c>
      <c r="F671" s="2" t="s">
        <v>184</v>
      </c>
      <c r="G671" s="2">
        <v>11</v>
      </c>
      <c r="H671" s="25">
        <v>5170</v>
      </c>
      <c r="I671" s="8">
        <v>10</v>
      </c>
      <c r="J671" s="25">
        <v>51183</v>
      </c>
      <c r="K671" s="25">
        <f>G671*H671</f>
        <v>56870</v>
      </c>
      <c r="L671" s="8">
        <f>K671*I671/100</f>
        <v>5687</v>
      </c>
      <c r="M671" s="2" t="s">
        <v>139</v>
      </c>
      <c r="N671" s="2" t="s">
        <v>46</v>
      </c>
      <c r="O671" s="2">
        <v>2025</v>
      </c>
      <c r="P671" s="2" t="str">
        <v>June</v>
      </c>
      <c r="Q671" s="2" t="s">
        <v>47</v>
      </c>
    </row>
    <row r="672" spans="1:17" x14ac:dyDescent="0.25">
      <c r="A672" s="2" t="s">
        <v>1524</v>
      </c>
      <c r="B672" s="7">
        <v>45957</v>
      </c>
      <c r="C672" s="5" t="s">
        <v>32</v>
      </c>
      <c r="D672" s="5" t="s">
        <v>33</v>
      </c>
      <c r="E672" s="5" t="s">
        <v>148</v>
      </c>
      <c r="F672" s="2" t="s">
        <v>83</v>
      </c>
      <c r="G672" s="2">
        <v>12</v>
      </c>
      <c r="H672" s="25">
        <v>5690</v>
      </c>
      <c r="I672" s="8">
        <v>15</v>
      </c>
      <c r="J672" s="25">
        <v>58038</v>
      </c>
      <c r="K672" s="25">
        <f>G672*H672</f>
        <v>68280</v>
      </c>
      <c r="L672" s="8">
        <f>K672*I672/100</f>
        <v>10242</v>
      </c>
      <c r="M672" s="2" t="s">
        <v>102</v>
      </c>
      <c r="N672" s="2" t="s">
        <v>344</v>
      </c>
      <c r="O672" s="2">
        <v>2025</v>
      </c>
      <c r="P672" s="2" t="str">
        <v>October</v>
      </c>
      <c r="Q672" s="2" t="s">
        <v>21</v>
      </c>
    </row>
    <row r="673" spans="1:17" x14ac:dyDescent="0.25">
      <c r="A673" s="2" t="s">
        <v>1527</v>
      </c>
      <c r="B673" s="7">
        <v>45888</v>
      </c>
      <c r="C673" s="5" t="s">
        <v>41</v>
      </c>
      <c r="D673" s="5" t="s">
        <v>42</v>
      </c>
      <c r="E673" s="5" t="s">
        <v>295</v>
      </c>
      <c r="F673" s="2" t="s">
        <v>101</v>
      </c>
      <c r="G673" s="2">
        <v>8</v>
      </c>
      <c r="H673" s="25">
        <v>7300</v>
      </c>
      <c r="I673" s="8">
        <v>15</v>
      </c>
      <c r="J673" s="25">
        <v>49640</v>
      </c>
      <c r="K673" s="25">
        <f>G673*H673</f>
        <v>58400</v>
      </c>
      <c r="L673" s="8">
        <f>K673*I673/100</f>
        <v>8760</v>
      </c>
      <c r="M673" s="2" t="s">
        <v>139</v>
      </c>
      <c r="N673" s="2" t="s">
        <v>176</v>
      </c>
      <c r="O673" s="2">
        <v>2025</v>
      </c>
      <c r="P673" s="2" t="str">
        <v>August</v>
      </c>
      <c r="Q673" s="2" t="s">
        <v>47</v>
      </c>
    </row>
    <row r="674" spans="1:17" x14ac:dyDescent="0.25">
      <c r="A674" s="2" t="s">
        <v>1529</v>
      </c>
      <c r="B674" s="7">
        <v>45793</v>
      </c>
      <c r="C674" s="5" t="s">
        <v>76</v>
      </c>
      <c r="D674" s="5" t="s">
        <v>33</v>
      </c>
      <c r="E674" s="5" t="s">
        <v>295</v>
      </c>
      <c r="F674" s="2" t="s">
        <v>126</v>
      </c>
      <c r="G674" s="2">
        <v>7</v>
      </c>
      <c r="H674" s="25">
        <v>16840</v>
      </c>
      <c r="I674" s="8">
        <v>15</v>
      </c>
      <c r="J674" s="25">
        <v>100198</v>
      </c>
      <c r="K674" s="25">
        <f>G674*H674</f>
        <v>117880</v>
      </c>
      <c r="L674" s="8">
        <f>K674*I674/100</f>
        <v>17682</v>
      </c>
      <c r="M674" s="2" t="s">
        <v>139</v>
      </c>
      <c r="N674" s="2" t="s">
        <v>68</v>
      </c>
      <c r="O674" s="2">
        <v>2025</v>
      </c>
      <c r="P674" s="2" t="str">
        <v>May</v>
      </c>
      <c r="Q674" s="2" t="s">
        <v>21</v>
      </c>
    </row>
    <row r="675" spans="1:17" x14ac:dyDescent="0.25">
      <c r="A675" s="2" t="s">
        <v>1531</v>
      </c>
      <c r="B675" s="7">
        <v>45887</v>
      </c>
      <c r="C675" s="5" t="s">
        <v>32</v>
      </c>
      <c r="D675" s="5" t="s">
        <v>33</v>
      </c>
      <c r="E675" s="5" t="s">
        <v>295</v>
      </c>
      <c r="F675" s="2" t="s">
        <v>296</v>
      </c>
      <c r="G675" s="2">
        <v>6</v>
      </c>
      <c r="H675" s="25">
        <v>16660</v>
      </c>
      <c r="I675" s="8">
        <v>5</v>
      </c>
      <c r="J675" s="25">
        <v>94962</v>
      </c>
      <c r="K675" s="25">
        <f>G675*H675</f>
        <v>99960</v>
      </c>
      <c r="L675" s="8">
        <f>K675*I675/100</f>
        <v>4998</v>
      </c>
      <c r="M675" s="2" t="s">
        <v>94</v>
      </c>
      <c r="N675" s="2" t="s">
        <v>73</v>
      </c>
      <c r="O675" s="2">
        <v>2025</v>
      </c>
      <c r="P675" s="2" t="str">
        <v>August</v>
      </c>
      <c r="Q675" s="2" t="s">
        <v>21</v>
      </c>
    </row>
    <row r="676" spans="1:17" x14ac:dyDescent="0.25">
      <c r="A676" s="2" t="s">
        <v>1533</v>
      </c>
      <c r="B676" s="7">
        <v>45892</v>
      </c>
      <c r="C676" s="5" t="s">
        <v>76</v>
      </c>
      <c r="D676" s="5" t="s">
        <v>33</v>
      </c>
      <c r="E676" s="5" t="s">
        <v>34</v>
      </c>
      <c r="F676" s="2" t="s">
        <v>290</v>
      </c>
      <c r="G676" s="2">
        <v>7</v>
      </c>
      <c r="H676" s="25">
        <v>3170</v>
      </c>
      <c r="I676" s="8">
        <v>0</v>
      </c>
      <c r="J676" s="25">
        <v>22190</v>
      </c>
      <c r="K676" s="25">
        <f>G676*H676</f>
        <v>22190</v>
      </c>
      <c r="L676" s="8">
        <f>K676*I676/100</f>
        <v>0</v>
      </c>
      <c r="M676" s="2" t="s">
        <v>53</v>
      </c>
      <c r="N676" s="2" t="s">
        <v>188</v>
      </c>
      <c r="O676" s="2">
        <v>2025</v>
      </c>
      <c r="P676" s="2" t="str">
        <v>August</v>
      </c>
      <c r="Q676" s="2" t="s">
        <v>47</v>
      </c>
    </row>
    <row r="677" spans="1:17" x14ac:dyDescent="0.25">
      <c r="A677" s="2" t="s">
        <v>1535</v>
      </c>
      <c r="B677" s="7">
        <v>45809</v>
      </c>
      <c r="C677" s="5" t="s">
        <v>238</v>
      </c>
      <c r="D677" s="5" t="s">
        <v>51</v>
      </c>
      <c r="E677" s="5" t="s">
        <v>179</v>
      </c>
      <c r="F677" s="2" t="s">
        <v>219</v>
      </c>
      <c r="G677" s="2">
        <v>9</v>
      </c>
      <c r="H677" s="25">
        <v>3510</v>
      </c>
      <c r="I677" s="8">
        <v>0</v>
      </c>
      <c r="J677" s="25">
        <v>31590</v>
      </c>
      <c r="K677" s="25">
        <f>G677*H677</f>
        <v>31590</v>
      </c>
      <c r="L677" s="8">
        <f>K677*I677/100</f>
        <v>0</v>
      </c>
      <c r="M677" s="2" t="s">
        <v>102</v>
      </c>
      <c r="N677" s="2" t="s">
        <v>73</v>
      </c>
      <c r="O677" s="2">
        <v>2025</v>
      </c>
      <c r="P677" s="2" t="str">
        <v>June</v>
      </c>
      <c r="Q677" s="2" t="s">
        <v>47</v>
      </c>
    </row>
    <row r="678" spans="1:17" x14ac:dyDescent="0.25">
      <c r="A678" s="2" t="s">
        <v>1536</v>
      </c>
      <c r="B678" s="7">
        <v>45857</v>
      </c>
      <c r="C678" s="5" t="s">
        <v>135</v>
      </c>
      <c r="D678" s="5" t="s">
        <v>58</v>
      </c>
      <c r="E678" s="5" t="s">
        <v>179</v>
      </c>
      <c r="F678" s="2" t="s">
        <v>180</v>
      </c>
      <c r="G678" s="2">
        <v>1</v>
      </c>
      <c r="H678" s="25">
        <v>2270</v>
      </c>
      <c r="I678" s="8">
        <v>10</v>
      </c>
      <c r="J678" s="25">
        <v>2043</v>
      </c>
      <c r="K678" s="25">
        <f>G678*H678</f>
        <v>2270</v>
      </c>
      <c r="L678" s="8">
        <f>K678*I678/100</f>
        <v>227</v>
      </c>
      <c r="M678" s="2" t="s">
        <v>53</v>
      </c>
      <c r="N678" s="2" t="s">
        <v>406</v>
      </c>
      <c r="O678" s="2">
        <v>2025</v>
      </c>
      <c r="P678" s="2" t="str">
        <v>July</v>
      </c>
      <c r="Q678" s="2" t="s">
        <v>47</v>
      </c>
    </row>
    <row r="679" spans="1:17" x14ac:dyDescent="0.25">
      <c r="A679" s="2" t="s">
        <v>1538</v>
      </c>
      <c r="B679" s="7">
        <v>45908</v>
      </c>
      <c r="C679" s="5" t="s">
        <v>238</v>
      </c>
      <c r="D679" s="5" t="s">
        <v>51</v>
      </c>
      <c r="E679" s="5" t="s">
        <v>295</v>
      </c>
      <c r="F679" s="2" t="s">
        <v>319</v>
      </c>
      <c r="G679" s="2">
        <v>7</v>
      </c>
      <c r="H679" s="25">
        <v>65290</v>
      </c>
      <c r="I679" s="8">
        <v>10</v>
      </c>
      <c r="J679" s="25">
        <v>411327</v>
      </c>
      <c r="K679" s="25">
        <f>G679*H679</f>
        <v>457030</v>
      </c>
      <c r="L679" s="8">
        <f>K679*I679/100</f>
        <v>45703</v>
      </c>
      <c r="M679" s="2" t="s">
        <v>139</v>
      </c>
      <c r="N679" s="2" t="s">
        <v>73</v>
      </c>
      <c r="O679" s="2">
        <v>2025</v>
      </c>
      <c r="P679" s="2" t="str">
        <v>September</v>
      </c>
      <c r="Q679" s="2" t="s">
        <v>21</v>
      </c>
    </row>
    <row r="680" spans="1:17" x14ac:dyDescent="0.25">
      <c r="A680" s="2" t="s">
        <v>1540</v>
      </c>
      <c r="B680" s="7">
        <v>45779</v>
      </c>
      <c r="C680" s="5" t="s">
        <v>238</v>
      </c>
      <c r="D680" s="5" t="s">
        <v>51</v>
      </c>
      <c r="E680" s="5" t="s">
        <v>295</v>
      </c>
      <c r="F680" s="2" t="s">
        <v>132</v>
      </c>
      <c r="G680" s="2">
        <v>4</v>
      </c>
      <c r="H680" s="25">
        <v>16850</v>
      </c>
      <c r="I680" s="8">
        <v>0</v>
      </c>
      <c r="J680" s="25">
        <v>67400</v>
      </c>
      <c r="K680" s="25">
        <f>G680*H680</f>
        <v>67400</v>
      </c>
      <c r="L680" s="8">
        <f>K680*I680/100</f>
        <v>0</v>
      </c>
      <c r="M680" s="2" t="s">
        <v>102</v>
      </c>
      <c r="N680" s="2" t="s">
        <v>46</v>
      </c>
      <c r="O680" s="2">
        <v>2025</v>
      </c>
      <c r="P680" s="2" t="str">
        <v>May</v>
      </c>
      <c r="Q680" s="2" t="s">
        <v>47</v>
      </c>
    </row>
    <row r="681" spans="1:17" x14ac:dyDescent="0.25">
      <c r="A681" s="2" t="s">
        <v>1541</v>
      </c>
      <c r="B681" s="7">
        <v>45932</v>
      </c>
      <c r="C681" s="5" t="s">
        <v>24</v>
      </c>
      <c r="D681" s="5" t="s">
        <v>33</v>
      </c>
      <c r="E681" s="5" t="s">
        <v>179</v>
      </c>
      <c r="F681" s="2" t="s">
        <v>543</v>
      </c>
      <c r="G681" s="2">
        <v>6</v>
      </c>
      <c r="H681" s="25">
        <v>27870</v>
      </c>
      <c r="I681" s="8">
        <v>5</v>
      </c>
      <c r="J681" s="25">
        <v>158859</v>
      </c>
      <c r="K681" s="25">
        <f>G681*H681</f>
        <v>167220</v>
      </c>
      <c r="L681" s="8">
        <f>K681*I681/100</f>
        <v>8361</v>
      </c>
      <c r="M681" s="2" t="s">
        <v>139</v>
      </c>
      <c r="N681" s="2" t="s">
        <v>176</v>
      </c>
      <c r="O681" s="2">
        <v>2025</v>
      </c>
      <c r="P681" s="2" t="str">
        <v>October</v>
      </c>
      <c r="Q681" s="2" t="s">
        <v>47</v>
      </c>
    </row>
    <row r="682" spans="1:17" x14ac:dyDescent="0.25">
      <c r="A682" s="2" t="s">
        <v>1543</v>
      </c>
      <c r="B682" s="7">
        <v>45944</v>
      </c>
      <c r="C682" s="5" t="s">
        <v>24</v>
      </c>
      <c r="D682" s="5" t="s">
        <v>16</v>
      </c>
      <c r="E682" s="5" t="s">
        <v>25</v>
      </c>
      <c r="F682" s="2" t="s">
        <v>93</v>
      </c>
      <c r="G682" s="2">
        <v>9</v>
      </c>
      <c r="H682" s="25">
        <v>19350</v>
      </c>
      <c r="I682" s="8">
        <v>10</v>
      </c>
      <c r="J682" s="25">
        <v>156735</v>
      </c>
      <c r="K682" s="25">
        <f>G682*H682</f>
        <v>174150</v>
      </c>
      <c r="L682" s="8">
        <f>K682*I682/100</f>
        <v>17415</v>
      </c>
      <c r="M682" s="2" t="s">
        <v>139</v>
      </c>
      <c r="N682" s="2" t="s">
        <v>46</v>
      </c>
      <c r="O682" s="2">
        <v>2025</v>
      </c>
      <c r="P682" s="2" t="str">
        <v>October</v>
      </c>
      <c r="Q682" s="2" t="s">
        <v>47</v>
      </c>
    </row>
    <row r="683" spans="1:17" x14ac:dyDescent="0.25">
      <c r="A683" s="2" t="s">
        <v>1545</v>
      </c>
      <c r="B683" s="7">
        <v>45948</v>
      </c>
      <c r="C683" s="5" t="s">
        <v>41</v>
      </c>
      <c r="D683" s="5" t="s">
        <v>42</v>
      </c>
      <c r="E683" s="5" t="s">
        <v>25</v>
      </c>
      <c r="F683" s="2" t="s">
        <v>248</v>
      </c>
      <c r="G683" s="2">
        <v>8</v>
      </c>
      <c r="H683" s="25">
        <v>71790</v>
      </c>
      <c r="I683" s="8">
        <v>0</v>
      </c>
      <c r="J683" s="25">
        <v>574320</v>
      </c>
      <c r="K683" s="25">
        <f>G683*H683</f>
        <v>574320</v>
      </c>
      <c r="L683" s="8">
        <f>K683*I683/100</f>
        <v>0</v>
      </c>
      <c r="M683" s="2" t="s">
        <v>53</v>
      </c>
      <c r="N683" s="2" t="s">
        <v>37</v>
      </c>
      <c r="O683" s="2">
        <v>2025</v>
      </c>
      <c r="P683" s="2" t="str">
        <v>October</v>
      </c>
      <c r="Q683" s="2" t="s">
        <v>47</v>
      </c>
    </row>
    <row r="684" spans="1:17" x14ac:dyDescent="0.25">
      <c r="A684" s="2" t="s">
        <v>1546</v>
      </c>
      <c r="B684" s="7">
        <v>45999</v>
      </c>
      <c r="C684" s="5" t="s">
        <v>135</v>
      </c>
      <c r="D684" s="5" t="s">
        <v>58</v>
      </c>
      <c r="E684" s="5" t="s">
        <v>34</v>
      </c>
      <c r="F684" s="2" t="s">
        <v>374</v>
      </c>
      <c r="G684" s="2">
        <v>4</v>
      </c>
      <c r="H684" s="25">
        <v>1290</v>
      </c>
      <c r="I684" s="8">
        <v>15</v>
      </c>
      <c r="J684" s="25">
        <v>4386</v>
      </c>
      <c r="K684" s="25">
        <f>G684*H684</f>
        <v>5160</v>
      </c>
      <c r="L684" s="8">
        <f>K684*I684/100</f>
        <v>774</v>
      </c>
      <c r="M684" s="2" t="s">
        <v>139</v>
      </c>
      <c r="N684" s="2" t="s">
        <v>46</v>
      </c>
      <c r="O684" s="2">
        <v>2025</v>
      </c>
      <c r="P684" s="2" t="str">
        <v>December</v>
      </c>
      <c r="Q684" s="2" t="s">
        <v>47</v>
      </c>
    </row>
    <row r="685" spans="1:17" x14ac:dyDescent="0.25">
      <c r="A685" s="2" t="s">
        <v>1548</v>
      </c>
      <c r="B685" s="7">
        <v>45855</v>
      </c>
      <c r="C685" s="5" t="s">
        <v>135</v>
      </c>
      <c r="D685" s="5" t="s">
        <v>58</v>
      </c>
      <c r="E685" s="5" t="s">
        <v>25</v>
      </c>
      <c r="F685" s="2" t="s">
        <v>248</v>
      </c>
      <c r="G685" s="2">
        <v>6</v>
      </c>
      <c r="H685" s="25">
        <v>4970</v>
      </c>
      <c r="I685" s="8">
        <v>0</v>
      </c>
      <c r="J685" s="25">
        <v>29820</v>
      </c>
      <c r="K685" s="25">
        <f>G685*H685</f>
        <v>29820</v>
      </c>
      <c r="L685" s="8">
        <f>K685*I685/100</f>
        <v>0</v>
      </c>
      <c r="M685" s="2" t="s">
        <v>53</v>
      </c>
      <c r="N685" s="2" t="s">
        <v>266</v>
      </c>
      <c r="O685" s="2">
        <v>2025</v>
      </c>
      <c r="P685" s="2" t="str">
        <v>July</v>
      </c>
      <c r="Q685" s="2" t="s">
        <v>21</v>
      </c>
    </row>
    <row r="686" spans="1:17" x14ac:dyDescent="0.25">
      <c r="A686" s="2" t="s">
        <v>1550</v>
      </c>
      <c r="B686" s="7">
        <v>45661</v>
      </c>
      <c r="C686" s="5" t="s">
        <v>156</v>
      </c>
      <c r="D686" s="5" t="s">
        <v>51</v>
      </c>
      <c r="E686" s="5" t="s">
        <v>34</v>
      </c>
      <c r="F686" s="2" t="s">
        <v>164</v>
      </c>
      <c r="G686" s="2">
        <v>7</v>
      </c>
      <c r="H686" s="25">
        <v>8290</v>
      </c>
      <c r="I686" s="8">
        <v>0</v>
      </c>
      <c r="J686" s="25">
        <v>58030</v>
      </c>
      <c r="K686" s="25">
        <f>G686*H686</f>
        <v>58030</v>
      </c>
      <c r="L686" s="8">
        <f>K686*I686/100</f>
        <v>0</v>
      </c>
      <c r="M686" s="2" t="s">
        <v>94</v>
      </c>
      <c r="N686" s="2" t="s">
        <v>406</v>
      </c>
      <c r="O686" s="2">
        <v>2025</v>
      </c>
      <c r="P686" s="2" t="str">
        <v>January</v>
      </c>
      <c r="Q686" s="2" t="s">
        <v>21</v>
      </c>
    </row>
    <row r="687" spans="1:17" x14ac:dyDescent="0.25">
      <c r="A687" s="2" t="s">
        <v>1551</v>
      </c>
      <c r="B687" s="7">
        <v>45762</v>
      </c>
      <c r="C687" s="5" t="s">
        <v>238</v>
      </c>
      <c r="D687" s="5" t="s">
        <v>51</v>
      </c>
      <c r="E687" s="5" t="s">
        <v>179</v>
      </c>
      <c r="F687" s="2" t="s">
        <v>180</v>
      </c>
      <c r="G687" s="2">
        <v>9</v>
      </c>
      <c r="H687" s="25">
        <v>470</v>
      </c>
      <c r="I687" s="8">
        <v>15</v>
      </c>
      <c r="J687" s="25">
        <v>3595.5</v>
      </c>
      <c r="K687" s="25">
        <f>G687*H687</f>
        <v>4230</v>
      </c>
      <c r="L687" s="8">
        <f>K687*I687/100</f>
        <v>634.5</v>
      </c>
      <c r="M687" s="2" t="s">
        <v>94</v>
      </c>
      <c r="N687" s="2" t="s">
        <v>168</v>
      </c>
      <c r="O687" s="2">
        <v>2025</v>
      </c>
      <c r="P687" s="2" t="str">
        <v>April</v>
      </c>
      <c r="Q687" s="2" t="s">
        <v>21</v>
      </c>
    </row>
    <row r="688" spans="1:17" x14ac:dyDescent="0.25">
      <c r="A688" s="2" t="s">
        <v>1553</v>
      </c>
      <c r="B688" s="7">
        <v>45730</v>
      </c>
      <c r="C688" s="5" t="s">
        <v>238</v>
      </c>
      <c r="D688" s="5" t="s">
        <v>51</v>
      </c>
      <c r="E688" s="5" t="s">
        <v>34</v>
      </c>
      <c r="F688" s="2" t="s">
        <v>171</v>
      </c>
      <c r="G688" s="2">
        <v>2</v>
      </c>
      <c r="H688" s="25">
        <v>67910</v>
      </c>
      <c r="I688" s="8">
        <v>0</v>
      </c>
      <c r="J688" s="25">
        <v>135820</v>
      </c>
      <c r="K688" s="25">
        <f>G688*H688</f>
        <v>135820</v>
      </c>
      <c r="L688" s="8">
        <f>K688*I688/100</f>
        <v>0</v>
      </c>
      <c r="M688" s="2" t="s">
        <v>102</v>
      </c>
      <c r="N688" s="2" t="s">
        <v>344</v>
      </c>
      <c r="O688" s="2">
        <v>2025</v>
      </c>
      <c r="P688" s="2" t="str">
        <v>March</v>
      </c>
      <c r="Q688" s="2" t="s">
        <v>21</v>
      </c>
    </row>
    <row r="689" spans="1:17" x14ac:dyDescent="0.25">
      <c r="A689" s="2" t="s">
        <v>1555</v>
      </c>
      <c r="B689" s="7">
        <v>45878</v>
      </c>
      <c r="C689" s="5" t="s">
        <v>41</v>
      </c>
      <c r="D689" s="5" t="s">
        <v>42</v>
      </c>
      <c r="E689" s="5" t="s">
        <v>34</v>
      </c>
      <c r="F689" s="2" t="s">
        <v>71</v>
      </c>
      <c r="G689" s="2">
        <v>11</v>
      </c>
      <c r="H689" s="25">
        <v>8750</v>
      </c>
      <c r="I689" s="8">
        <v>15</v>
      </c>
      <c r="J689" s="25">
        <v>81812.5</v>
      </c>
      <c r="K689" s="25">
        <f>G689*H689</f>
        <v>96250</v>
      </c>
      <c r="L689" s="8">
        <f>K689*I689/100</f>
        <v>14437.5</v>
      </c>
      <c r="M689" s="2" t="s">
        <v>139</v>
      </c>
      <c r="N689" s="2" t="s">
        <v>341</v>
      </c>
      <c r="O689" s="2">
        <v>2025</v>
      </c>
      <c r="P689" s="2" t="str">
        <v>August</v>
      </c>
      <c r="Q689" s="2" t="s">
        <v>21</v>
      </c>
    </row>
    <row r="690" spans="1:17" x14ac:dyDescent="0.25">
      <c r="A690" s="2" t="s">
        <v>1557</v>
      </c>
      <c r="B690" s="7">
        <v>45727</v>
      </c>
      <c r="C690" s="5" t="s">
        <v>76</v>
      </c>
      <c r="D690" s="5" t="s">
        <v>33</v>
      </c>
      <c r="E690" s="5" t="s">
        <v>25</v>
      </c>
      <c r="F690" s="2" t="s">
        <v>93</v>
      </c>
      <c r="G690" s="2">
        <v>8</v>
      </c>
      <c r="H690" s="25">
        <v>2700</v>
      </c>
      <c r="I690" s="8">
        <v>0</v>
      </c>
      <c r="J690" s="25">
        <v>21600</v>
      </c>
      <c r="K690" s="25">
        <f>G690*H690</f>
        <v>21600</v>
      </c>
      <c r="L690" s="8">
        <f>K690*I690/100</f>
        <v>0</v>
      </c>
      <c r="M690" s="2" t="s">
        <v>94</v>
      </c>
      <c r="N690" s="2" t="s">
        <v>176</v>
      </c>
      <c r="O690" s="2">
        <v>2025</v>
      </c>
      <c r="P690" s="2" t="str">
        <v>March</v>
      </c>
      <c r="Q690" s="2" t="s">
        <v>21</v>
      </c>
    </row>
    <row r="691" spans="1:17" x14ac:dyDescent="0.25">
      <c r="A691" s="2" t="s">
        <v>1559</v>
      </c>
      <c r="B691" s="7">
        <v>46006</v>
      </c>
      <c r="C691" s="5" t="s">
        <v>32</v>
      </c>
      <c r="D691" s="5" t="s">
        <v>33</v>
      </c>
      <c r="E691" s="5" t="s">
        <v>179</v>
      </c>
      <c r="F691" s="2" t="s">
        <v>543</v>
      </c>
      <c r="G691" s="2">
        <v>7</v>
      </c>
      <c r="H691" s="25">
        <v>11010</v>
      </c>
      <c r="I691" s="8">
        <v>15</v>
      </c>
      <c r="J691" s="25">
        <v>65509.5</v>
      </c>
      <c r="K691" s="25">
        <f>G691*H691</f>
        <v>77070</v>
      </c>
      <c r="L691" s="8">
        <f>K691*I691/100</f>
        <v>11560.5</v>
      </c>
      <c r="M691" s="2" t="s">
        <v>102</v>
      </c>
      <c r="N691" s="2" t="s">
        <v>37</v>
      </c>
      <c r="O691" s="2">
        <v>2025</v>
      </c>
      <c r="P691" s="2" t="str">
        <v>December</v>
      </c>
      <c r="Q691" s="2" t="s">
        <v>21</v>
      </c>
    </row>
    <row r="692" spans="1:17" x14ac:dyDescent="0.25">
      <c r="A692" s="2" t="s">
        <v>1561</v>
      </c>
      <c r="B692" s="7">
        <v>45718</v>
      </c>
      <c r="C692" s="5" t="s">
        <v>32</v>
      </c>
      <c r="D692" s="5" t="s">
        <v>33</v>
      </c>
      <c r="E692" s="5" t="s">
        <v>148</v>
      </c>
      <c r="F692" s="2" t="s">
        <v>83</v>
      </c>
      <c r="G692" s="2">
        <v>11</v>
      </c>
      <c r="H692" s="25">
        <v>9980</v>
      </c>
      <c r="I692" s="8">
        <v>0</v>
      </c>
      <c r="J692" s="25">
        <v>109780</v>
      </c>
      <c r="K692" s="25">
        <f>G692*H692</f>
        <v>109780</v>
      </c>
      <c r="L692" s="8">
        <f>K692*I692/100</f>
        <v>0</v>
      </c>
      <c r="M692" s="2" t="s">
        <v>102</v>
      </c>
      <c r="N692" s="2" t="s">
        <v>176</v>
      </c>
      <c r="O692" s="2">
        <v>2025</v>
      </c>
      <c r="P692" s="2" t="str">
        <v>March</v>
      </c>
      <c r="Q692" s="2" t="s">
        <v>47</v>
      </c>
    </row>
    <row r="693" spans="1:17" x14ac:dyDescent="0.25">
      <c r="A693" s="2" t="s">
        <v>1563</v>
      </c>
      <c r="B693" s="7">
        <v>45971</v>
      </c>
      <c r="C693" s="5" t="s">
        <v>238</v>
      </c>
      <c r="D693" s="5" t="s">
        <v>51</v>
      </c>
      <c r="E693" s="5" t="s">
        <v>179</v>
      </c>
      <c r="F693" s="2" t="s">
        <v>232</v>
      </c>
      <c r="G693" s="2">
        <v>7</v>
      </c>
      <c r="H693" s="25">
        <v>470</v>
      </c>
      <c r="I693" s="8">
        <v>10</v>
      </c>
      <c r="J693" s="25">
        <v>2961</v>
      </c>
      <c r="K693" s="25">
        <f>G693*H693</f>
        <v>3290</v>
      </c>
      <c r="L693" s="8">
        <f>K693*I693/100</f>
        <v>329</v>
      </c>
      <c r="M693" s="2" t="s">
        <v>102</v>
      </c>
      <c r="N693" s="2" t="s">
        <v>341</v>
      </c>
      <c r="O693" s="2">
        <v>2025</v>
      </c>
      <c r="P693" s="2" t="str">
        <v>November</v>
      </c>
      <c r="Q693" s="2" t="s">
        <v>47</v>
      </c>
    </row>
    <row r="694" spans="1:17" x14ac:dyDescent="0.25">
      <c r="A694" s="2" t="s">
        <v>1565</v>
      </c>
      <c r="B694" s="7">
        <v>45811</v>
      </c>
      <c r="C694" s="5" t="s">
        <v>24</v>
      </c>
      <c r="D694" s="5" t="s">
        <v>33</v>
      </c>
      <c r="E694" s="5" t="s">
        <v>295</v>
      </c>
      <c r="F694" s="2" t="s">
        <v>319</v>
      </c>
      <c r="G694" s="2">
        <v>10</v>
      </c>
      <c r="H694" s="25">
        <v>16770</v>
      </c>
      <c r="I694" s="8">
        <v>0</v>
      </c>
      <c r="J694" s="25">
        <v>167700</v>
      </c>
      <c r="K694" s="25">
        <f>G694*H694</f>
        <v>167700</v>
      </c>
      <c r="L694" s="8">
        <f>K694*I694/100</f>
        <v>0</v>
      </c>
      <c r="M694" s="2" t="s">
        <v>102</v>
      </c>
      <c r="N694" s="2" t="s">
        <v>68</v>
      </c>
      <c r="O694" s="2">
        <v>2025</v>
      </c>
      <c r="P694" s="2" t="str">
        <v>June</v>
      </c>
      <c r="Q694" s="2" t="s">
        <v>47</v>
      </c>
    </row>
    <row r="695" spans="1:17" x14ac:dyDescent="0.25">
      <c r="A695" s="2" t="s">
        <v>1567</v>
      </c>
      <c r="B695" s="7">
        <v>45904</v>
      </c>
      <c r="C695" s="5" t="s">
        <v>135</v>
      </c>
      <c r="D695" s="5" t="s">
        <v>58</v>
      </c>
      <c r="E695" s="5" t="s">
        <v>179</v>
      </c>
      <c r="F695" s="2" t="s">
        <v>184</v>
      </c>
      <c r="G695" s="2">
        <v>10</v>
      </c>
      <c r="H695" s="25">
        <v>49620</v>
      </c>
      <c r="I695" s="8">
        <v>0</v>
      </c>
      <c r="J695" s="25">
        <v>496200</v>
      </c>
      <c r="K695" s="25">
        <f>G695*H695</f>
        <v>496200</v>
      </c>
      <c r="L695" s="8">
        <f>K695*I695/100</f>
        <v>0</v>
      </c>
      <c r="M695" s="2" t="s">
        <v>139</v>
      </c>
      <c r="N695" s="2" t="s">
        <v>344</v>
      </c>
      <c r="O695" s="2">
        <v>2025</v>
      </c>
      <c r="P695" s="2" t="str">
        <v>September</v>
      </c>
      <c r="Q695" s="2" t="s">
        <v>47</v>
      </c>
    </row>
    <row r="696" spans="1:17" x14ac:dyDescent="0.25">
      <c r="A696" s="2" t="s">
        <v>1569</v>
      </c>
      <c r="B696" s="7">
        <v>45911</v>
      </c>
      <c r="C696" s="5" t="s">
        <v>41</v>
      </c>
      <c r="D696" s="5" t="s">
        <v>42</v>
      </c>
      <c r="E696" s="5" t="s">
        <v>34</v>
      </c>
      <c r="F696" s="2" t="s">
        <v>290</v>
      </c>
      <c r="G696" s="2">
        <v>10</v>
      </c>
      <c r="H696" s="25">
        <v>41960</v>
      </c>
      <c r="I696" s="8">
        <v>15</v>
      </c>
      <c r="J696" s="25">
        <v>356660</v>
      </c>
      <c r="K696" s="25">
        <f>G696*H696</f>
        <v>419600</v>
      </c>
      <c r="L696" s="8">
        <f>K696*I696/100</f>
        <v>62940</v>
      </c>
      <c r="M696" s="2" t="s">
        <v>53</v>
      </c>
      <c r="N696" s="2" t="s">
        <v>54</v>
      </c>
      <c r="O696" s="2">
        <v>2025</v>
      </c>
      <c r="P696" s="2" t="str">
        <v>September</v>
      </c>
      <c r="Q696" s="2" t="s">
        <v>47</v>
      </c>
    </row>
    <row r="697" spans="1:17" x14ac:dyDescent="0.25">
      <c r="A697" s="2" t="s">
        <v>1570</v>
      </c>
      <c r="B697" s="7">
        <v>45757</v>
      </c>
      <c r="C697" s="5" t="s">
        <v>135</v>
      </c>
      <c r="D697" s="5" t="s">
        <v>58</v>
      </c>
      <c r="E697" s="5" t="s">
        <v>25</v>
      </c>
      <c r="F697" s="2" t="s">
        <v>332</v>
      </c>
      <c r="G697" s="2">
        <v>4</v>
      </c>
      <c r="H697" s="25">
        <v>450</v>
      </c>
      <c r="I697" s="8">
        <v>0</v>
      </c>
      <c r="J697" s="25">
        <v>1800</v>
      </c>
      <c r="K697" s="25">
        <f>G697*H697</f>
        <v>1800</v>
      </c>
      <c r="L697" s="8">
        <f>K697*I697/100</f>
        <v>0</v>
      </c>
      <c r="M697" s="2" t="s">
        <v>102</v>
      </c>
      <c r="N697" s="2" t="s">
        <v>883</v>
      </c>
      <c r="O697" s="2">
        <v>2025</v>
      </c>
      <c r="P697" s="2" t="str">
        <v>April</v>
      </c>
      <c r="Q697" s="2" t="s">
        <v>21</v>
      </c>
    </row>
    <row r="698" spans="1:17" x14ac:dyDescent="0.25">
      <c r="A698" s="2" t="s">
        <v>1572</v>
      </c>
      <c r="B698" s="7">
        <v>46020</v>
      </c>
      <c r="C698" s="5" t="s">
        <v>32</v>
      </c>
      <c r="D698" s="5" t="s">
        <v>33</v>
      </c>
      <c r="E698" s="5" t="s">
        <v>179</v>
      </c>
      <c r="F698" s="2" t="s">
        <v>180</v>
      </c>
      <c r="G698" s="2">
        <v>6</v>
      </c>
      <c r="H698" s="25">
        <v>50860</v>
      </c>
      <c r="I698" s="8">
        <v>0</v>
      </c>
      <c r="J698" s="25">
        <v>305160</v>
      </c>
      <c r="K698" s="25">
        <f>G698*H698</f>
        <v>305160</v>
      </c>
      <c r="L698" s="8">
        <f>K698*I698/100</f>
        <v>0</v>
      </c>
      <c r="M698" s="2" t="s">
        <v>102</v>
      </c>
      <c r="N698" s="2" t="s">
        <v>176</v>
      </c>
      <c r="O698" s="2">
        <v>2025</v>
      </c>
      <c r="P698" s="2" t="str">
        <v>December</v>
      </c>
      <c r="Q698" s="2" t="s">
        <v>47</v>
      </c>
    </row>
    <row r="699" spans="1:17" x14ac:dyDescent="0.25">
      <c r="A699" s="2" t="s">
        <v>1574</v>
      </c>
      <c r="B699" s="7">
        <v>45960</v>
      </c>
      <c r="C699" s="5" t="s">
        <v>76</v>
      </c>
      <c r="D699" s="5" t="s">
        <v>33</v>
      </c>
      <c r="E699" s="5" t="s">
        <v>25</v>
      </c>
      <c r="F699" s="2" t="s">
        <v>248</v>
      </c>
      <c r="G699" s="2">
        <v>10</v>
      </c>
      <c r="H699" s="25">
        <v>3990</v>
      </c>
      <c r="I699" s="8">
        <v>5</v>
      </c>
      <c r="J699" s="25">
        <v>37905</v>
      </c>
      <c r="K699" s="25">
        <f>G699*H699</f>
        <v>39900</v>
      </c>
      <c r="L699" s="8">
        <f>K699*I699/100</f>
        <v>1995</v>
      </c>
      <c r="M699" s="2" t="s">
        <v>102</v>
      </c>
      <c r="N699" s="2" t="s">
        <v>266</v>
      </c>
      <c r="O699" s="2">
        <v>2025</v>
      </c>
      <c r="P699" s="2" t="str">
        <v>October</v>
      </c>
      <c r="Q699" s="2" t="s">
        <v>47</v>
      </c>
    </row>
    <row r="700" spans="1:17" x14ac:dyDescent="0.25">
      <c r="A700" s="2" t="s">
        <v>1576</v>
      </c>
      <c r="B700" s="7">
        <v>45757</v>
      </c>
      <c r="C700" s="5" t="s">
        <v>135</v>
      </c>
      <c r="D700" s="5" t="s">
        <v>58</v>
      </c>
      <c r="E700" s="5" t="s">
        <v>295</v>
      </c>
      <c r="F700" s="2" t="s">
        <v>132</v>
      </c>
      <c r="G700" s="2">
        <v>7</v>
      </c>
      <c r="H700" s="25">
        <v>9630</v>
      </c>
      <c r="I700" s="8">
        <v>5</v>
      </c>
      <c r="J700" s="25">
        <v>64039.5</v>
      </c>
      <c r="K700" s="25">
        <f>G700*H700</f>
        <v>67410</v>
      </c>
      <c r="L700" s="8">
        <f>K700*I700/100</f>
        <v>3370.5</v>
      </c>
      <c r="M700" s="2" t="s">
        <v>102</v>
      </c>
      <c r="N700" s="2" t="s">
        <v>266</v>
      </c>
      <c r="O700" s="2">
        <v>2025</v>
      </c>
      <c r="P700" s="2" t="str">
        <v>April</v>
      </c>
      <c r="Q700" s="2" t="s">
        <v>47</v>
      </c>
    </row>
    <row r="701" spans="1:17" x14ac:dyDescent="0.25">
      <c r="A701" s="2" t="s">
        <v>1578</v>
      </c>
      <c r="B701" s="7">
        <v>45940</v>
      </c>
      <c r="C701" s="5" t="s">
        <v>76</v>
      </c>
      <c r="D701" s="5" t="s">
        <v>33</v>
      </c>
      <c r="E701" s="5" t="s">
        <v>179</v>
      </c>
      <c r="F701" s="2" t="s">
        <v>543</v>
      </c>
      <c r="G701" s="2">
        <v>10</v>
      </c>
      <c r="H701" s="25">
        <v>2280</v>
      </c>
      <c r="I701" s="8">
        <v>10</v>
      </c>
      <c r="J701" s="25">
        <v>20520</v>
      </c>
      <c r="K701" s="25">
        <f>G701*H701</f>
        <v>22800</v>
      </c>
      <c r="L701" s="8">
        <f>K701*I701/100</f>
        <v>2280</v>
      </c>
      <c r="M701" s="2" t="s">
        <v>139</v>
      </c>
      <c r="N701" s="2" t="s">
        <v>883</v>
      </c>
      <c r="O701" s="2">
        <v>2025</v>
      </c>
      <c r="P701" s="2" t="str">
        <v>October</v>
      </c>
      <c r="Q701" s="2" t="s">
        <v>47</v>
      </c>
    </row>
    <row r="702" spans="1:17" x14ac:dyDescent="0.25">
      <c r="A702" s="2" t="s">
        <v>1580</v>
      </c>
      <c r="B702" s="7">
        <v>45810</v>
      </c>
      <c r="C702" s="5" t="s">
        <v>135</v>
      </c>
      <c r="D702" s="5" t="s">
        <v>33</v>
      </c>
      <c r="E702" s="5" t="s">
        <v>179</v>
      </c>
      <c r="F702" s="2" t="s">
        <v>180</v>
      </c>
      <c r="G702" s="2">
        <v>1</v>
      </c>
      <c r="H702" s="25">
        <v>3210</v>
      </c>
      <c r="I702" s="8">
        <v>15</v>
      </c>
      <c r="J702" s="25">
        <v>2728.5</v>
      </c>
      <c r="K702" s="25">
        <f>G702*H702</f>
        <v>3210</v>
      </c>
      <c r="L702" s="8">
        <f>K702*I702/100</f>
        <v>481.5</v>
      </c>
      <c r="M702" s="2" t="s">
        <v>139</v>
      </c>
      <c r="N702" s="2" t="s">
        <v>73</v>
      </c>
      <c r="O702" s="2">
        <v>2025</v>
      </c>
      <c r="P702" s="2" t="str">
        <v>June</v>
      </c>
      <c r="Q702" s="2" t="s">
        <v>21</v>
      </c>
    </row>
    <row r="703" spans="1:17" x14ac:dyDescent="0.25">
      <c r="A703" s="2" t="s">
        <v>1581</v>
      </c>
      <c r="B703" s="7">
        <v>45872</v>
      </c>
      <c r="C703" s="5" t="s">
        <v>135</v>
      </c>
      <c r="D703" s="5" t="s">
        <v>58</v>
      </c>
      <c r="E703" s="5" t="s">
        <v>179</v>
      </c>
      <c r="F703" s="2" t="s">
        <v>239</v>
      </c>
      <c r="G703" s="2">
        <v>4</v>
      </c>
      <c r="H703" s="25">
        <v>7880</v>
      </c>
      <c r="I703" s="8">
        <v>10</v>
      </c>
      <c r="J703" s="25">
        <v>28368</v>
      </c>
      <c r="K703" s="25">
        <f>G703*H703</f>
        <v>31520</v>
      </c>
      <c r="L703" s="8">
        <f>K703*I703/100</f>
        <v>3152</v>
      </c>
      <c r="M703" s="2" t="s">
        <v>102</v>
      </c>
      <c r="N703" s="2" t="s">
        <v>176</v>
      </c>
      <c r="O703" s="2">
        <v>2025</v>
      </c>
      <c r="P703" s="2" t="str">
        <v>August</v>
      </c>
      <c r="Q703" s="2" t="s">
        <v>47</v>
      </c>
    </row>
    <row r="704" spans="1:17" x14ac:dyDescent="0.25">
      <c r="A704" s="2" t="s">
        <v>1582</v>
      </c>
      <c r="B704" s="7">
        <v>45903</v>
      </c>
      <c r="C704" s="5" t="s">
        <v>32</v>
      </c>
      <c r="D704" s="5" t="s">
        <v>33</v>
      </c>
      <c r="E704" s="5" t="s">
        <v>148</v>
      </c>
      <c r="F704" s="2" t="s">
        <v>252</v>
      </c>
      <c r="G704" s="2">
        <v>3</v>
      </c>
      <c r="H704" s="25">
        <v>8150</v>
      </c>
      <c r="I704" s="8">
        <v>5</v>
      </c>
      <c r="J704" s="25">
        <v>23227.5</v>
      </c>
      <c r="K704" s="25">
        <f>G704*H704</f>
        <v>24450</v>
      </c>
      <c r="L704" s="8">
        <f>K704*I704/100</f>
        <v>1222.5</v>
      </c>
      <c r="M704" s="2" t="s">
        <v>53</v>
      </c>
      <c r="N704" s="2" t="s">
        <v>73</v>
      </c>
      <c r="O704" s="2">
        <v>2025</v>
      </c>
      <c r="P704" s="2" t="str">
        <v>September</v>
      </c>
      <c r="Q704" s="2" t="s">
        <v>47</v>
      </c>
    </row>
    <row r="705" spans="1:17" x14ac:dyDescent="0.25">
      <c r="A705" s="2" t="s">
        <v>1583</v>
      </c>
      <c r="B705" s="7">
        <v>45931</v>
      </c>
      <c r="C705" s="5" t="s">
        <v>24</v>
      </c>
      <c r="D705" s="5" t="s">
        <v>16</v>
      </c>
      <c r="E705" s="5" t="s">
        <v>179</v>
      </c>
      <c r="F705" s="2" t="s">
        <v>143</v>
      </c>
      <c r="G705" s="2">
        <v>4</v>
      </c>
      <c r="H705" s="25">
        <v>12770</v>
      </c>
      <c r="I705" s="8">
        <v>10</v>
      </c>
      <c r="J705" s="25">
        <v>45972</v>
      </c>
      <c r="K705" s="25">
        <f>G705*H705</f>
        <v>51080</v>
      </c>
      <c r="L705" s="8">
        <f>K705*I705/100</f>
        <v>5108</v>
      </c>
      <c r="M705" s="2" t="s">
        <v>53</v>
      </c>
      <c r="N705" s="2" t="s">
        <v>341</v>
      </c>
      <c r="O705" s="2">
        <v>2025</v>
      </c>
      <c r="P705" s="2" t="str">
        <v>October</v>
      </c>
      <c r="Q705" s="2" t="s">
        <v>47</v>
      </c>
    </row>
    <row r="706" spans="1:17" x14ac:dyDescent="0.25">
      <c r="A706" s="2" t="s">
        <v>1584</v>
      </c>
      <c r="B706" s="7">
        <v>45876</v>
      </c>
      <c r="C706" s="5" t="s">
        <v>24</v>
      </c>
      <c r="D706" s="5" t="s">
        <v>16</v>
      </c>
      <c r="E706" s="5" t="s">
        <v>34</v>
      </c>
      <c r="F706" s="2" t="s">
        <v>18</v>
      </c>
      <c r="G706" s="2">
        <v>11</v>
      </c>
      <c r="H706" s="25">
        <v>12460</v>
      </c>
      <c r="I706" s="8">
        <v>0</v>
      </c>
      <c r="J706" s="25">
        <v>137060</v>
      </c>
      <c r="K706" s="25">
        <f>G706*H706</f>
        <v>137060</v>
      </c>
      <c r="L706" s="8">
        <f>K706*I706/100</f>
        <v>0</v>
      </c>
      <c r="M706" s="2" t="s">
        <v>102</v>
      </c>
      <c r="N706" s="2" t="s">
        <v>168</v>
      </c>
      <c r="O706" s="2">
        <v>2025</v>
      </c>
      <c r="P706" s="2" t="str">
        <v>August</v>
      </c>
      <c r="Q706" s="2" t="s">
        <v>21</v>
      </c>
    </row>
    <row r="707" spans="1:17" x14ac:dyDescent="0.25">
      <c r="A707" s="2" t="s">
        <v>1585</v>
      </c>
      <c r="B707" s="7">
        <v>45883</v>
      </c>
      <c r="C707" s="5" t="s">
        <v>24</v>
      </c>
      <c r="D707" s="5" t="s">
        <v>16</v>
      </c>
      <c r="E707" s="5" t="s">
        <v>34</v>
      </c>
      <c r="F707" s="2" t="s">
        <v>18</v>
      </c>
      <c r="G707" s="2">
        <v>11</v>
      </c>
      <c r="H707" s="25">
        <v>5230</v>
      </c>
      <c r="I707" s="8">
        <v>0</v>
      </c>
      <c r="J707" s="25">
        <v>57530</v>
      </c>
      <c r="K707" s="25">
        <f>G707*H707</f>
        <v>57530</v>
      </c>
      <c r="L707" s="8">
        <f>K707*I707/100</f>
        <v>0</v>
      </c>
      <c r="M707" s="2" t="s">
        <v>102</v>
      </c>
      <c r="N707" s="2" t="s">
        <v>406</v>
      </c>
      <c r="O707" s="2">
        <v>2025</v>
      </c>
      <c r="P707" s="2" t="str">
        <v>August</v>
      </c>
      <c r="Q707" s="2" t="s">
        <v>47</v>
      </c>
    </row>
    <row r="708" spans="1:17" x14ac:dyDescent="0.25">
      <c r="A708" s="2" t="s">
        <v>1587</v>
      </c>
      <c r="B708" s="7">
        <v>45694</v>
      </c>
      <c r="C708" s="5" t="s">
        <v>156</v>
      </c>
      <c r="D708" s="5" t="s">
        <v>51</v>
      </c>
      <c r="E708" s="5" t="s">
        <v>25</v>
      </c>
      <c r="F708" s="2" t="s">
        <v>248</v>
      </c>
      <c r="G708" s="2">
        <v>4</v>
      </c>
      <c r="H708" s="25">
        <v>20630</v>
      </c>
      <c r="I708" s="8">
        <v>15</v>
      </c>
      <c r="J708" s="25">
        <v>70142</v>
      </c>
      <c r="K708" s="25">
        <f>G708*H708</f>
        <v>82520</v>
      </c>
      <c r="L708" s="8">
        <f>K708*I708/100</f>
        <v>12378</v>
      </c>
      <c r="M708" s="2" t="s">
        <v>139</v>
      </c>
      <c r="N708" s="2" t="s">
        <v>176</v>
      </c>
      <c r="O708" s="2">
        <v>2025</v>
      </c>
      <c r="P708" s="2" t="str">
        <v>February</v>
      </c>
      <c r="Q708" s="2" t="s">
        <v>21</v>
      </c>
    </row>
    <row r="709" spans="1:17" x14ac:dyDescent="0.25">
      <c r="A709" s="2" t="s">
        <v>1589</v>
      </c>
      <c r="B709" s="7">
        <v>45970</v>
      </c>
      <c r="C709" s="5" t="s">
        <v>156</v>
      </c>
      <c r="D709" s="5" t="s">
        <v>51</v>
      </c>
      <c r="E709" s="5" t="s">
        <v>148</v>
      </c>
      <c r="F709" s="2" t="s">
        <v>379</v>
      </c>
      <c r="G709" s="2">
        <v>5</v>
      </c>
      <c r="H709" s="25">
        <v>2410</v>
      </c>
      <c r="I709" s="8">
        <v>10</v>
      </c>
      <c r="J709" s="25">
        <v>10845</v>
      </c>
      <c r="K709" s="25">
        <f>G709*H709</f>
        <v>12050</v>
      </c>
      <c r="L709" s="8">
        <f>K709*I709/100</f>
        <v>1205</v>
      </c>
      <c r="M709" s="2" t="s">
        <v>102</v>
      </c>
      <c r="N709" s="2" t="s">
        <v>73</v>
      </c>
      <c r="O709" s="2">
        <v>2025</v>
      </c>
      <c r="P709" s="2" t="str">
        <v>November</v>
      </c>
      <c r="Q709" s="2" t="s">
        <v>47</v>
      </c>
    </row>
    <row r="710" spans="1:17" x14ac:dyDescent="0.25">
      <c r="A710" s="2" t="s">
        <v>1591</v>
      </c>
      <c r="B710" s="7">
        <v>45814</v>
      </c>
      <c r="C710" s="5" t="s">
        <v>32</v>
      </c>
      <c r="D710" s="5" t="s">
        <v>33</v>
      </c>
      <c r="E710" s="5" t="s">
        <v>179</v>
      </c>
      <c r="F710" s="2" t="s">
        <v>184</v>
      </c>
      <c r="G710" s="2">
        <v>3</v>
      </c>
      <c r="H710" s="25">
        <v>2300</v>
      </c>
      <c r="I710" s="8">
        <v>0</v>
      </c>
      <c r="J710" s="25">
        <v>6900</v>
      </c>
      <c r="K710" s="25">
        <f>G710*H710</f>
        <v>6900</v>
      </c>
      <c r="L710" s="8">
        <f>K710*I710/100</f>
        <v>0</v>
      </c>
      <c r="M710" s="2" t="s">
        <v>53</v>
      </c>
      <c r="N710" s="2" t="s">
        <v>176</v>
      </c>
      <c r="O710" s="2">
        <v>2025</v>
      </c>
      <c r="P710" s="2" t="str">
        <v>June</v>
      </c>
      <c r="Q710" s="2" t="s">
        <v>21</v>
      </c>
    </row>
    <row r="711" spans="1:17" x14ac:dyDescent="0.25">
      <c r="A711" s="2" t="s">
        <v>1593</v>
      </c>
      <c r="B711" s="7">
        <v>45875</v>
      </c>
      <c r="C711" s="5" t="s">
        <v>24</v>
      </c>
      <c r="D711" s="5" t="s">
        <v>16</v>
      </c>
      <c r="E711" s="5" t="s">
        <v>34</v>
      </c>
      <c r="F711" s="2" t="s">
        <v>35</v>
      </c>
      <c r="G711" s="2">
        <v>5</v>
      </c>
      <c r="H711" s="25">
        <v>9940</v>
      </c>
      <c r="I711" s="8">
        <v>15</v>
      </c>
      <c r="J711" s="25">
        <v>42245</v>
      </c>
      <c r="K711" s="25">
        <f>G711*H711</f>
        <v>49700</v>
      </c>
      <c r="L711" s="8">
        <f>K711*I711/100</f>
        <v>7455</v>
      </c>
      <c r="M711" s="2" t="s">
        <v>94</v>
      </c>
      <c r="N711" s="2" t="s">
        <v>46</v>
      </c>
      <c r="O711" s="2">
        <v>2025</v>
      </c>
      <c r="P711" s="2" t="str">
        <v>August</v>
      </c>
      <c r="Q711" s="2" t="s">
        <v>21</v>
      </c>
    </row>
    <row r="712" spans="1:17" x14ac:dyDescent="0.25">
      <c r="A712" s="2" t="s">
        <v>1595</v>
      </c>
      <c r="B712" s="7">
        <v>46014</v>
      </c>
      <c r="C712" s="5" t="s">
        <v>238</v>
      </c>
      <c r="D712" s="5" t="s">
        <v>51</v>
      </c>
      <c r="E712" s="5" t="s">
        <v>295</v>
      </c>
      <c r="F712" s="2" t="s">
        <v>296</v>
      </c>
      <c r="G712" s="2">
        <v>4</v>
      </c>
      <c r="H712" s="25">
        <v>26810</v>
      </c>
      <c r="I712" s="8">
        <v>15</v>
      </c>
      <c r="J712" s="25">
        <v>91154</v>
      </c>
      <c r="K712" s="25">
        <f>G712*H712</f>
        <v>107240</v>
      </c>
      <c r="L712" s="8">
        <f>K712*I712/100</f>
        <v>16086</v>
      </c>
      <c r="M712" s="2" t="s">
        <v>53</v>
      </c>
      <c r="N712" s="2" t="s">
        <v>73</v>
      </c>
      <c r="O712" s="2">
        <v>2025</v>
      </c>
      <c r="P712" s="2" t="str">
        <v>December</v>
      </c>
      <c r="Q712" s="2" t="s">
        <v>47</v>
      </c>
    </row>
    <row r="713" spans="1:17" x14ac:dyDescent="0.25">
      <c r="A713" s="2" t="s">
        <v>1597</v>
      </c>
      <c r="B713" s="7">
        <v>45768</v>
      </c>
      <c r="C713" s="5" t="s">
        <v>238</v>
      </c>
      <c r="D713" s="5" t="s">
        <v>51</v>
      </c>
      <c r="E713" s="5" t="s">
        <v>148</v>
      </c>
      <c r="F713" s="2" t="s">
        <v>83</v>
      </c>
      <c r="G713" s="2">
        <v>9</v>
      </c>
      <c r="H713" s="25">
        <v>8830</v>
      </c>
      <c r="I713" s="8">
        <v>5</v>
      </c>
      <c r="J713" s="25">
        <v>75496.5</v>
      </c>
      <c r="K713" s="25">
        <f>G713*H713</f>
        <v>79470</v>
      </c>
      <c r="L713" s="8">
        <f>K713*I713/100</f>
        <v>3973.5</v>
      </c>
      <c r="M713" s="2" t="s">
        <v>102</v>
      </c>
      <c r="N713" s="2" t="s">
        <v>68</v>
      </c>
      <c r="O713" s="2">
        <v>2025</v>
      </c>
      <c r="P713" s="2" t="str">
        <v>April</v>
      </c>
      <c r="Q713" s="2" t="s">
        <v>47</v>
      </c>
    </row>
    <row r="714" spans="1:17" x14ac:dyDescent="0.25">
      <c r="A714" s="2" t="s">
        <v>1598</v>
      </c>
      <c r="B714" s="7">
        <v>45732</v>
      </c>
      <c r="C714" s="5" t="s">
        <v>24</v>
      </c>
      <c r="D714" s="5" t="s">
        <v>16</v>
      </c>
      <c r="E714" s="5" t="s">
        <v>179</v>
      </c>
      <c r="F714" s="2" t="s">
        <v>239</v>
      </c>
      <c r="G714" s="2">
        <v>11</v>
      </c>
      <c r="H714" s="25">
        <v>4520</v>
      </c>
      <c r="I714" s="8">
        <v>0</v>
      </c>
      <c r="J714" s="25">
        <v>49720</v>
      </c>
      <c r="K714" s="25">
        <f>G714*H714</f>
        <v>49720</v>
      </c>
      <c r="L714" s="8">
        <f>K714*I714/100</f>
        <v>0</v>
      </c>
      <c r="M714" s="2" t="s">
        <v>139</v>
      </c>
      <c r="N714" s="2" t="s">
        <v>341</v>
      </c>
      <c r="O714" s="2">
        <v>2025</v>
      </c>
      <c r="P714" s="2" t="str">
        <v>March</v>
      </c>
      <c r="Q714" s="2" t="s">
        <v>47</v>
      </c>
    </row>
    <row r="715" spans="1:17" x14ac:dyDescent="0.25">
      <c r="A715" s="2" t="s">
        <v>1600</v>
      </c>
      <c r="B715" s="7">
        <v>45944</v>
      </c>
      <c r="C715" s="5" t="s">
        <v>32</v>
      </c>
      <c r="D715" s="5" t="s">
        <v>33</v>
      </c>
      <c r="E715" s="5" t="s">
        <v>179</v>
      </c>
      <c r="F715" s="2" t="s">
        <v>374</v>
      </c>
      <c r="G715" s="2">
        <v>12</v>
      </c>
      <c r="H715" s="25">
        <v>12220</v>
      </c>
      <c r="I715" s="8">
        <v>0</v>
      </c>
      <c r="J715" s="25">
        <v>146640</v>
      </c>
      <c r="K715" s="25">
        <f>G715*H715</f>
        <v>146640</v>
      </c>
      <c r="L715" s="8">
        <f>K715*I715/100</f>
        <v>0</v>
      </c>
      <c r="M715" s="2" t="s">
        <v>102</v>
      </c>
      <c r="N715" s="2" t="s">
        <v>883</v>
      </c>
      <c r="O715" s="2">
        <v>2025</v>
      </c>
      <c r="P715" s="2" t="str">
        <v>October</v>
      </c>
      <c r="Q715" s="2" t="s">
        <v>21</v>
      </c>
    </row>
    <row r="716" spans="1:17" x14ac:dyDescent="0.25">
      <c r="A716" s="2" t="s">
        <v>1602</v>
      </c>
      <c r="B716" s="7">
        <v>45818</v>
      </c>
      <c r="C716" s="5" t="s">
        <v>135</v>
      </c>
      <c r="D716" s="5" t="s">
        <v>58</v>
      </c>
      <c r="E716" s="5" t="s">
        <v>179</v>
      </c>
      <c r="F716" s="2" t="s">
        <v>255</v>
      </c>
      <c r="G716" s="2">
        <v>1</v>
      </c>
      <c r="H716" s="25">
        <v>18910</v>
      </c>
      <c r="I716" s="8">
        <v>0</v>
      </c>
      <c r="J716" s="25">
        <v>18910</v>
      </c>
      <c r="K716" s="25">
        <f>G716*H716</f>
        <v>18910</v>
      </c>
      <c r="L716" s="8">
        <f>K716*I716/100</f>
        <v>0</v>
      </c>
      <c r="M716" s="2" t="s">
        <v>102</v>
      </c>
      <c r="N716" s="2" t="s">
        <v>411</v>
      </c>
      <c r="O716" s="2">
        <v>2025</v>
      </c>
      <c r="P716" s="2" t="str">
        <v>June</v>
      </c>
      <c r="Q716" s="2" t="s">
        <v>47</v>
      </c>
    </row>
    <row r="717" spans="1:17" x14ac:dyDescent="0.25">
      <c r="A717" s="2" t="s">
        <v>1604</v>
      </c>
      <c r="B717" s="7">
        <v>45836</v>
      </c>
      <c r="C717" s="5" t="s">
        <v>76</v>
      </c>
      <c r="D717" s="5" t="s">
        <v>33</v>
      </c>
      <c r="E717" s="5" t="s">
        <v>179</v>
      </c>
      <c r="F717" s="2" t="s">
        <v>239</v>
      </c>
      <c r="G717" s="2">
        <v>6</v>
      </c>
      <c r="H717" s="25">
        <v>4620</v>
      </c>
      <c r="I717" s="8">
        <v>15</v>
      </c>
      <c r="J717" s="25">
        <v>23562</v>
      </c>
      <c r="K717" s="25">
        <f>G717*H717</f>
        <v>27720</v>
      </c>
      <c r="L717" s="8">
        <f>K717*I717/100</f>
        <v>4158</v>
      </c>
      <c r="M717" s="2" t="s">
        <v>102</v>
      </c>
      <c r="N717" s="2" t="s">
        <v>188</v>
      </c>
      <c r="O717" s="2">
        <v>2025</v>
      </c>
      <c r="P717" s="2" t="str">
        <v>June</v>
      </c>
      <c r="Q717" s="2" t="s">
        <v>47</v>
      </c>
    </row>
    <row r="718" spans="1:17" x14ac:dyDescent="0.25">
      <c r="A718" s="2" t="s">
        <v>1606</v>
      </c>
      <c r="B718" s="7">
        <v>45747</v>
      </c>
      <c r="C718" s="5" t="s">
        <v>156</v>
      </c>
      <c r="D718" s="5" t="s">
        <v>51</v>
      </c>
      <c r="E718" s="5" t="s">
        <v>34</v>
      </c>
      <c r="F718" s="2" t="s">
        <v>290</v>
      </c>
      <c r="G718" s="2">
        <v>6</v>
      </c>
      <c r="H718" s="25">
        <v>59680</v>
      </c>
      <c r="I718" s="8">
        <v>0</v>
      </c>
      <c r="J718" s="25">
        <v>358080</v>
      </c>
      <c r="K718" s="25">
        <f>G718*H718</f>
        <v>358080</v>
      </c>
      <c r="L718" s="8">
        <f>K718*I718/100</f>
        <v>0</v>
      </c>
      <c r="M718" s="2" t="s">
        <v>139</v>
      </c>
      <c r="N718" s="2" t="s">
        <v>73</v>
      </c>
      <c r="O718" s="2">
        <v>2025</v>
      </c>
      <c r="P718" s="2" t="str">
        <v>March</v>
      </c>
      <c r="Q718" s="2" t="s">
        <v>21</v>
      </c>
    </row>
    <row r="719" spans="1:17" x14ac:dyDescent="0.25">
      <c r="A719" s="2" t="s">
        <v>1608</v>
      </c>
      <c r="B719" s="7">
        <v>45773</v>
      </c>
      <c r="C719" s="5" t="s">
        <v>32</v>
      </c>
      <c r="D719" s="5" t="s">
        <v>33</v>
      </c>
      <c r="E719" s="5" t="s">
        <v>295</v>
      </c>
      <c r="F719" s="2" t="s">
        <v>219</v>
      </c>
      <c r="G719" s="2">
        <v>2</v>
      </c>
      <c r="H719" s="25">
        <v>530</v>
      </c>
      <c r="I719" s="8">
        <v>15</v>
      </c>
      <c r="J719" s="25">
        <v>901</v>
      </c>
      <c r="K719" s="25">
        <f>G719*H719</f>
        <v>1060</v>
      </c>
      <c r="L719" s="8">
        <f>K719*I719/100</f>
        <v>159</v>
      </c>
      <c r="M719" s="2" t="s">
        <v>102</v>
      </c>
      <c r="N719" s="2" t="s">
        <v>79</v>
      </c>
      <c r="O719" s="2">
        <v>2025</v>
      </c>
      <c r="P719" s="2" t="str">
        <v>April</v>
      </c>
      <c r="Q719" s="2" t="s">
        <v>47</v>
      </c>
    </row>
    <row r="720" spans="1:17" x14ac:dyDescent="0.25">
      <c r="A720" s="2" t="s">
        <v>1609</v>
      </c>
      <c r="B720" s="7">
        <v>45703</v>
      </c>
      <c r="C720" s="5" t="s">
        <v>238</v>
      </c>
      <c r="D720" s="5" t="s">
        <v>51</v>
      </c>
      <c r="E720" s="5" t="s">
        <v>34</v>
      </c>
      <c r="F720" s="2" t="s">
        <v>35</v>
      </c>
      <c r="G720" s="2">
        <v>11</v>
      </c>
      <c r="H720" s="25">
        <v>19110</v>
      </c>
      <c r="I720" s="8">
        <v>5</v>
      </c>
      <c r="J720" s="25">
        <v>199699.5</v>
      </c>
      <c r="K720" s="25">
        <f>G720*H720</f>
        <v>210210</v>
      </c>
      <c r="L720" s="8">
        <f>K720*I720/100</f>
        <v>10510.5</v>
      </c>
      <c r="M720" s="2" t="s">
        <v>102</v>
      </c>
      <c r="N720" s="2" t="s">
        <v>37</v>
      </c>
      <c r="O720" s="2">
        <v>2025</v>
      </c>
      <c r="P720" s="2" t="str">
        <v>February</v>
      </c>
      <c r="Q720" s="2" t="s">
        <v>21</v>
      </c>
    </row>
    <row r="721" spans="1:17" x14ac:dyDescent="0.25">
      <c r="A721" s="2" t="s">
        <v>1611</v>
      </c>
      <c r="B721" s="7">
        <v>45760</v>
      </c>
      <c r="C721" s="5" t="s">
        <v>32</v>
      </c>
      <c r="D721" s="5" t="s">
        <v>33</v>
      </c>
      <c r="E721" s="5" t="s">
        <v>179</v>
      </c>
      <c r="F721" s="2" t="s">
        <v>66</v>
      </c>
      <c r="G721" s="2">
        <v>7</v>
      </c>
      <c r="H721" s="25">
        <v>60260</v>
      </c>
      <c r="I721" s="8">
        <v>0</v>
      </c>
      <c r="J721" s="25">
        <v>421820</v>
      </c>
      <c r="K721" s="25">
        <f>G721*H721</f>
        <v>421820</v>
      </c>
      <c r="L721" s="8">
        <f>K721*I721/100</f>
        <v>0</v>
      </c>
      <c r="M721" s="2" t="s">
        <v>94</v>
      </c>
      <c r="N721" s="2" t="s">
        <v>73</v>
      </c>
      <c r="O721" s="2">
        <v>2025</v>
      </c>
      <c r="P721" s="2" t="str">
        <v>April</v>
      </c>
      <c r="Q721" s="2" t="s">
        <v>21</v>
      </c>
    </row>
    <row r="722" spans="1:17" x14ac:dyDescent="0.25">
      <c r="A722" s="2" t="s">
        <v>1613</v>
      </c>
      <c r="B722" s="7">
        <v>45971</v>
      </c>
      <c r="C722" s="5" t="s">
        <v>135</v>
      </c>
      <c r="D722" s="5" t="s">
        <v>58</v>
      </c>
      <c r="E722" s="5" t="s">
        <v>148</v>
      </c>
      <c r="F722" s="2" t="s">
        <v>435</v>
      </c>
      <c r="G722" s="2">
        <v>2</v>
      </c>
      <c r="H722" s="25">
        <v>3390</v>
      </c>
      <c r="I722" s="8">
        <v>5</v>
      </c>
      <c r="J722" s="25">
        <v>6441</v>
      </c>
      <c r="K722" s="25">
        <f>G722*H722</f>
        <v>6780</v>
      </c>
      <c r="L722" s="8">
        <f>K722*I722/100</f>
        <v>339</v>
      </c>
      <c r="M722" s="2" t="s">
        <v>53</v>
      </c>
      <c r="N722" s="2" t="s">
        <v>68</v>
      </c>
      <c r="O722" s="2">
        <v>2025</v>
      </c>
      <c r="P722" s="2" t="str">
        <v>November</v>
      </c>
      <c r="Q722" s="2" t="s">
        <v>21</v>
      </c>
    </row>
    <row r="723" spans="1:17" x14ac:dyDescent="0.25">
      <c r="A723" s="2" t="s">
        <v>1614</v>
      </c>
      <c r="B723" s="7">
        <v>45887</v>
      </c>
      <c r="C723" s="5" t="s">
        <v>32</v>
      </c>
      <c r="D723" s="5" t="s">
        <v>33</v>
      </c>
      <c r="E723" s="5" t="s">
        <v>34</v>
      </c>
      <c r="F723" s="2" t="s">
        <v>199</v>
      </c>
      <c r="G723" s="2">
        <v>10</v>
      </c>
      <c r="H723" s="25">
        <v>2770</v>
      </c>
      <c r="I723" s="8">
        <v>5</v>
      </c>
      <c r="J723" s="25">
        <v>26315</v>
      </c>
      <c r="K723" s="25">
        <f>G723*H723</f>
        <v>27700</v>
      </c>
      <c r="L723" s="8">
        <f>K723*I723/100</f>
        <v>1385</v>
      </c>
      <c r="M723" s="2" t="s">
        <v>53</v>
      </c>
      <c r="N723" s="2" t="s">
        <v>341</v>
      </c>
      <c r="O723" s="2">
        <v>2025</v>
      </c>
      <c r="P723" s="2" t="str">
        <v>August</v>
      </c>
      <c r="Q723" s="2" t="s">
        <v>47</v>
      </c>
    </row>
    <row r="724" spans="1:17" x14ac:dyDescent="0.25">
      <c r="A724" s="2" t="s">
        <v>1616</v>
      </c>
      <c r="B724" s="7">
        <v>45961</v>
      </c>
      <c r="C724" s="5" t="s">
        <v>135</v>
      </c>
      <c r="D724" s="5" t="s">
        <v>58</v>
      </c>
      <c r="E724" s="5" t="s">
        <v>179</v>
      </c>
      <c r="F724" s="2" t="s">
        <v>224</v>
      </c>
      <c r="G724" s="2">
        <v>2</v>
      </c>
      <c r="H724" s="25">
        <v>43540</v>
      </c>
      <c r="I724" s="8">
        <v>5</v>
      </c>
      <c r="J724" s="25">
        <v>82726</v>
      </c>
      <c r="K724" s="25">
        <f>G724*H724</f>
        <v>87080</v>
      </c>
      <c r="L724" s="8">
        <f>K724*I724/100</f>
        <v>4354</v>
      </c>
      <c r="M724" s="2" t="s">
        <v>94</v>
      </c>
      <c r="N724" s="2" t="s">
        <v>188</v>
      </c>
      <c r="O724" s="2">
        <v>2025</v>
      </c>
      <c r="P724" s="2" t="str">
        <v>October</v>
      </c>
      <c r="Q724" s="2" t="s">
        <v>47</v>
      </c>
    </row>
    <row r="725" spans="1:17" x14ac:dyDescent="0.25">
      <c r="A725" s="2" t="s">
        <v>1618</v>
      </c>
      <c r="B725" s="7">
        <v>45935</v>
      </c>
      <c r="C725" s="5" t="s">
        <v>32</v>
      </c>
      <c r="D725" s="5" t="s">
        <v>33</v>
      </c>
      <c r="E725" s="5" t="s">
        <v>295</v>
      </c>
      <c r="F725" s="2" t="s">
        <v>296</v>
      </c>
      <c r="G725" s="2">
        <v>3</v>
      </c>
      <c r="H725" s="25">
        <v>12090</v>
      </c>
      <c r="I725" s="8">
        <v>0</v>
      </c>
      <c r="J725" s="25">
        <v>36270</v>
      </c>
      <c r="K725" s="25">
        <f>G725*H725</f>
        <v>36270</v>
      </c>
      <c r="L725" s="8">
        <f>K725*I725/100</f>
        <v>0</v>
      </c>
      <c r="M725" s="2" t="s">
        <v>53</v>
      </c>
      <c r="N725" s="2" t="s">
        <v>73</v>
      </c>
      <c r="O725" s="2">
        <v>2025</v>
      </c>
      <c r="P725" s="2" t="str">
        <v>October</v>
      </c>
      <c r="Q725" s="2" t="s">
        <v>21</v>
      </c>
    </row>
    <row r="726" spans="1:17" x14ac:dyDescent="0.25">
      <c r="A726" s="2" t="s">
        <v>1620</v>
      </c>
      <c r="B726" s="7">
        <v>45683</v>
      </c>
      <c r="C726" s="5" t="s">
        <v>76</v>
      </c>
      <c r="D726" s="5" t="s">
        <v>33</v>
      </c>
      <c r="E726" s="5" t="s">
        <v>295</v>
      </c>
      <c r="F726" s="2" t="s">
        <v>126</v>
      </c>
      <c r="G726" s="2">
        <v>6</v>
      </c>
      <c r="H726" s="25">
        <v>510</v>
      </c>
      <c r="I726" s="8">
        <v>0</v>
      </c>
      <c r="J726" s="25">
        <v>3060</v>
      </c>
      <c r="K726" s="25">
        <f>G726*H726</f>
        <v>3060</v>
      </c>
      <c r="L726" s="8">
        <f>K726*I726/100</f>
        <v>0</v>
      </c>
      <c r="M726" s="2" t="s">
        <v>53</v>
      </c>
      <c r="N726" s="2" t="s">
        <v>54</v>
      </c>
      <c r="O726" s="2">
        <v>2025</v>
      </c>
      <c r="P726" s="2" t="str">
        <v>January</v>
      </c>
      <c r="Q726" s="2" t="s">
        <v>47</v>
      </c>
    </row>
    <row r="727" spans="1:17" x14ac:dyDescent="0.25">
      <c r="A727" s="2" t="s">
        <v>1622</v>
      </c>
      <c r="B727" s="7">
        <v>45829</v>
      </c>
      <c r="C727" s="5" t="s">
        <v>24</v>
      </c>
      <c r="D727" s="5" t="s">
        <v>16</v>
      </c>
      <c r="E727" s="5" t="s">
        <v>179</v>
      </c>
      <c r="F727" s="2" t="s">
        <v>314</v>
      </c>
      <c r="G727" s="2">
        <v>8</v>
      </c>
      <c r="H727" s="25">
        <v>8520</v>
      </c>
      <c r="I727" s="8">
        <v>15</v>
      </c>
      <c r="J727" s="25">
        <v>57936</v>
      </c>
      <c r="K727" s="25">
        <f>G727*H727</f>
        <v>68160</v>
      </c>
      <c r="L727" s="8">
        <f>K727*I727/100</f>
        <v>10224</v>
      </c>
      <c r="M727" s="2" t="s">
        <v>139</v>
      </c>
      <c r="N727" s="2" t="s">
        <v>176</v>
      </c>
      <c r="O727" s="2">
        <v>2025</v>
      </c>
      <c r="P727" s="2" t="str">
        <v>June</v>
      </c>
      <c r="Q727" s="2" t="s">
        <v>21</v>
      </c>
    </row>
    <row r="728" spans="1:17" x14ac:dyDescent="0.25">
      <c r="A728" s="2" t="s">
        <v>1624</v>
      </c>
      <c r="B728" s="7">
        <v>45711</v>
      </c>
      <c r="C728" s="5" t="s">
        <v>156</v>
      </c>
      <c r="D728" s="5" t="s">
        <v>51</v>
      </c>
      <c r="E728" s="5" t="s">
        <v>25</v>
      </c>
      <c r="F728" s="2" t="s">
        <v>106</v>
      </c>
      <c r="G728" s="2">
        <v>11</v>
      </c>
      <c r="H728" s="25">
        <v>3670</v>
      </c>
      <c r="I728" s="8">
        <v>10</v>
      </c>
      <c r="J728" s="25">
        <v>36333</v>
      </c>
      <c r="K728" s="25">
        <f>G728*H728</f>
        <v>40370</v>
      </c>
      <c r="L728" s="8">
        <f>K728*I728/100</f>
        <v>4037</v>
      </c>
      <c r="M728" s="2" t="s">
        <v>94</v>
      </c>
      <c r="N728" s="2" t="s">
        <v>46</v>
      </c>
      <c r="O728" s="2">
        <v>2025</v>
      </c>
      <c r="P728" s="2" t="str">
        <v>February</v>
      </c>
      <c r="Q728" s="2" t="s">
        <v>47</v>
      </c>
    </row>
    <row r="729" spans="1:17" x14ac:dyDescent="0.25">
      <c r="A729" s="2" t="s">
        <v>1627</v>
      </c>
      <c r="B729" s="7">
        <v>45748</v>
      </c>
      <c r="C729" s="5" t="s">
        <v>156</v>
      </c>
      <c r="D729" s="5" t="s">
        <v>51</v>
      </c>
      <c r="E729" s="5" t="s">
        <v>179</v>
      </c>
      <c r="F729" s="2" t="s">
        <v>143</v>
      </c>
      <c r="G729" s="2">
        <v>11</v>
      </c>
      <c r="H729" s="25">
        <v>12040</v>
      </c>
      <c r="I729" s="8">
        <v>0</v>
      </c>
      <c r="J729" s="25">
        <v>132440</v>
      </c>
      <c r="K729" s="25">
        <f>G729*H729</f>
        <v>132440</v>
      </c>
      <c r="L729" s="8">
        <f>K729*I729/100</f>
        <v>0</v>
      </c>
      <c r="M729" s="2" t="s">
        <v>53</v>
      </c>
      <c r="N729" s="2" t="s">
        <v>73</v>
      </c>
      <c r="O729" s="2">
        <v>2025</v>
      </c>
      <c r="P729" s="2" t="str">
        <v>April</v>
      </c>
      <c r="Q729" s="2" t="s">
        <v>47</v>
      </c>
    </row>
    <row r="730" spans="1:17" x14ac:dyDescent="0.25">
      <c r="A730" s="2" t="s">
        <v>1629</v>
      </c>
      <c r="B730" s="7">
        <v>45900</v>
      </c>
      <c r="C730" s="5" t="s">
        <v>32</v>
      </c>
      <c r="D730" s="5" t="s">
        <v>33</v>
      </c>
      <c r="E730" s="5" t="s">
        <v>25</v>
      </c>
      <c r="F730" s="2" t="s">
        <v>44</v>
      </c>
      <c r="G730" s="2">
        <v>11</v>
      </c>
      <c r="H730" s="25">
        <v>8990</v>
      </c>
      <c r="I730" s="8">
        <v>0</v>
      </c>
      <c r="J730" s="25">
        <v>98890</v>
      </c>
      <c r="K730" s="25">
        <f>G730*H730</f>
        <v>98890</v>
      </c>
      <c r="L730" s="8">
        <f>K730*I730/100</f>
        <v>0</v>
      </c>
      <c r="M730" s="2" t="s">
        <v>53</v>
      </c>
      <c r="N730" s="2" t="s">
        <v>176</v>
      </c>
      <c r="O730" s="2">
        <v>2025</v>
      </c>
      <c r="P730" s="2" t="str">
        <v>August</v>
      </c>
      <c r="Q730" s="2" t="s">
        <v>47</v>
      </c>
    </row>
    <row r="731" spans="1:17" x14ac:dyDescent="0.25">
      <c r="A731" s="2" t="s">
        <v>1631</v>
      </c>
      <c r="B731" s="7">
        <v>45821</v>
      </c>
      <c r="C731" s="5" t="s">
        <v>76</v>
      </c>
      <c r="D731" s="5" t="s">
        <v>33</v>
      </c>
      <c r="E731" s="5" t="s">
        <v>34</v>
      </c>
      <c r="F731" s="2" t="s">
        <v>171</v>
      </c>
      <c r="G731" s="2">
        <v>10</v>
      </c>
      <c r="H731" s="25">
        <v>65040</v>
      </c>
      <c r="I731" s="8">
        <v>0</v>
      </c>
      <c r="J731" s="25">
        <v>650400</v>
      </c>
      <c r="K731" s="25">
        <f>G731*H731</f>
        <v>650400</v>
      </c>
      <c r="L731" s="8">
        <f>K731*I731/100</f>
        <v>0</v>
      </c>
      <c r="M731" s="2" t="s">
        <v>53</v>
      </c>
      <c r="N731" s="2" t="s">
        <v>188</v>
      </c>
      <c r="O731" s="2">
        <v>2025</v>
      </c>
      <c r="P731" s="2" t="str">
        <v>June</v>
      </c>
      <c r="Q731" s="2" t="s">
        <v>21</v>
      </c>
    </row>
    <row r="732" spans="1:17" x14ac:dyDescent="0.25">
      <c r="A732" s="2" t="s">
        <v>1633</v>
      </c>
      <c r="B732" s="7">
        <v>45999</v>
      </c>
      <c r="C732" s="5" t="s">
        <v>135</v>
      </c>
      <c r="D732" s="5" t="s">
        <v>33</v>
      </c>
      <c r="E732" s="5" t="s">
        <v>295</v>
      </c>
      <c r="F732" s="2" t="s">
        <v>314</v>
      </c>
      <c r="G732" s="2">
        <v>1</v>
      </c>
      <c r="H732" s="25">
        <v>9220</v>
      </c>
      <c r="I732" s="8">
        <v>15</v>
      </c>
      <c r="J732" s="25">
        <v>7837</v>
      </c>
      <c r="K732" s="25">
        <f>G732*H732</f>
        <v>9220</v>
      </c>
      <c r="L732" s="8">
        <f>K732*I732/100</f>
        <v>1383</v>
      </c>
      <c r="M732" s="2" t="s">
        <v>53</v>
      </c>
      <c r="N732" s="2" t="s">
        <v>176</v>
      </c>
      <c r="O732" s="2">
        <v>2025</v>
      </c>
      <c r="P732" s="2" t="str">
        <v>December</v>
      </c>
      <c r="Q732" s="2" t="s">
        <v>47</v>
      </c>
    </row>
    <row r="733" spans="1:17" x14ac:dyDescent="0.25">
      <c r="A733" s="2" t="s">
        <v>1635</v>
      </c>
      <c r="B733" s="7">
        <v>45887</v>
      </c>
      <c r="C733" s="5" t="s">
        <v>41</v>
      </c>
      <c r="D733" s="5" t="s">
        <v>42</v>
      </c>
      <c r="E733" s="5" t="s">
        <v>25</v>
      </c>
      <c r="F733" s="2" t="s">
        <v>26</v>
      </c>
      <c r="G733" s="2">
        <v>11</v>
      </c>
      <c r="H733" s="25">
        <v>1090</v>
      </c>
      <c r="I733" s="8">
        <v>0</v>
      </c>
      <c r="J733" s="25">
        <v>11990</v>
      </c>
      <c r="K733" s="25">
        <f>G733*H733</f>
        <v>11990</v>
      </c>
      <c r="L733" s="8">
        <f>K733*I733/100</f>
        <v>0</v>
      </c>
      <c r="M733" s="2" t="s">
        <v>139</v>
      </c>
      <c r="N733" s="2" t="s">
        <v>188</v>
      </c>
      <c r="O733" s="2">
        <v>2025</v>
      </c>
      <c r="P733" s="2" t="str">
        <v>August</v>
      </c>
      <c r="Q733" s="2" t="s">
        <v>47</v>
      </c>
    </row>
    <row r="734" spans="1:17" x14ac:dyDescent="0.25">
      <c r="A734" s="2" t="s">
        <v>1636</v>
      </c>
      <c r="B734" s="7">
        <v>46010</v>
      </c>
      <c r="C734" s="5" t="s">
        <v>156</v>
      </c>
      <c r="D734" s="5" t="s">
        <v>51</v>
      </c>
      <c r="E734" s="5" t="s">
        <v>295</v>
      </c>
      <c r="F734" s="2" t="s">
        <v>126</v>
      </c>
      <c r="G734" s="2">
        <v>8</v>
      </c>
      <c r="H734" s="25">
        <v>22950</v>
      </c>
      <c r="I734" s="8">
        <v>0</v>
      </c>
      <c r="J734" s="25">
        <v>183600</v>
      </c>
      <c r="K734" s="25">
        <f>G734*H734</f>
        <v>183600</v>
      </c>
      <c r="L734" s="8">
        <f>K734*I734/100</f>
        <v>0</v>
      </c>
      <c r="M734" s="2" t="s">
        <v>94</v>
      </c>
      <c r="N734" s="2" t="s">
        <v>68</v>
      </c>
      <c r="O734" s="2">
        <v>2025</v>
      </c>
      <c r="P734" s="2" t="str">
        <v>December</v>
      </c>
      <c r="Q734" s="2" t="s">
        <v>21</v>
      </c>
    </row>
    <row r="735" spans="1:17" x14ac:dyDescent="0.25">
      <c r="A735" s="2" t="s">
        <v>1637</v>
      </c>
      <c r="B735" s="7">
        <v>45799</v>
      </c>
      <c r="C735" s="5" t="s">
        <v>32</v>
      </c>
      <c r="D735" s="5" t="s">
        <v>33</v>
      </c>
      <c r="E735" s="5" t="s">
        <v>34</v>
      </c>
      <c r="F735" s="2" t="s">
        <v>164</v>
      </c>
      <c r="G735" s="2">
        <v>4</v>
      </c>
      <c r="H735" s="25">
        <v>60270</v>
      </c>
      <c r="I735" s="8">
        <v>0</v>
      </c>
      <c r="J735" s="25">
        <v>241080</v>
      </c>
      <c r="K735" s="25">
        <f>G735*H735</f>
        <v>241080</v>
      </c>
      <c r="L735" s="8">
        <f>K735*I735/100</f>
        <v>0</v>
      </c>
      <c r="M735" s="2" t="s">
        <v>102</v>
      </c>
      <c r="N735" s="2" t="s">
        <v>176</v>
      </c>
      <c r="O735" s="2">
        <v>2025</v>
      </c>
      <c r="P735" s="2" t="str">
        <v>May</v>
      </c>
      <c r="Q735" s="2" t="s">
        <v>47</v>
      </c>
    </row>
    <row r="736" spans="1:17" x14ac:dyDescent="0.25">
      <c r="A736" s="2" t="s">
        <v>1639</v>
      </c>
      <c r="B736" s="7">
        <v>45754</v>
      </c>
      <c r="C736" s="5" t="s">
        <v>32</v>
      </c>
      <c r="D736" s="5" t="s">
        <v>33</v>
      </c>
      <c r="E736" s="5" t="s">
        <v>179</v>
      </c>
      <c r="F736" s="2" t="s">
        <v>180</v>
      </c>
      <c r="G736" s="2">
        <v>2</v>
      </c>
      <c r="H736" s="25">
        <v>3990</v>
      </c>
      <c r="I736" s="8">
        <v>10</v>
      </c>
      <c r="J736" s="25">
        <v>7182</v>
      </c>
      <c r="K736" s="25">
        <f>G736*H736</f>
        <v>7980</v>
      </c>
      <c r="L736" s="8">
        <f>K736*I736/100</f>
        <v>798</v>
      </c>
      <c r="M736" s="2" t="s">
        <v>53</v>
      </c>
      <c r="N736" s="2" t="s">
        <v>188</v>
      </c>
      <c r="O736" s="2">
        <v>2025</v>
      </c>
      <c r="P736" s="2" t="str">
        <v>April</v>
      </c>
      <c r="Q736" s="2" t="s">
        <v>47</v>
      </c>
    </row>
    <row r="737" spans="1:17" x14ac:dyDescent="0.25">
      <c r="A737" s="2" t="s">
        <v>1641</v>
      </c>
      <c r="B737" s="7">
        <v>45697</v>
      </c>
      <c r="C737" s="5" t="s">
        <v>41</v>
      </c>
      <c r="D737" s="5" t="s">
        <v>42</v>
      </c>
      <c r="E737" s="5" t="s">
        <v>148</v>
      </c>
      <c r="F737" s="2" t="s">
        <v>209</v>
      </c>
      <c r="G737" s="2">
        <v>4</v>
      </c>
      <c r="H737" s="25">
        <v>7900</v>
      </c>
      <c r="I737" s="8">
        <v>0</v>
      </c>
      <c r="J737" s="25">
        <v>31600</v>
      </c>
      <c r="K737" s="25">
        <f>G737*H737</f>
        <v>31600</v>
      </c>
      <c r="L737" s="8">
        <f>K737*I737/100</f>
        <v>0</v>
      </c>
      <c r="M737" s="2" t="s">
        <v>94</v>
      </c>
      <c r="N737" s="2" t="s">
        <v>344</v>
      </c>
      <c r="O737" s="2">
        <v>2025</v>
      </c>
      <c r="P737" s="2" t="str">
        <v>February</v>
      </c>
      <c r="Q737" s="2" t="s">
        <v>47</v>
      </c>
    </row>
    <row r="738" spans="1:17" x14ac:dyDescent="0.25">
      <c r="A738" s="2" t="s">
        <v>1643</v>
      </c>
      <c r="B738" s="7">
        <v>45964</v>
      </c>
      <c r="C738" s="5" t="s">
        <v>238</v>
      </c>
      <c r="D738" s="5" t="s">
        <v>51</v>
      </c>
      <c r="E738" s="5" t="s">
        <v>179</v>
      </c>
      <c r="F738" s="2" t="s">
        <v>184</v>
      </c>
      <c r="G738" s="2">
        <v>4</v>
      </c>
      <c r="H738" s="25">
        <v>8160</v>
      </c>
      <c r="I738" s="8">
        <v>5</v>
      </c>
      <c r="J738" s="25">
        <v>31008</v>
      </c>
      <c r="K738" s="25">
        <f>G738*H738</f>
        <v>32640</v>
      </c>
      <c r="L738" s="8">
        <f>K738*I738/100</f>
        <v>1632</v>
      </c>
      <c r="M738" s="2" t="s">
        <v>53</v>
      </c>
      <c r="N738" s="2" t="s">
        <v>168</v>
      </c>
      <c r="O738" s="2">
        <v>2025</v>
      </c>
      <c r="P738" s="2" t="str">
        <v>November</v>
      </c>
      <c r="Q738" s="2" t="s">
        <v>47</v>
      </c>
    </row>
    <row r="739" spans="1:17" x14ac:dyDescent="0.25">
      <c r="A739" s="2" t="s">
        <v>1645</v>
      </c>
      <c r="B739" s="7">
        <v>45674</v>
      </c>
      <c r="C739" s="5" t="s">
        <v>135</v>
      </c>
      <c r="D739" s="5" t="s">
        <v>58</v>
      </c>
      <c r="E739" s="5" t="s">
        <v>148</v>
      </c>
      <c r="F739" s="2" t="s">
        <v>252</v>
      </c>
      <c r="G739" s="2">
        <v>6</v>
      </c>
      <c r="H739" s="25">
        <v>63030</v>
      </c>
      <c r="I739" s="8">
        <v>0</v>
      </c>
      <c r="J739" s="25">
        <v>378180</v>
      </c>
      <c r="K739" s="25">
        <f>G739*H739</f>
        <v>378180</v>
      </c>
      <c r="L739" s="8">
        <f>K739*I739/100</f>
        <v>0</v>
      </c>
      <c r="M739" s="2" t="s">
        <v>53</v>
      </c>
      <c r="N739" s="2" t="s">
        <v>73</v>
      </c>
      <c r="O739" s="2">
        <v>2025</v>
      </c>
      <c r="P739" s="2" t="str">
        <v>January</v>
      </c>
      <c r="Q739" s="2" t="s">
        <v>47</v>
      </c>
    </row>
    <row r="740" spans="1:17" x14ac:dyDescent="0.25">
      <c r="A740" s="2" t="s">
        <v>1647</v>
      </c>
      <c r="B740" s="7">
        <v>45983</v>
      </c>
      <c r="C740" s="5" t="s">
        <v>135</v>
      </c>
      <c r="D740" s="5" t="s">
        <v>58</v>
      </c>
      <c r="E740" s="5" t="s">
        <v>295</v>
      </c>
      <c r="F740" s="2" t="s">
        <v>296</v>
      </c>
      <c r="G740" s="2">
        <v>12</v>
      </c>
      <c r="H740" s="25">
        <v>540</v>
      </c>
      <c r="I740" s="8">
        <v>15</v>
      </c>
      <c r="J740" s="25">
        <v>5508</v>
      </c>
      <c r="K740" s="25">
        <f>G740*H740</f>
        <v>6480</v>
      </c>
      <c r="L740" s="8">
        <f>K740*I740/100</f>
        <v>972</v>
      </c>
      <c r="M740" s="2" t="s">
        <v>94</v>
      </c>
      <c r="N740" s="2" t="s">
        <v>176</v>
      </c>
      <c r="O740" s="2">
        <v>2025</v>
      </c>
      <c r="P740" s="2" t="str">
        <v>November</v>
      </c>
      <c r="Q740" s="2" t="s">
        <v>47</v>
      </c>
    </row>
    <row r="741" spans="1:17" x14ac:dyDescent="0.25">
      <c r="A741" s="2" t="s">
        <v>1649</v>
      </c>
      <c r="B741" s="7">
        <v>45863</v>
      </c>
      <c r="C741" s="5" t="s">
        <v>135</v>
      </c>
      <c r="D741" s="5" t="s">
        <v>58</v>
      </c>
      <c r="E741" s="5" t="s">
        <v>148</v>
      </c>
      <c r="F741" s="2" t="s">
        <v>167</v>
      </c>
      <c r="G741" s="2">
        <v>12</v>
      </c>
      <c r="H741" s="25">
        <v>490</v>
      </c>
      <c r="I741" s="8">
        <v>0</v>
      </c>
      <c r="J741" s="25">
        <v>5880</v>
      </c>
      <c r="K741" s="25">
        <f>G741*H741</f>
        <v>5880</v>
      </c>
      <c r="L741" s="8">
        <f>K741*I741/100</f>
        <v>0</v>
      </c>
      <c r="M741" s="2" t="s">
        <v>102</v>
      </c>
      <c r="N741" s="2" t="s">
        <v>68</v>
      </c>
      <c r="O741" s="2">
        <v>2025</v>
      </c>
      <c r="P741" s="2" t="str">
        <v>July</v>
      </c>
      <c r="Q741" s="2" t="s">
        <v>21</v>
      </c>
    </row>
    <row r="742" spans="1:17" x14ac:dyDescent="0.25">
      <c r="A742" s="2" t="s">
        <v>1651</v>
      </c>
      <c r="B742" s="7">
        <v>45677</v>
      </c>
      <c r="C742" s="5" t="s">
        <v>238</v>
      </c>
      <c r="D742" s="5" t="s">
        <v>51</v>
      </c>
      <c r="E742" s="5" t="s">
        <v>25</v>
      </c>
      <c r="F742" s="2" t="s">
        <v>248</v>
      </c>
      <c r="G742" s="2">
        <v>7</v>
      </c>
      <c r="H742" s="25">
        <v>1180</v>
      </c>
      <c r="I742" s="8">
        <v>0</v>
      </c>
      <c r="J742" s="25">
        <v>8260</v>
      </c>
      <c r="K742" s="25">
        <f>G742*H742</f>
        <v>8260</v>
      </c>
      <c r="L742" s="8">
        <f>K742*I742/100</f>
        <v>0</v>
      </c>
      <c r="M742" s="2" t="s">
        <v>94</v>
      </c>
      <c r="N742" s="2" t="s">
        <v>411</v>
      </c>
      <c r="O742" s="2">
        <v>2025</v>
      </c>
      <c r="P742" s="2" t="str">
        <v>January</v>
      </c>
      <c r="Q742" s="2" t="s">
        <v>47</v>
      </c>
    </row>
    <row r="743" spans="1:17" x14ac:dyDescent="0.25">
      <c r="A743" s="2" t="s">
        <v>1653</v>
      </c>
      <c r="B743" s="7">
        <v>45668</v>
      </c>
      <c r="C743" s="5" t="s">
        <v>76</v>
      </c>
      <c r="D743" s="5" t="s">
        <v>33</v>
      </c>
      <c r="E743" s="5" t="s">
        <v>179</v>
      </c>
      <c r="F743" s="2" t="s">
        <v>224</v>
      </c>
      <c r="G743" s="2">
        <v>10</v>
      </c>
      <c r="H743" s="25">
        <v>6930</v>
      </c>
      <c r="I743" s="8">
        <v>0</v>
      </c>
      <c r="J743" s="25">
        <v>69300</v>
      </c>
      <c r="K743" s="25">
        <f>G743*H743</f>
        <v>69300</v>
      </c>
      <c r="L743" s="8">
        <f>K743*I743/100</f>
        <v>0</v>
      </c>
      <c r="M743" s="2" t="s">
        <v>53</v>
      </c>
      <c r="N743" s="2" t="s">
        <v>54</v>
      </c>
      <c r="O743" s="2">
        <v>2025</v>
      </c>
      <c r="P743" s="2" t="str">
        <v>January</v>
      </c>
      <c r="Q743" s="2" t="s">
        <v>47</v>
      </c>
    </row>
    <row r="744" spans="1:17" x14ac:dyDescent="0.25">
      <c r="A744" s="2" t="s">
        <v>1655</v>
      </c>
      <c r="B744" s="7">
        <v>45885</v>
      </c>
      <c r="C744" s="5" t="s">
        <v>156</v>
      </c>
      <c r="D744" s="5" t="s">
        <v>51</v>
      </c>
      <c r="E744" s="5" t="s">
        <v>25</v>
      </c>
      <c r="F744" s="2" t="s">
        <v>44</v>
      </c>
      <c r="G744" s="2">
        <v>7</v>
      </c>
      <c r="H744" s="25">
        <v>10860</v>
      </c>
      <c r="I744" s="8">
        <v>0</v>
      </c>
      <c r="J744" s="25">
        <v>76020</v>
      </c>
      <c r="K744" s="25">
        <f>G744*H744</f>
        <v>76020</v>
      </c>
      <c r="L744" s="8">
        <f>K744*I744/100</f>
        <v>0</v>
      </c>
      <c r="M744" s="2" t="s">
        <v>94</v>
      </c>
      <c r="N744" s="2" t="s">
        <v>168</v>
      </c>
      <c r="O744" s="2">
        <v>2025</v>
      </c>
      <c r="P744" s="2" t="str">
        <v>August</v>
      </c>
      <c r="Q744" s="2" t="s">
        <v>47</v>
      </c>
    </row>
    <row r="745" spans="1:17" x14ac:dyDescent="0.25">
      <c r="A745" s="2" t="s">
        <v>1657</v>
      </c>
      <c r="B745" s="7">
        <v>45984</v>
      </c>
      <c r="C745" s="5" t="s">
        <v>41</v>
      </c>
      <c r="D745" s="5" t="s">
        <v>42</v>
      </c>
      <c r="E745" s="5" t="s">
        <v>179</v>
      </c>
      <c r="F745" s="2" t="s">
        <v>115</v>
      </c>
      <c r="G745" s="2">
        <v>4</v>
      </c>
      <c r="H745" s="25">
        <v>41020</v>
      </c>
      <c r="I745" s="8">
        <v>0</v>
      </c>
      <c r="J745" s="25">
        <v>164080</v>
      </c>
      <c r="K745" s="25">
        <f>G745*H745</f>
        <v>164080</v>
      </c>
      <c r="L745" s="8">
        <f>K745*I745/100</f>
        <v>0</v>
      </c>
      <c r="M745" s="2" t="s">
        <v>139</v>
      </c>
      <c r="N745" s="2" t="s">
        <v>344</v>
      </c>
      <c r="O745" s="2">
        <v>2025</v>
      </c>
      <c r="P745" s="2" t="str">
        <v>November</v>
      </c>
      <c r="Q745" s="2" t="s">
        <v>47</v>
      </c>
    </row>
    <row r="746" spans="1:17" x14ac:dyDescent="0.25">
      <c r="A746" s="2" t="s">
        <v>1659</v>
      </c>
      <c r="B746" s="7">
        <v>45665</v>
      </c>
      <c r="C746" s="5" t="s">
        <v>156</v>
      </c>
      <c r="D746" s="5" t="s">
        <v>51</v>
      </c>
      <c r="E746" s="5" t="s">
        <v>148</v>
      </c>
      <c r="F746" s="2" t="s">
        <v>167</v>
      </c>
      <c r="G746" s="2">
        <v>2</v>
      </c>
      <c r="H746" s="25">
        <v>58630</v>
      </c>
      <c r="I746" s="8">
        <v>0</v>
      </c>
      <c r="J746" s="25">
        <v>117260</v>
      </c>
      <c r="K746" s="25">
        <f>G746*H746</f>
        <v>117260</v>
      </c>
      <c r="L746" s="8">
        <f>K746*I746/100</f>
        <v>0</v>
      </c>
      <c r="M746" s="2" t="s">
        <v>53</v>
      </c>
      <c r="N746" s="2" t="s">
        <v>266</v>
      </c>
      <c r="O746" s="2">
        <v>2025</v>
      </c>
      <c r="P746" s="2" t="str">
        <v>January</v>
      </c>
      <c r="Q746" s="2" t="s">
        <v>47</v>
      </c>
    </row>
    <row r="747" spans="1:17" x14ac:dyDescent="0.25">
      <c r="A747" s="2" t="s">
        <v>1661</v>
      </c>
      <c r="B747" s="7">
        <v>46004</v>
      </c>
      <c r="C747" s="5" t="s">
        <v>32</v>
      </c>
      <c r="D747" s="5" t="s">
        <v>33</v>
      </c>
      <c r="E747" s="5" t="s">
        <v>25</v>
      </c>
      <c r="F747" s="2" t="s">
        <v>93</v>
      </c>
      <c r="G747" s="2">
        <v>9</v>
      </c>
      <c r="H747" s="25">
        <v>490</v>
      </c>
      <c r="I747" s="8">
        <v>0</v>
      </c>
      <c r="J747" s="25">
        <v>4410</v>
      </c>
      <c r="K747" s="25">
        <f>G747*H747</f>
        <v>4410</v>
      </c>
      <c r="L747" s="8">
        <f>K747*I747/100</f>
        <v>0</v>
      </c>
      <c r="M747" s="2" t="s">
        <v>94</v>
      </c>
      <c r="N747" s="2" t="s">
        <v>411</v>
      </c>
      <c r="O747" s="2">
        <v>2025</v>
      </c>
      <c r="P747" s="2" t="str">
        <v>December</v>
      </c>
      <c r="Q747" s="2" t="s">
        <v>47</v>
      </c>
    </row>
    <row r="748" spans="1:17" x14ac:dyDescent="0.25">
      <c r="A748" s="2" t="s">
        <v>1663</v>
      </c>
      <c r="B748" s="7">
        <v>45891</v>
      </c>
      <c r="C748" s="5" t="s">
        <v>76</v>
      </c>
      <c r="D748" s="5" t="s">
        <v>33</v>
      </c>
      <c r="E748" s="5" t="s">
        <v>25</v>
      </c>
      <c r="F748" s="2" t="s">
        <v>115</v>
      </c>
      <c r="G748" s="2">
        <v>2</v>
      </c>
      <c r="H748" s="25">
        <v>2260</v>
      </c>
      <c r="I748" s="8">
        <v>5</v>
      </c>
      <c r="J748" s="25">
        <v>4294</v>
      </c>
      <c r="K748" s="25">
        <f>G748*H748</f>
        <v>4520</v>
      </c>
      <c r="L748" s="8">
        <f>K748*I748/100</f>
        <v>226</v>
      </c>
      <c r="M748" s="2" t="s">
        <v>94</v>
      </c>
      <c r="N748" s="2" t="s">
        <v>341</v>
      </c>
      <c r="O748" s="2">
        <v>2025</v>
      </c>
      <c r="P748" s="2" t="str">
        <v>August</v>
      </c>
      <c r="Q748" s="2" t="s">
        <v>47</v>
      </c>
    </row>
    <row r="749" spans="1:17" x14ac:dyDescent="0.25">
      <c r="A749" s="2" t="s">
        <v>1665</v>
      </c>
      <c r="B749" s="7">
        <v>45659</v>
      </c>
      <c r="C749" s="5" t="s">
        <v>41</v>
      </c>
      <c r="D749" s="5" t="s">
        <v>42</v>
      </c>
      <c r="E749" s="5" t="s">
        <v>34</v>
      </c>
      <c r="F749" s="2" t="s">
        <v>374</v>
      </c>
      <c r="G749" s="2">
        <v>2</v>
      </c>
      <c r="H749" s="25">
        <v>19370</v>
      </c>
      <c r="I749" s="8">
        <v>0</v>
      </c>
      <c r="J749" s="25">
        <v>38740</v>
      </c>
      <c r="K749" s="25">
        <f>G749*H749</f>
        <v>38740</v>
      </c>
      <c r="L749" s="8">
        <f>K749*I749/100</f>
        <v>0</v>
      </c>
      <c r="M749" s="2" t="s">
        <v>139</v>
      </c>
      <c r="N749" s="2" t="s">
        <v>54</v>
      </c>
      <c r="O749" s="2">
        <v>2025</v>
      </c>
      <c r="P749" s="2" t="str">
        <v>January</v>
      </c>
      <c r="Q749" s="2" t="s">
        <v>47</v>
      </c>
    </row>
    <row r="750" spans="1:17" x14ac:dyDescent="0.25">
      <c r="A750" s="2" t="s">
        <v>1666</v>
      </c>
      <c r="B750" s="7">
        <v>45673</v>
      </c>
      <c r="C750" s="5" t="s">
        <v>238</v>
      </c>
      <c r="D750" s="5" t="s">
        <v>51</v>
      </c>
      <c r="E750" s="5" t="s">
        <v>295</v>
      </c>
      <c r="F750" s="2" t="s">
        <v>126</v>
      </c>
      <c r="G750" s="2">
        <v>9</v>
      </c>
      <c r="H750" s="25">
        <v>13660</v>
      </c>
      <c r="I750" s="8">
        <v>15</v>
      </c>
      <c r="J750" s="25">
        <v>104499</v>
      </c>
      <c r="K750" s="25">
        <f>G750*H750</f>
        <v>122940</v>
      </c>
      <c r="L750" s="8">
        <f>K750*I750/100</f>
        <v>18441</v>
      </c>
      <c r="M750" s="2" t="s">
        <v>102</v>
      </c>
      <c r="N750" s="2" t="s">
        <v>341</v>
      </c>
      <c r="O750" s="2">
        <v>2025</v>
      </c>
      <c r="P750" s="2" t="str">
        <v>January</v>
      </c>
      <c r="Q750" s="2" t="s">
        <v>47</v>
      </c>
    </row>
    <row r="751" spans="1:17" x14ac:dyDescent="0.25">
      <c r="A751" s="2" t="s">
        <v>1668</v>
      </c>
      <c r="B751" s="7">
        <v>45786</v>
      </c>
      <c r="C751" s="5" t="s">
        <v>32</v>
      </c>
      <c r="D751" s="5" t="s">
        <v>33</v>
      </c>
      <c r="E751" s="5" t="s">
        <v>179</v>
      </c>
      <c r="F751" s="2" t="s">
        <v>543</v>
      </c>
      <c r="G751" s="2">
        <v>11</v>
      </c>
      <c r="H751" s="25">
        <v>1250</v>
      </c>
      <c r="I751" s="8">
        <v>0</v>
      </c>
      <c r="J751" s="25">
        <v>13750</v>
      </c>
      <c r="K751" s="25">
        <f>G751*H751</f>
        <v>13750</v>
      </c>
      <c r="L751" s="8">
        <f>K751*I751/100</f>
        <v>0</v>
      </c>
      <c r="M751" s="2" t="s">
        <v>94</v>
      </c>
      <c r="N751" s="2" t="s">
        <v>406</v>
      </c>
      <c r="O751" s="2">
        <v>2025</v>
      </c>
      <c r="P751" s="2" t="str">
        <v>May</v>
      </c>
      <c r="Q751" s="2" t="s">
        <v>21</v>
      </c>
    </row>
    <row r="752" spans="1:17" x14ac:dyDescent="0.25">
      <c r="A752" s="2" t="s">
        <v>1670</v>
      </c>
      <c r="B752" s="7">
        <v>45872</v>
      </c>
      <c r="C752" s="5" t="s">
        <v>135</v>
      </c>
      <c r="D752" s="5" t="s">
        <v>58</v>
      </c>
      <c r="E752" s="5" t="s">
        <v>179</v>
      </c>
      <c r="F752" s="2" t="s">
        <v>248</v>
      </c>
      <c r="G752" s="2">
        <v>9</v>
      </c>
      <c r="H752" s="25">
        <v>2610</v>
      </c>
      <c r="I752" s="8">
        <v>5</v>
      </c>
      <c r="J752" s="25">
        <v>22315.5</v>
      </c>
      <c r="K752" s="25">
        <f>G752*H752</f>
        <v>23490</v>
      </c>
      <c r="L752" s="8">
        <f>K752*I752/100</f>
        <v>1174.5</v>
      </c>
      <c r="M752" s="2" t="s">
        <v>139</v>
      </c>
      <c r="N752" s="2" t="s">
        <v>79</v>
      </c>
      <c r="O752" s="2">
        <v>2025</v>
      </c>
      <c r="P752" s="2" t="str">
        <v>August</v>
      </c>
      <c r="Q752" s="2" t="s">
        <v>47</v>
      </c>
    </row>
    <row r="753" spans="1:17" x14ac:dyDescent="0.25">
      <c r="A753" s="2" t="s">
        <v>1671</v>
      </c>
      <c r="B753" s="7">
        <v>45737</v>
      </c>
      <c r="C753" s="5" t="s">
        <v>41</v>
      </c>
      <c r="D753" s="5" t="s">
        <v>42</v>
      </c>
      <c r="E753" s="5" t="s">
        <v>34</v>
      </c>
      <c r="F753" s="2" t="s">
        <v>164</v>
      </c>
      <c r="G753" s="2">
        <v>9</v>
      </c>
      <c r="H753" s="25">
        <v>59930</v>
      </c>
      <c r="I753" s="8">
        <v>0</v>
      </c>
      <c r="J753" s="25">
        <v>539370</v>
      </c>
      <c r="K753" s="25">
        <f>G753*H753</f>
        <v>539370</v>
      </c>
      <c r="L753" s="8">
        <f>K753*I753/100</f>
        <v>0</v>
      </c>
      <c r="M753" s="2" t="s">
        <v>102</v>
      </c>
      <c r="N753" s="2" t="s">
        <v>344</v>
      </c>
      <c r="O753" s="2">
        <v>2025</v>
      </c>
      <c r="P753" s="2" t="str">
        <v>March</v>
      </c>
      <c r="Q753" s="2" t="s">
        <v>47</v>
      </c>
    </row>
    <row r="754" spans="1:17" x14ac:dyDescent="0.25">
      <c r="A754" s="2" t="s">
        <v>1672</v>
      </c>
      <c r="B754" s="7">
        <v>45704</v>
      </c>
      <c r="C754" s="5" t="s">
        <v>238</v>
      </c>
      <c r="D754" s="5" t="s">
        <v>33</v>
      </c>
      <c r="E754" s="5" t="s">
        <v>179</v>
      </c>
      <c r="F754" s="2" t="s">
        <v>232</v>
      </c>
      <c r="G754" s="2">
        <v>1</v>
      </c>
      <c r="H754" s="25">
        <v>3620</v>
      </c>
      <c r="I754" s="8">
        <v>0</v>
      </c>
      <c r="J754" s="25">
        <v>3620</v>
      </c>
      <c r="K754" s="25">
        <f>G754*H754</f>
        <v>3620</v>
      </c>
      <c r="L754" s="8">
        <f>K754*I754/100</f>
        <v>0</v>
      </c>
      <c r="M754" s="2" t="s">
        <v>94</v>
      </c>
      <c r="N754" s="2" t="s">
        <v>176</v>
      </c>
      <c r="O754" s="2">
        <v>2025</v>
      </c>
      <c r="P754" s="2" t="str">
        <v>February</v>
      </c>
      <c r="Q754" s="2" t="s">
        <v>47</v>
      </c>
    </row>
    <row r="755" spans="1:17" x14ac:dyDescent="0.25">
      <c r="A755" s="2" t="s">
        <v>1673</v>
      </c>
      <c r="B755" s="7">
        <v>45910</v>
      </c>
      <c r="C755" s="5" t="s">
        <v>76</v>
      </c>
      <c r="D755" s="5" t="s">
        <v>33</v>
      </c>
      <c r="E755" s="5" t="s">
        <v>25</v>
      </c>
      <c r="F755" s="2" t="s">
        <v>248</v>
      </c>
      <c r="G755" s="2">
        <v>7</v>
      </c>
      <c r="H755" s="25">
        <v>1140</v>
      </c>
      <c r="I755" s="8">
        <v>15</v>
      </c>
      <c r="J755" s="25">
        <v>6783</v>
      </c>
      <c r="K755" s="25">
        <f>G755*H755</f>
        <v>7980</v>
      </c>
      <c r="L755" s="8">
        <f>K755*I755/100</f>
        <v>1197</v>
      </c>
      <c r="M755" s="2" t="s">
        <v>94</v>
      </c>
      <c r="N755" s="2" t="s">
        <v>79</v>
      </c>
      <c r="O755" s="2">
        <v>2025</v>
      </c>
      <c r="P755" s="2" t="str">
        <v>September</v>
      </c>
      <c r="Q755" s="2" t="s">
        <v>21</v>
      </c>
    </row>
    <row r="756" spans="1:17" x14ac:dyDescent="0.25">
      <c r="A756" s="2" t="s">
        <v>1675</v>
      </c>
      <c r="B756" s="7">
        <v>45930</v>
      </c>
      <c r="C756" s="5" t="s">
        <v>41</v>
      </c>
      <c r="D756" s="5" t="s">
        <v>42</v>
      </c>
      <c r="E756" s="5" t="s">
        <v>179</v>
      </c>
      <c r="F756" s="2" t="s">
        <v>26</v>
      </c>
      <c r="G756" s="2">
        <v>10</v>
      </c>
      <c r="H756" s="25">
        <v>17220</v>
      </c>
      <c r="I756" s="8">
        <v>0</v>
      </c>
      <c r="J756" s="25">
        <v>172200</v>
      </c>
      <c r="K756" s="25">
        <f>G756*H756</f>
        <v>172200</v>
      </c>
      <c r="L756" s="8">
        <f>K756*I756/100</f>
        <v>0</v>
      </c>
      <c r="M756" s="2" t="s">
        <v>53</v>
      </c>
      <c r="N756" s="2" t="s">
        <v>266</v>
      </c>
      <c r="O756" s="2">
        <v>2025</v>
      </c>
      <c r="P756" s="2" t="str">
        <v>September</v>
      </c>
      <c r="Q756" s="2" t="s">
        <v>47</v>
      </c>
    </row>
    <row r="757" spans="1:17" x14ac:dyDescent="0.25">
      <c r="A757" s="2" t="s">
        <v>1677</v>
      </c>
      <c r="B757" s="7">
        <v>45968</v>
      </c>
      <c r="C757" s="5" t="s">
        <v>238</v>
      </c>
      <c r="D757" s="5" t="s">
        <v>51</v>
      </c>
      <c r="E757" s="5" t="s">
        <v>34</v>
      </c>
      <c r="F757" s="2" t="s">
        <v>171</v>
      </c>
      <c r="G757" s="2">
        <v>4</v>
      </c>
      <c r="H757" s="25">
        <v>64990</v>
      </c>
      <c r="I757" s="8">
        <v>10</v>
      </c>
      <c r="J757" s="25">
        <v>233964</v>
      </c>
      <c r="K757" s="25">
        <f>G757*H757</f>
        <v>259960</v>
      </c>
      <c r="L757" s="8">
        <f>K757*I757/100</f>
        <v>25996</v>
      </c>
      <c r="M757" s="2" t="s">
        <v>102</v>
      </c>
      <c r="N757" s="2" t="s">
        <v>406</v>
      </c>
      <c r="O757" s="2">
        <v>2025</v>
      </c>
      <c r="P757" s="2" t="str">
        <v>November</v>
      </c>
      <c r="Q757" s="2" t="s">
        <v>47</v>
      </c>
    </row>
    <row r="758" spans="1:17" x14ac:dyDescent="0.25">
      <c r="A758" s="2" t="s">
        <v>1678</v>
      </c>
      <c r="B758" s="7">
        <v>45716</v>
      </c>
      <c r="C758" s="5" t="s">
        <v>156</v>
      </c>
      <c r="D758" s="5" t="s">
        <v>51</v>
      </c>
      <c r="E758" s="5" t="s">
        <v>25</v>
      </c>
      <c r="F758" s="2" t="s">
        <v>93</v>
      </c>
      <c r="G758" s="2">
        <v>10</v>
      </c>
      <c r="H758" s="25">
        <v>2470</v>
      </c>
      <c r="I758" s="8">
        <v>0</v>
      </c>
      <c r="J758" s="25">
        <v>24700</v>
      </c>
      <c r="K758" s="25">
        <f>G758*H758</f>
        <v>24700</v>
      </c>
      <c r="L758" s="8">
        <f>K758*I758/100</f>
        <v>0</v>
      </c>
      <c r="M758" s="2" t="s">
        <v>53</v>
      </c>
      <c r="N758" s="2" t="s">
        <v>411</v>
      </c>
      <c r="O758" s="2">
        <v>2025</v>
      </c>
      <c r="P758" s="2" t="str">
        <v>February</v>
      </c>
      <c r="Q758" s="2" t="s">
        <v>21</v>
      </c>
    </row>
    <row r="759" spans="1:17" x14ac:dyDescent="0.25">
      <c r="A759" s="2" t="s">
        <v>1680</v>
      </c>
      <c r="B759" s="7">
        <v>45945</v>
      </c>
      <c r="C759" s="5" t="s">
        <v>41</v>
      </c>
      <c r="D759" s="5" t="s">
        <v>42</v>
      </c>
      <c r="E759" s="5" t="s">
        <v>148</v>
      </c>
      <c r="F759" s="2" t="s">
        <v>379</v>
      </c>
      <c r="G759" s="2">
        <v>12</v>
      </c>
      <c r="H759" s="25">
        <v>2640</v>
      </c>
      <c r="I759" s="8">
        <v>0</v>
      </c>
      <c r="J759" s="25">
        <v>31680</v>
      </c>
      <c r="K759" s="25">
        <f>G759*H759</f>
        <v>31680</v>
      </c>
      <c r="L759" s="8">
        <f>K759*I759/100</f>
        <v>0</v>
      </c>
      <c r="M759" s="2" t="s">
        <v>94</v>
      </c>
      <c r="N759" s="2" t="s">
        <v>341</v>
      </c>
      <c r="O759" s="2">
        <v>2025</v>
      </c>
      <c r="P759" s="2" t="str">
        <v>October</v>
      </c>
      <c r="Q759" s="2" t="s">
        <v>47</v>
      </c>
    </row>
    <row r="760" spans="1:17" x14ac:dyDescent="0.25">
      <c r="A760" s="2" t="s">
        <v>1682</v>
      </c>
      <c r="B760" s="7">
        <v>45802</v>
      </c>
      <c r="C760" s="5" t="s">
        <v>135</v>
      </c>
      <c r="D760" s="5" t="s">
        <v>51</v>
      </c>
      <c r="E760" s="5" t="s">
        <v>179</v>
      </c>
      <c r="F760" s="2" t="s">
        <v>543</v>
      </c>
      <c r="G760" s="2">
        <v>11</v>
      </c>
      <c r="H760" s="25">
        <v>45180</v>
      </c>
      <c r="I760" s="8">
        <v>0</v>
      </c>
      <c r="J760" s="25">
        <v>496980</v>
      </c>
      <c r="K760" s="25">
        <f>G760*H760</f>
        <v>496980</v>
      </c>
      <c r="L760" s="8">
        <f>K760*I760/100</f>
        <v>0</v>
      </c>
      <c r="M760" s="2" t="s">
        <v>53</v>
      </c>
      <c r="N760" s="2" t="s">
        <v>68</v>
      </c>
      <c r="O760" s="2">
        <v>2025</v>
      </c>
      <c r="P760" s="2" t="str">
        <v>May</v>
      </c>
      <c r="Q760" s="2" t="s">
        <v>47</v>
      </c>
    </row>
    <row r="761" spans="1:17" x14ac:dyDescent="0.25">
      <c r="A761" s="2" t="s">
        <v>1684</v>
      </c>
      <c r="B761" s="7">
        <v>45727</v>
      </c>
      <c r="C761" s="5" t="s">
        <v>135</v>
      </c>
      <c r="D761" s="5" t="s">
        <v>58</v>
      </c>
      <c r="E761" s="5" t="s">
        <v>295</v>
      </c>
      <c r="F761" s="2" t="s">
        <v>101</v>
      </c>
      <c r="G761" s="2">
        <v>10</v>
      </c>
      <c r="H761" s="25">
        <v>23900</v>
      </c>
      <c r="I761" s="8">
        <v>0</v>
      </c>
      <c r="J761" s="25">
        <v>239000</v>
      </c>
      <c r="K761" s="25">
        <f>G761*H761</f>
        <v>239000</v>
      </c>
      <c r="L761" s="8">
        <f>K761*I761/100</f>
        <v>0</v>
      </c>
      <c r="M761" s="2" t="s">
        <v>139</v>
      </c>
      <c r="N761" s="2" t="s">
        <v>344</v>
      </c>
      <c r="O761" s="2">
        <v>2025</v>
      </c>
      <c r="P761" s="2" t="str">
        <v>March</v>
      </c>
      <c r="Q761" s="2" t="s">
        <v>21</v>
      </c>
    </row>
    <row r="762" spans="1:17" x14ac:dyDescent="0.25">
      <c r="A762" s="2" t="s">
        <v>1685</v>
      </c>
      <c r="B762" s="7">
        <v>45749</v>
      </c>
      <c r="C762" s="5" t="s">
        <v>76</v>
      </c>
      <c r="D762" s="5" t="s">
        <v>33</v>
      </c>
      <c r="E762" s="5" t="s">
        <v>34</v>
      </c>
      <c r="F762" s="2" t="s">
        <v>374</v>
      </c>
      <c r="G762" s="2">
        <v>9</v>
      </c>
      <c r="H762" s="25">
        <v>500</v>
      </c>
      <c r="I762" s="8">
        <v>10</v>
      </c>
      <c r="J762" s="25">
        <v>4050</v>
      </c>
      <c r="K762" s="25">
        <f>G762*H762</f>
        <v>4500</v>
      </c>
      <c r="L762" s="8">
        <f>K762*I762/100</f>
        <v>450</v>
      </c>
      <c r="M762" s="2" t="s">
        <v>139</v>
      </c>
      <c r="N762" s="2" t="s">
        <v>176</v>
      </c>
      <c r="O762" s="2">
        <v>2025</v>
      </c>
      <c r="P762" s="2" t="str">
        <v>April</v>
      </c>
      <c r="Q762" s="2" t="s">
        <v>47</v>
      </c>
    </row>
    <row r="763" spans="1:17" x14ac:dyDescent="0.25">
      <c r="A763" s="2" t="s">
        <v>1687</v>
      </c>
      <c r="B763" s="7">
        <v>45968</v>
      </c>
      <c r="C763" s="5" t="s">
        <v>24</v>
      </c>
      <c r="D763" s="5" t="s">
        <v>16</v>
      </c>
      <c r="E763" s="5" t="s">
        <v>34</v>
      </c>
      <c r="F763" s="2" t="s">
        <v>71</v>
      </c>
      <c r="G763" s="2">
        <v>4</v>
      </c>
      <c r="H763" s="25">
        <v>17830</v>
      </c>
      <c r="I763" s="8">
        <v>0</v>
      </c>
      <c r="J763" s="25">
        <v>71320</v>
      </c>
      <c r="K763" s="25">
        <f>G763*H763</f>
        <v>71320</v>
      </c>
      <c r="L763" s="8">
        <f>K763*I763/100</f>
        <v>0</v>
      </c>
      <c r="M763" s="2" t="s">
        <v>139</v>
      </c>
      <c r="N763" s="2" t="s">
        <v>406</v>
      </c>
      <c r="O763" s="2">
        <v>2025</v>
      </c>
      <c r="P763" s="2" t="str">
        <v>November</v>
      </c>
      <c r="Q763" s="2" t="s">
        <v>21</v>
      </c>
    </row>
    <row r="764" spans="1:17" x14ac:dyDescent="0.25">
      <c r="A764" s="2" t="s">
        <v>1689</v>
      </c>
      <c r="B764" s="7">
        <v>45886</v>
      </c>
      <c r="C764" s="5" t="s">
        <v>238</v>
      </c>
      <c r="D764" s="5" t="s">
        <v>51</v>
      </c>
      <c r="E764" s="5" t="s">
        <v>295</v>
      </c>
      <c r="F764" s="2" t="s">
        <v>66</v>
      </c>
      <c r="G764" s="2">
        <v>12</v>
      </c>
      <c r="H764" s="25">
        <v>4780</v>
      </c>
      <c r="I764" s="8">
        <v>5</v>
      </c>
      <c r="J764" s="25">
        <v>54492</v>
      </c>
      <c r="K764" s="25">
        <f>G764*H764</f>
        <v>57360</v>
      </c>
      <c r="L764" s="8">
        <f>K764*I764/100</f>
        <v>2868</v>
      </c>
      <c r="M764" s="2" t="s">
        <v>139</v>
      </c>
      <c r="N764" s="2" t="s">
        <v>37</v>
      </c>
      <c r="O764" s="2">
        <v>2025</v>
      </c>
      <c r="P764" s="2" t="str">
        <v>August</v>
      </c>
      <c r="Q764" s="2" t="s">
        <v>21</v>
      </c>
    </row>
    <row r="765" spans="1:17" x14ac:dyDescent="0.25">
      <c r="A765" s="2" t="s">
        <v>1691</v>
      </c>
      <c r="B765" s="7">
        <v>45718</v>
      </c>
      <c r="C765" s="5" t="s">
        <v>24</v>
      </c>
      <c r="D765" s="5" t="s">
        <v>16</v>
      </c>
      <c r="E765" s="5" t="s">
        <v>148</v>
      </c>
      <c r="F765" s="2" t="s">
        <v>167</v>
      </c>
      <c r="G765" s="2">
        <v>1</v>
      </c>
      <c r="H765" s="25">
        <v>8020</v>
      </c>
      <c r="I765" s="8">
        <v>15</v>
      </c>
      <c r="J765" s="25">
        <v>6817</v>
      </c>
      <c r="K765" s="25">
        <f>G765*H765</f>
        <v>8020</v>
      </c>
      <c r="L765" s="8">
        <f>K765*I765/100</f>
        <v>1203</v>
      </c>
      <c r="M765" s="2" t="s">
        <v>53</v>
      </c>
      <c r="N765" s="2" t="s">
        <v>411</v>
      </c>
      <c r="O765" s="2">
        <v>2025</v>
      </c>
      <c r="P765" s="2" t="str">
        <v>March</v>
      </c>
      <c r="Q765" s="2" t="s">
        <v>47</v>
      </c>
    </row>
    <row r="766" spans="1:17" x14ac:dyDescent="0.25">
      <c r="A766" s="2" t="s">
        <v>1692</v>
      </c>
      <c r="B766" s="7">
        <v>45704</v>
      </c>
      <c r="C766" s="5" t="s">
        <v>135</v>
      </c>
      <c r="D766" s="5" t="s">
        <v>33</v>
      </c>
      <c r="E766" s="5" t="s">
        <v>148</v>
      </c>
      <c r="F766" s="2" t="s">
        <v>167</v>
      </c>
      <c r="G766" s="2">
        <v>4</v>
      </c>
      <c r="H766" s="25">
        <v>3300</v>
      </c>
      <c r="I766" s="8">
        <v>5</v>
      </c>
      <c r="J766" s="25">
        <v>12540</v>
      </c>
      <c r="K766" s="25">
        <f>G766*H766</f>
        <v>13200</v>
      </c>
      <c r="L766" s="8">
        <f>K766*I766/100</f>
        <v>660</v>
      </c>
      <c r="M766" s="2" t="s">
        <v>53</v>
      </c>
      <c r="N766" s="2" t="s">
        <v>176</v>
      </c>
      <c r="O766" s="2">
        <v>2025</v>
      </c>
      <c r="P766" s="2" t="str">
        <v>February</v>
      </c>
      <c r="Q766" s="2" t="s">
        <v>47</v>
      </c>
    </row>
    <row r="767" spans="1:17" x14ac:dyDescent="0.25">
      <c r="A767" s="2" t="s">
        <v>1693</v>
      </c>
      <c r="B767" s="7">
        <v>45985</v>
      </c>
      <c r="C767" s="5" t="s">
        <v>24</v>
      </c>
      <c r="D767" s="5" t="s">
        <v>16</v>
      </c>
      <c r="E767" s="5" t="s">
        <v>148</v>
      </c>
      <c r="F767" s="2" t="s">
        <v>209</v>
      </c>
      <c r="G767" s="2">
        <v>10</v>
      </c>
      <c r="H767" s="25">
        <v>45070</v>
      </c>
      <c r="I767" s="8">
        <v>0</v>
      </c>
      <c r="J767" s="25">
        <v>450700</v>
      </c>
      <c r="K767" s="25">
        <f>G767*H767</f>
        <v>450700</v>
      </c>
      <c r="L767" s="8">
        <f>K767*I767/100</f>
        <v>0</v>
      </c>
      <c r="M767" s="2" t="s">
        <v>102</v>
      </c>
      <c r="N767" s="2" t="s">
        <v>341</v>
      </c>
      <c r="O767" s="2">
        <v>2025</v>
      </c>
      <c r="P767" s="2" t="str">
        <v>November</v>
      </c>
      <c r="Q767" s="2" t="s">
        <v>21</v>
      </c>
    </row>
    <row r="768" spans="1:17" x14ac:dyDescent="0.25">
      <c r="A768" s="2" t="s">
        <v>1694</v>
      </c>
      <c r="B768" s="7">
        <v>45697</v>
      </c>
      <c r="C768" s="5" t="s">
        <v>76</v>
      </c>
      <c r="D768" s="5" t="s">
        <v>33</v>
      </c>
      <c r="E768" s="5" t="s">
        <v>295</v>
      </c>
      <c r="F768" s="2" t="s">
        <v>319</v>
      </c>
      <c r="G768" s="2">
        <v>5</v>
      </c>
      <c r="H768" s="25">
        <v>2670</v>
      </c>
      <c r="I768" s="8">
        <v>0</v>
      </c>
      <c r="J768" s="25">
        <v>13350</v>
      </c>
      <c r="K768" s="25">
        <f>G768*H768</f>
        <v>13350</v>
      </c>
      <c r="L768" s="8">
        <f>K768*I768/100</f>
        <v>0</v>
      </c>
      <c r="M768" s="2" t="s">
        <v>94</v>
      </c>
      <c r="N768" s="2" t="s">
        <v>73</v>
      </c>
      <c r="O768" s="2">
        <v>2025</v>
      </c>
      <c r="P768" s="2" t="str">
        <v>February</v>
      </c>
      <c r="Q768" s="2" t="s">
        <v>47</v>
      </c>
    </row>
    <row r="769" spans="1:17" x14ac:dyDescent="0.25">
      <c r="A769" s="2" t="s">
        <v>1695</v>
      </c>
      <c r="B769" s="7">
        <v>45850</v>
      </c>
      <c r="C769" s="5" t="s">
        <v>135</v>
      </c>
      <c r="D769" s="5" t="s">
        <v>58</v>
      </c>
      <c r="E769" s="5" t="s">
        <v>148</v>
      </c>
      <c r="F769" s="2" t="s">
        <v>149</v>
      </c>
      <c r="G769" s="2">
        <v>11</v>
      </c>
      <c r="H769" s="25">
        <v>45860</v>
      </c>
      <c r="I769" s="8">
        <v>0</v>
      </c>
      <c r="J769" s="25">
        <v>504460</v>
      </c>
      <c r="K769" s="25">
        <f>G769*H769</f>
        <v>504460</v>
      </c>
      <c r="L769" s="8">
        <f>K769*I769/100</f>
        <v>0</v>
      </c>
      <c r="M769" s="2" t="s">
        <v>102</v>
      </c>
      <c r="N769" s="2" t="s">
        <v>883</v>
      </c>
      <c r="O769" s="2">
        <v>2025</v>
      </c>
      <c r="P769" s="2" t="str">
        <v>July</v>
      </c>
      <c r="Q769" s="2" t="s">
        <v>47</v>
      </c>
    </row>
    <row r="770" spans="1:17" x14ac:dyDescent="0.25">
      <c r="A770" s="2" t="s">
        <v>1696</v>
      </c>
      <c r="B770" s="7">
        <v>45891</v>
      </c>
      <c r="C770" s="5" t="s">
        <v>238</v>
      </c>
      <c r="D770" s="5" t="s">
        <v>51</v>
      </c>
      <c r="E770" s="5" t="s">
        <v>34</v>
      </c>
      <c r="F770" s="2" t="s">
        <v>290</v>
      </c>
      <c r="G770" s="2">
        <v>12</v>
      </c>
      <c r="H770" s="25">
        <v>2530</v>
      </c>
      <c r="I770" s="8">
        <v>0</v>
      </c>
      <c r="J770" s="25">
        <v>30360</v>
      </c>
      <c r="K770" s="25">
        <f>G770*H770</f>
        <v>30360</v>
      </c>
      <c r="L770" s="8">
        <f>K770*I770/100</f>
        <v>0</v>
      </c>
      <c r="M770" s="2" t="s">
        <v>94</v>
      </c>
      <c r="N770" s="2" t="s">
        <v>341</v>
      </c>
      <c r="O770" s="2">
        <v>2025</v>
      </c>
      <c r="P770" s="2" t="str">
        <v>August</v>
      </c>
      <c r="Q770" s="2" t="s">
        <v>21</v>
      </c>
    </row>
    <row r="771" spans="1:17" x14ac:dyDescent="0.25">
      <c r="A771" s="2" t="s">
        <v>1698</v>
      </c>
      <c r="B771" s="7">
        <v>45691</v>
      </c>
      <c r="C771" s="5" t="s">
        <v>238</v>
      </c>
      <c r="D771" s="5" t="s">
        <v>51</v>
      </c>
      <c r="E771" s="5" t="s">
        <v>148</v>
      </c>
      <c r="F771" s="2" t="s">
        <v>83</v>
      </c>
      <c r="G771" s="2">
        <v>9</v>
      </c>
      <c r="H771" s="25">
        <v>62920</v>
      </c>
      <c r="I771" s="8">
        <v>0</v>
      </c>
      <c r="J771" s="25">
        <v>566280</v>
      </c>
      <c r="K771" s="25">
        <f>G771*H771</f>
        <v>566280</v>
      </c>
      <c r="L771" s="8">
        <f>K771*I771/100</f>
        <v>0</v>
      </c>
      <c r="M771" s="2" t="s">
        <v>139</v>
      </c>
      <c r="N771" s="2" t="s">
        <v>46</v>
      </c>
      <c r="O771" s="2">
        <v>2025</v>
      </c>
      <c r="P771" s="2" t="str">
        <v>February</v>
      </c>
      <c r="Q771" s="2" t="s">
        <v>47</v>
      </c>
    </row>
    <row r="772" spans="1:17" x14ac:dyDescent="0.25">
      <c r="A772" s="2" t="s">
        <v>1699</v>
      </c>
      <c r="B772" s="7">
        <v>45809</v>
      </c>
      <c r="C772" s="5" t="s">
        <v>76</v>
      </c>
      <c r="D772" s="5" t="s">
        <v>33</v>
      </c>
      <c r="E772" s="5" t="s">
        <v>25</v>
      </c>
      <c r="F772" s="2" t="s">
        <v>93</v>
      </c>
      <c r="G772" s="2">
        <v>8</v>
      </c>
      <c r="H772" s="25">
        <v>17610</v>
      </c>
      <c r="I772" s="8">
        <v>5</v>
      </c>
      <c r="J772" s="25">
        <v>133836</v>
      </c>
      <c r="K772" s="25">
        <f>G772*H772</f>
        <v>140880</v>
      </c>
      <c r="L772" s="8">
        <f>K772*I772/100</f>
        <v>7044</v>
      </c>
      <c r="M772" s="2" t="s">
        <v>102</v>
      </c>
      <c r="N772" s="2" t="s">
        <v>266</v>
      </c>
      <c r="O772" s="2">
        <v>2025</v>
      </c>
      <c r="P772" s="2" t="str">
        <v>June</v>
      </c>
      <c r="Q772" s="2" t="s">
        <v>21</v>
      </c>
    </row>
    <row r="773" spans="1:17" x14ac:dyDescent="0.25">
      <c r="A773" s="2" t="s">
        <v>1701</v>
      </c>
      <c r="B773" s="7">
        <v>45759</v>
      </c>
      <c r="C773" s="5" t="s">
        <v>41</v>
      </c>
      <c r="D773" s="5" t="s">
        <v>42</v>
      </c>
      <c r="E773" s="5" t="s">
        <v>148</v>
      </c>
      <c r="F773" s="2" t="s">
        <v>149</v>
      </c>
      <c r="G773" s="2">
        <v>4</v>
      </c>
      <c r="H773" s="25">
        <v>12010</v>
      </c>
      <c r="I773" s="8">
        <v>15</v>
      </c>
      <c r="J773" s="25">
        <v>40834</v>
      </c>
      <c r="K773" s="25">
        <f>G773*H773</f>
        <v>48040</v>
      </c>
      <c r="L773" s="8">
        <f>K773*I773/100</f>
        <v>7206</v>
      </c>
      <c r="M773" s="2" t="s">
        <v>94</v>
      </c>
      <c r="N773" s="2" t="s">
        <v>344</v>
      </c>
      <c r="O773" s="2">
        <v>2025</v>
      </c>
      <c r="P773" s="2" t="str">
        <v>April</v>
      </c>
      <c r="Q773" s="2" t="s">
        <v>47</v>
      </c>
    </row>
    <row r="774" spans="1:17" x14ac:dyDescent="0.25">
      <c r="A774" s="2" t="s">
        <v>1703</v>
      </c>
      <c r="B774" s="7">
        <v>45695</v>
      </c>
      <c r="C774" s="5" t="s">
        <v>238</v>
      </c>
      <c r="D774" s="5" t="s">
        <v>51</v>
      </c>
      <c r="E774" s="5" t="s">
        <v>179</v>
      </c>
      <c r="F774" s="2" t="s">
        <v>18</v>
      </c>
      <c r="G774" s="2">
        <v>7</v>
      </c>
      <c r="H774" s="25">
        <v>26070</v>
      </c>
      <c r="I774" s="8">
        <v>0</v>
      </c>
      <c r="J774" s="25">
        <v>182490</v>
      </c>
      <c r="K774" s="25">
        <f>G774*H774</f>
        <v>182490</v>
      </c>
      <c r="L774" s="8">
        <f>K774*I774/100</f>
        <v>0</v>
      </c>
      <c r="M774" s="2" t="s">
        <v>139</v>
      </c>
      <c r="N774" s="2" t="s">
        <v>73</v>
      </c>
      <c r="O774" s="2">
        <v>2025</v>
      </c>
      <c r="P774" s="2" t="str">
        <v>February</v>
      </c>
      <c r="Q774" s="2" t="s">
        <v>21</v>
      </c>
    </row>
    <row r="775" spans="1:17" x14ac:dyDescent="0.25">
      <c r="A775" s="2" t="s">
        <v>1704</v>
      </c>
      <c r="B775" s="7">
        <v>45705</v>
      </c>
      <c r="C775" s="5" t="s">
        <v>135</v>
      </c>
      <c r="D775" s="5" t="s">
        <v>58</v>
      </c>
      <c r="E775" s="5" t="s">
        <v>34</v>
      </c>
      <c r="F775" s="2" t="s">
        <v>71</v>
      </c>
      <c r="G775" s="2">
        <v>4</v>
      </c>
      <c r="H775" s="25">
        <v>24670</v>
      </c>
      <c r="I775" s="8">
        <v>0</v>
      </c>
      <c r="J775" s="25">
        <v>98680</v>
      </c>
      <c r="K775" s="25">
        <f>G775*H775</f>
        <v>98680</v>
      </c>
      <c r="L775" s="8">
        <f>K775*I775/100</f>
        <v>0</v>
      </c>
      <c r="M775" s="2" t="s">
        <v>139</v>
      </c>
      <c r="N775" s="2" t="s">
        <v>176</v>
      </c>
      <c r="O775" s="2">
        <v>2025</v>
      </c>
      <c r="P775" s="2" t="str">
        <v>February</v>
      </c>
      <c r="Q775" s="2" t="s">
        <v>21</v>
      </c>
    </row>
    <row r="776" spans="1:17" x14ac:dyDescent="0.25">
      <c r="A776" s="2" t="s">
        <v>1706</v>
      </c>
      <c r="B776" s="7">
        <v>45664</v>
      </c>
      <c r="C776" s="5" t="s">
        <v>32</v>
      </c>
      <c r="D776" s="5" t="s">
        <v>33</v>
      </c>
      <c r="E776" s="5" t="s">
        <v>179</v>
      </c>
      <c r="F776" s="2" t="s">
        <v>101</v>
      </c>
      <c r="G776" s="2">
        <v>4</v>
      </c>
      <c r="H776" s="25">
        <v>7370</v>
      </c>
      <c r="I776" s="8">
        <v>5</v>
      </c>
      <c r="J776" s="25">
        <v>28006</v>
      </c>
      <c r="K776" s="25">
        <f>G776*H776</f>
        <v>29480</v>
      </c>
      <c r="L776" s="8">
        <f>K776*I776/100</f>
        <v>1474</v>
      </c>
      <c r="M776" s="2" t="s">
        <v>102</v>
      </c>
      <c r="N776" s="2" t="s">
        <v>188</v>
      </c>
      <c r="O776" s="2">
        <v>2025</v>
      </c>
      <c r="P776" s="2" t="str">
        <v>January</v>
      </c>
      <c r="Q776" s="2" t="s">
        <v>21</v>
      </c>
    </row>
    <row r="777" spans="1:17" x14ac:dyDescent="0.25">
      <c r="A777" s="2" t="s">
        <v>1707</v>
      </c>
      <c r="B777" s="7">
        <v>45857</v>
      </c>
      <c r="C777" s="5" t="s">
        <v>32</v>
      </c>
      <c r="D777" s="5" t="s">
        <v>33</v>
      </c>
      <c r="E777" s="5" t="s">
        <v>34</v>
      </c>
      <c r="F777" s="2" t="s">
        <v>199</v>
      </c>
      <c r="G777" s="2">
        <v>1</v>
      </c>
      <c r="H777" s="25">
        <v>62720</v>
      </c>
      <c r="I777" s="8">
        <v>0</v>
      </c>
      <c r="J777" s="25">
        <v>62720</v>
      </c>
      <c r="K777" s="25">
        <f>G777*H777</f>
        <v>62720</v>
      </c>
      <c r="L777" s="8">
        <f>K777*I777/100</f>
        <v>0</v>
      </c>
      <c r="M777" s="2" t="s">
        <v>139</v>
      </c>
      <c r="N777" s="2" t="s">
        <v>411</v>
      </c>
      <c r="O777" s="2">
        <v>2025</v>
      </c>
      <c r="P777" s="2" t="str">
        <v>July</v>
      </c>
      <c r="Q777" s="2" t="s">
        <v>47</v>
      </c>
    </row>
    <row r="778" spans="1:17" x14ac:dyDescent="0.25">
      <c r="A778" s="2" t="s">
        <v>1708</v>
      </c>
      <c r="B778" s="7">
        <v>45847</v>
      </c>
      <c r="C778" s="5" t="s">
        <v>32</v>
      </c>
      <c r="D778" s="5" t="s">
        <v>33</v>
      </c>
      <c r="E778" s="5" t="s">
        <v>179</v>
      </c>
      <c r="F778" s="2" t="s">
        <v>232</v>
      </c>
      <c r="G778" s="2">
        <v>12</v>
      </c>
      <c r="H778" s="25">
        <v>11540</v>
      </c>
      <c r="I778" s="8">
        <v>0</v>
      </c>
      <c r="J778" s="25">
        <v>138480</v>
      </c>
      <c r="K778" s="25">
        <f>G778*H778</f>
        <v>138480</v>
      </c>
      <c r="L778" s="8">
        <f>K778*I778/100</f>
        <v>0</v>
      </c>
      <c r="M778" s="2" t="s">
        <v>102</v>
      </c>
      <c r="N778" s="2" t="s">
        <v>411</v>
      </c>
      <c r="O778" s="2">
        <v>2025</v>
      </c>
      <c r="P778" s="2" t="str">
        <v>July</v>
      </c>
      <c r="Q778" s="2" t="s">
        <v>47</v>
      </c>
    </row>
    <row r="779" spans="1:17" x14ac:dyDescent="0.25">
      <c r="A779" s="2" t="s">
        <v>1711</v>
      </c>
      <c r="B779" s="7">
        <v>45907</v>
      </c>
      <c r="C779" s="5" t="s">
        <v>238</v>
      </c>
      <c r="D779" s="5" t="s">
        <v>51</v>
      </c>
      <c r="E779" s="5" t="s">
        <v>34</v>
      </c>
      <c r="F779" s="2" t="s">
        <v>164</v>
      </c>
      <c r="G779" s="2">
        <v>5</v>
      </c>
      <c r="H779" s="25">
        <v>8780</v>
      </c>
      <c r="I779" s="8">
        <v>0</v>
      </c>
      <c r="J779" s="25">
        <v>43900</v>
      </c>
      <c r="K779" s="25">
        <f>G779*H779</f>
        <v>43900</v>
      </c>
      <c r="L779" s="8">
        <f>K779*I779/100</f>
        <v>0</v>
      </c>
      <c r="M779" s="2" t="s">
        <v>139</v>
      </c>
      <c r="N779" s="2" t="s">
        <v>406</v>
      </c>
      <c r="O779" s="2">
        <v>2025</v>
      </c>
      <c r="P779" s="2" t="str">
        <v>September</v>
      </c>
      <c r="Q779" s="2" t="s">
        <v>47</v>
      </c>
    </row>
    <row r="780" spans="1:17" x14ac:dyDescent="0.25">
      <c r="A780" s="2" t="s">
        <v>1713</v>
      </c>
      <c r="B780" s="7">
        <v>45915</v>
      </c>
      <c r="C780" s="5" t="s">
        <v>76</v>
      </c>
      <c r="D780" s="5" t="s">
        <v>33</v>
      </c>
      <c r="E780" s="5" t="s">
        <v>179</v>
      </c>
      <c r="F780" s="2" t="s">
        <v>239</v>
      </c>
      <c r="G780" s="2">
        <v>12</v>
      </c>
      <c r="H780" s="25">
        <v>41990</v>
      </c>
      <c r="I780" s="8">
        <v>0</v>
      </c>
      <c r="J780" s="25">
        <v>503880</v>
      </c>
      <c r="K780" s="25">
        <f>G780*H780</f>
        <v>503880</v>
      </c>
      <c r="L780" s="8">
        <f>K780*I780/100</f>
        <v>0</v>
      </c>
      <c r="M780" s="2" t="s">
        <v>53</v>
      </c>
      <c r="N780" s="2" t="s">
        <v>344</v>
      </c>
      <c r="O780" s="2">
        <v>2025</v>
      </c>
      <c r="P780" s="2" t="str">
        <v>September</v>
      </c>
      <c r="Q780" s="2" t="s">
        <v>47</v>
      </c>
    </row>
    <row r="781" spans="1:17" x14ac:dyDescent="0.25">
      <c r="A781" s="2" t="s">
        <v>1714</v>
      </c>
      <c r="B781" s="7">
        <v>45740</v>
      </c>
      <c r="C781" s="5" t="s">
        <v>76</v>
      </c>
      <c r="D781" s="5" t="s">
        <v>33</v>
      </c>
      <c r="E781" s="5" t="s">
        <v>179</v>
      </c>
      <c r="F781" s="2" t="s">
        <v>374</v>
      </c>
      <c r="G781" s="2">
        <v>5</v>
      </c>
      <c r="H781" s="25">
        <v>8730</v>
      </c>
      <c r="I781" s="8">
        <v>0</v>
      </c>
      <c r="J781" s="25">
        <v>43650</v>
      </c>
      <c r="K781" s="25">
        <f>G781*H781</f>
        <v>43650</v>
      </c>
      <c r="L781" s="8">
        <f>K781*I781/100</f>
        <v>0</v>
      </c>
      <c r="M781" s="2" t="s">
        <v>139</v>
      </c>
      <c r="N781" s="2" t="s">
        <v>411</v>
      </c>
      <c r="O781" s="2">
        <v>2025</v>
      </c>
      <c r="P781" s="2" t="str">
        <v>March</v>
      </c>
      <c r="Q781" s="2" t="s">
        <v>21</v>
      </c>
    </row>
    <row r="782" spans="1:17" x14ac:dyDescent="0.25">
      <c r="A782" s="2" t="s">
        <v>1716</v>
      </c>
      <c r="B782" s="7">
        <v>45744</v>
      </c>
      <c r="C782" s="5" t="s">
        <v>135</v>
      </c>
      <c r="D782" s="5" t="s">
        <v>58</v>
      </c>
      <c r="E782" s="5" t="s">
        <v>34</v>
      </c>
      <c r="F782" s="2" t="s">
        <v>199</v>
      </c>
      <c r="G782" s="2">
        <v>8</v>
      </c>
      <c r="H782" s="25">
        <v>68930</v>
      </c>
      <c r="I782" s="8">
        <v>0</v>
      </c>
      <c r="J782" s="25">
        <v>551440</v>
      </c>
      <c r="K782" s="25">
        <f>G782*H782</f>
        <v>551440</v>
      </c>
      <c r="L782" s="8">
        <f>K782*I782/100</f>
        <v>0</v>
      </c>
      <c r="M782" s="2" t="s">
        <v>94</v>
      </c>
      <c r="N782" s="2" t="s">
        <v>188</v>
      </c>
      <c r="O782" s="2">
        <v>2025</v>
      </c>
      <c r="P782" s="2" t="str">
        <v>March</v>
      </c>
      <c r="Q782" s="2" t="s">
        <v>47</v>
      </c>
    </row>
    <row r="783" spans="1:17" x14ac:dyDescent="0.25">
      <c r="A783" s="2" t="s">
        <v>1718</v>
      </c>
      <c r="B783" s="7">
        <v>45936</v>
      </c>
      <c r="C783" s="5" t="s">
        <v>156</v>
      </c>
      <c r="D783" s="5" t="s">
        <v>51</v>
      </c>
      <c r="E783" s="5" t="s">
        <v>34</v>
      </c>
      <c r="F783" s="2" t="s">
        <v>18</v>
      </c>
      <c r="G783" s="2">
        <v>1</v>
      </c>
      <c r="H783" s="25">
        <v>10240</v>
      </c>
      <c r="I783" s="8">
        <v>0</v>
      </c>
      <c r="J783" s="25">
        <v>10240</v>
      </c>
      <c r="K783" s="25">
        <f>G783*H783</f>
        <v>10240</v>
      </c>
      <c r="L783" s="8">
        <f>K783*I783/100</f>
        <v>0</v>
      </c>
      <c r="M783" s="2" t="s">
        <v>102</v>
      </c>
      <c r="N783" s="2" t="s">
        <v>411</v>
      </c>
      <c r="O783" s="2">
        <v>2025</v>
      </c>
      <c r="P783" s="2" t="str">
        <v>October</v>
      </c>
      <c r="Q783" s="2" t="s">
        <v>47</v>
      </c>
    </row>
    <row r="784" spans="1:17" x14ac:dyDescent="0.25">
      <c r="A784" s="2" t="s">
        <v>1719</v>
      </c>
      <c r="B784" s="7">
        <v>45910</v>
      </c>
      <c r="C784" s="5" t="s">
        <v>238</v>
      </c>
      <c r="D784" s="5" t="s">
        <v>51</v>
      </c>
      <c r="E784" s="5" t="s">
        <v>25</v>
      </c>
      <c r="F784" s="2" t="s">
        <v>115</v>
      </c>
      <c r="G784" s="2">
        <v>3</v>
      </c>
      <c r="H784" s="25">
        <v>13000</v>
      </c>
      <c r="I784" s="8">
        <v>0</v>
      </c>
      <c r="J784" s="25">
        <v>39000</v>
      </c>
      <c r="K784" s="25">
        <f>G784*H784</f>
        <v>39000</v>
      </c>
      <c r="L784" s="8">
        <f>K784*I784/100</f>
        <v>0</v>
      </c>
      <c r="M784" s="2" t="s">
        <v>139</v>
      </c>
      <c r="N784" s="2" t="s">
        <v>37</v>
      </c>
      <c r="O784" s="2">
        <v>2025</v>
      </c>
      <c r="P784" s="2" t="str">
        <v>September</v>
      </c>
      <c r="Q784" s="2" t="s">
        <v>47</v>
      </c>
    </row>
    <row r="785" spans="1:17" x14ac:dyDescent="0.25">
      <c r="A785" s="2" t="s">
        <v>1721</v>
      </c>
      <c r="B785" s="7">
        <v>45883</v>
      </c>
      <c r="C785" s="5" t="s">
        <v>24</v>
      </c>
      <c r="D785" s="5" t="s">
        <v>16</v>
      </c>
      <c r="E785" s="5" t="s">
        <v>179</v>
      </c>
      <c r="F785" s="2" t="s">
        <v>184</v>
      </c>
      <c r="G785" s="2">
        <v>1</v>
      </c>
      <c r="H785" s="25">
        <v>3830</v>
      </c>
      <c r="I785" s="8">
        <v>0</v>
      </c>
      <c r="J785" s="25">
        <v>3830</v>
      </c>
      <c r="K785" s="25">
        <f>G785*H785</f>
        <v>3830</v>
      </c>
      <c r="L785" s="8">
        <f>K785*I785/100</f>
        <v>0</v>
      </c>
      <c r="M785" s="2" t="s">
        <v>139</v>
      </c>
      <c r="N785" s="2" t="s">
        <v>188</v>
      </c>
      <c r="O785" s="2">
        <v>2025</v>
      </c>
      <c r="P785" s="2" t="str">
        <v>August</v>
      </c>
      <c r="Q785" s="2" t="s">
        <v>21</v>
      </c>
    </row>
    <row r="786" spans="1:17" x14ac:dyDescent="0.25">
      <c r="A786" s="2" t="s">
        <v>1722</v>
      </c>
      <c r="B786" s="7">
        <v>45713</v>
      </c>
      <c r="C786" s="5" t="s">
        <v>238</v>
      </c>
      <c r="D786" s="5" t="s">
        <v>51</v>
      </c>
      <c r="E786" s="5" t="s">
        <v>295</v>
      </c>
      <c r="F786" s="2" t="s">
        <v>296</v>
      </c>
      <c r="G786" s="2">
        <v>3</v>
      </c>
      <c r="H786" s="25">
        <v>12330</v>
      </c>
      <c r="I786" s="8">
        <v>0</v>
      </c>
      <c r="J786" s="25">
        <v>36990</v>
      </c>
      <c r="K786" s="25">
        <f>G786*H786</f>
        <v>36990</v>
      </c>
      <c r="L786" s="8">
        <f>K786*I786/100</f>
        <v>0</v>
      </c>
      <c r="M786" s="2" t="s">
        <v>102</v>
      </c>
      <c r="N786" s="2" t="s">
        <v>79</v>
      </c>
      <c r="O786" s="2">
        <v>2025</v>
      </c>
      <c r="P786" s="2" t="str">
        <v>February</v>
      </c>
      <c r="Q786" s="2" t="s">
        <v>47</v>
      </c>
    </row>
    <row r="787" spans="1:17" x14ac:dyDescent="0.25">
      <c r="A787" s="2" t="s">
        <v>1723</v>
      </c>
      <c r="B787" s="7">
        <v>45928</v>
      </c>
      <c r="C787" s="5" t="s">
        <v>41</v>
      </c>
      <c r="D787" s="5" t="s">
        <v>42</v>
      </c>
      <c r="E787" s="5" t="s">
        <v>34</v>
      </c>
      <c r="F787" s="2" t="s">
        <v>71</v>
      </c>
      <c r="G787" s="2">
        <v>9</v>
      </c>
      <c r="H787" s="25">
        <v>1130</v>
      </c>
      <c r="I787" s="8">
        <v>0</v>
      </c>
      <c r="J787" s="25">
        <v>10170</v>
      </c>
      <c r="K787" s="25">
        <f>G787*H787</f>
        <v>10170</v>
      </c>
      <c r="L787" s="8">
        <f>K787*I787/100</f>
        <v>0</v>
      </c>
      <c r="M787" s="2" t="s">
        <v>102</v>
      </c>
      <c r="N787" s="2" t="s">
        <v>344</v>
      </c>
      <c r="O787" s="2">
        <v>2025</v>
      </c>
      <c r="P787" s="2" t="str">
        <v>September</v>
      </c>
      <c r="Q787" s="2" t="s">
        <v>47</v>
      </c>
    </row>
    <row r="788" spans="1:17" x14ac:dyDescent="0.25">
      <c r="A788" s="2" t="s">
        <v>1725</v>
      </c>
      <c r="B788" s="7">
        <v>45856</v>
      </c>
      <c r="C788" s="5" t="s">
        <v>76</v>
      </c>
      <c r="D788" s="5" t="s">
        <v>33</v>
      </c>
      <c r="E788" s="5" t="s">
        <v>295</v>
      </c>
      <c r="F788" s="2" t="s">
        <v>101</v>
      </c>
      <c r="G788" s="2">
        <v>2</v>
      </c>
      <c r="H788" s="25">
        <v>12240</v>
      </c>
      <c r="I788" s="8">
        <v>0</v>
      </c>
      <c r="J788" s="25">
        <v>24480</v>
      </c>
      <c r="K788" s="25">
        <f>G788*H788</f>
        <v>24480</v>
      </c>
      <c r="L788" s="8">
        <f>K788*I788/100</f>
        <v>0</v>
      </c>
      <c r="M788" s="2" t="s">
        <v>139</v>
      </c>
      <c r="N788" s="2" t="s">
        <v>46</v>
      </c>
      <c r="O788" s="2">
        <v>2025</v>
      </c>
      <c r="P788" s="2" t="str">
        <v>July</v>
      </c>
      <c r="Q788" s="2" t="s">
        <v>47</v>
      </c>
    </row>
    <row r="789" spans="1:17" x14ac:dyDescent="0.25">
      <c r="A789" s="2" t="s">
        <v>1728</v>
      </c>
      <c r="B789" s="7">
        <v>45960</v>
      </c>
      <c r="C789" s="5" t="s">
        <v>156</v>
      </c>
      <c r="D789" s="5" t="s">
        <v>51</v>
      </c>
      <c r="E789" s="5" t="s">
        <v>295</v>
      </c>
      <c r="F789" s="2" t="s">
        <v>319</v>
      </c>
      <c r="G789" s="2">
        <v>9</v>
      </c>
      <c r="H789" s="25">
        <v>20330</v>
      </c>
      <c r="I789" s="8">
        <v>0</v>
      </c>
      <c r="J789" s="25">
        <v>182970</v>
      </c>
      <c r="K789" s="25">
        <f>G789*H789</f>
        <v>182970</v>
      </c>
      <c r="L789" s="8">
        <f>K789*I789/100</f>
        <v>0</v>
      </c>
      <c r="M789" s="2" t="s">
        <v>53</v>
      </c>
      <c r="N789" s="2" t="s">
        <v>176</v>
      </c>
      <c r="O789" s="2">
        <v>2025</v>
      </c>
      <c r="P789" s="2" t="str">
        <v>October</v>
      </c>
      <c r="Q789" s="2" t="s">
        <v>47</v>
      </c>
    </row>
    <row r="790" spans="1:17" x14ac:dyDescent="0.25">
      <c r="A790" s="2" t="s">
        <v>1730</v>
      </c>
      <c r="B790" s="7">
        <v>45723</v>
      </c>
      <c r="C790" s="5" t="s">
        <v>24</v>
      </c>
      <c r="D790" s="5" t="s">
        <v>16</v>
      </c>
      <c r="E790" s="5" t="s">
        <v>148</v>
      </c>
      <c r="F790" s="2" t="s">
        <v>83</v>
      </c>
      <c r="G790" s="2">
        <v>11</v>
      </c>
      <c r="H790" s="25">
        <v>2550</v>
      </c>
      <c r="I790" s="8">
        <v>0</v>
      </c>
      <c r="J790" s="25">
        <v>28050</v>
      </c>
      <c r="K790" s="25">
        <f>G790*H790</f>
        <v>28050</v>
      </c>
      <c r="L790" s="8">
        <f>K790*I790/100</f>
        <v>0</v>
      </c>
      <c r="M790" s="2" t="s">
        <v>102</v>
      </c>
      <c r="N790" s="2" t="s">
        <v>37</v>
      </c>
      <c r="O790" s="2">
        <v>2025</v>
      </c>
      <c r="P790" s="2" t="str">
        <v>March</v>
      </c>
      <c r="Q790" s="2" t="s">
        <v>21</v>
      </c>
    </row>
    <row r="791" spans="1:17" x14ac:dyDescent="0.25">
      <c r="A791" s="2" t="s">
        <v>1731</v>
      </c>
      <c r="B791" s="7">
        <v>45662</v>
      </c>
      <c r="C791" s="5" t="s">
        <v>76</v>
      </c>
      <c r="D791" s="5" t="s">
        <v>33</v>
      </c>
      <c r="E791" s="5" t="s">
        <v>179</v>
      </c>
      <c r="F791" s="2" t="s">
        <v>543</v>
      </c>
      <c r="G791" s="2">
        <v>3</v>
      </c>
      <c r="H791" s="25">
        <v>1190</v>
      </c>
      <c r="I791" s="8">
        <v>0</v>
      </c>
      <c r="J791" s="25">
        <v>3570</v>
      </c>
      <c r="K791" s="25">
        <f>G791*H791</f>
        <v>3570</v>
      </c>
      <c r="L791" s="8">
        <f>K791*I791/100</f>
        <v>0</v>
      </c>
      <c r="M791" s="2" t="s">
        <v>102</v>
      </c>
      <c r="N791" s="2" t="s">
        <v>188</v>
      </c>
      <c r="O791" s="2">
        <v>2025</v>
      </c>
      <c r="P791" s="2" t="str">
        <v>January</v>
      </c>
      <c r="Q791" s="2" t="s">
        <v>21</v>
      </c>
    </row>
    <row r="792" spans="1:17" x14ac:dyDescent="0.25">
      <c r="A792" s="2" t="s">
        <v>1733</v>
      </c>
      <c r="B792" s="7">
        <v>45723</v>
      </c>
      <c r="C792" s="5" t="s">
        <v>32</v>
      </c>
      <c r="D792" s="5" t="s">
        <v>33</v>
      </c>
      <c r="E792" s="5" t="s">
        <v>148</v>
      </c>
      <c r="F792" s="2" t="s">
        <v>435</v>
      </c>
      <c r="G792" s="2">
        <v>7</v>
      </c>
      <c r="H792" s="25">
        <v>2760</v>
      </c>
      <c r="I792" s="8">
        <v>0</v>
      </c>
      <c r="J792" s="25">
        <v>19320</v>
      </c>
      <c r="K792" s="25">
        <f>G792*H792</f>
        <v>19320</v>
      </c>
      <c r="L792" s="8">
        <f>K792*I792/100</f>
        <v>0</v>
      </c>
      <c r="M792" s="2" t="s">
        <v>139</v>
      </c>
      <c r="N792" s="2" t="s">
        <v>37</v>
      </c>
      <c r="O792" s="2">
        <v>2025</v>
      </c>
      <c r="P792" s="2" t="str">
        <v>March</v>
      </c>
      <c r="Q792" s="2" t="s">
        <v>21</v>
      </c>
    </row>
    <row r="793" spans="1:17" x14ac:dyDescent="0.25">
      <c r="A793" s="2" t="s">
        <v>1735</v>
      </c>
      <c r="B793" s="7">
        <v>46014</v>
      </c>
      <c r="C793" s="5" t="s">
        <v>238</v>
      </c>
      <c r="D793" s="5" t="s">
        <v>51</v>
      </c>
      <c r="E793" s="5" t="s">
        <v>148</v>
      </c>
      <c r="F793" s="2" t="s">
        <v>167</v>
      </c>
      <c r="G793" s="2">
        <v>1</v>
      </c>
      <c r="H793" s="25">
        <v>24320</v>
      </c>
      <c r="I793" s="8">
        <v>5</v>
      </c>
      <c r="J793" s="25">
        <v>23104</v>
      </c>
      <c r="K793" s="25">
        <f>G793*H793</f>
        <v>24320</v>
      </c>
      <c r="L793" s="8">
        <f>K793*I793/100</f>
        <v>1216</v>
      </c>
      <c r="M793" s="2" t="s">
        <v>102</v>
      </c>
      <c r="N793" s="2" t="s">
        <v>266</v>
      </c>
      <c r="O793" s="2">
        <v>2025</v>
      </c>
      <c r="P793" s="2" t="str">
        <v>December</v>
      </c>
      <c r="Q793" s="2" t="s">
        <v>47</v>
      </c>
    </row>
    <row r="794" spans="1:17" x14ac:dyDescent="0.25">
      <c r="A794" s="2" t="s">
        <v>1737</v>
      </c>
      <c r="B794" s="7">
        <v>45927</v>
      </c>
      <c r="C794" s="5" t="s">
        <v>238</v>
      </c>
      <c r="D794" s="5" t="s">
        <v>51</v>
      </c>
      <c r="E794" s="5" t="s">
        <v>179</v>
      </c>
      <c r="F794" s="2" t="s">
        <v>143</v>
      </c>
      <c r="G794" s="2">
        <v>5</v>
      </c>
      <c r="H794" s="25">
        <v>8210</v>
      </c>
      <c r="I794" s="8">
        <v>5</v>
      </c>
      <c r="J794" s="25">
        <v>38997.5</v>
      </c>
      <c r="K794" s="25">
        <f>G794*H794</f>
        <v>41050</v>
      </c>
      <c r="L794" s="8">
        <f>K794*I794/100</f>
        <v>2052.5</v>
      </c>
      <c r="M794" s="2" t="s">
        <v>102</v>
      </c>
      <c r="N794" s="2" t="s">
        <v>883</v>
      </c>
      <c r="O794" s="2">
        <v>2025</v>
      </c>
      <c r="P794" s="2" t="str">
        <v>September</v>
      </c>
      <c r="Q794" s="2" t="s">
        <v>47</v>
      </c>
    </row>
    <row r="795" spans="1:17" x14ac:dyDescent="0.25">
      <c r="A795" s="2" t="s">
        <v>1739</v>
      </c>
      <c r="B795" s="7">
        <v>45910</v>
      </c>
      <c r="C795" s="5" t="s">
        <v>76</v>
      </c>
      <c r="D795" s="5" t="s">
        <v>33</v>
      </c>
      <c r="E795" s="5" t="s">
        <v>34</v>
      </c>
      <c r="F795" s="2" t="s">
        <v>199</v>
      </c>
      <c r="G795" s="2">
        <v>3</v>
      </c>
      <c r="H795" s="25">
        <v>11110</v>
      </c>
      <c r="I795" s="8">
        <v>0</v>
      </c>
      <c r="J795" s="25">
        <v>33330</v>
      </c>
      <c r="K795" s="25">
        <f>G795*H795</f>
        <v>33330</v>
      </c>
      <c r="L795" s="8">
        <f>K795*I795/100</f>
        <v>0</v>
      </c>
      <c r="M795" s="2" t="s">
        <v>94</v>
      </c>
      <c r="N795" s="2" t="s">
        <v>883</v>
      </c>
      <c r="O795" s="2">
        <v>2025</v>
      </c>
      <c r="P795" s="2" t="str">
        <v>September</v>
      </c>
      <c r="Q795" s="2" t="s">
        <v>21</v>
      </c>
    </row>
    <row r="796" spans="1:17" x14ac:dyDescent="0.25">
      <c r="A796" s="2" t="s">
        <v>1740</v>
      </c>
      <c r="B796" s="7">
        <v>45834</v>
      </c>
      <c r="C796" s="5" t="s">
        <v>24</v>
      </c>
      <c r="D796" s="5" t="s">
        <v>16</v>
      </c>
      <c r="E796" s="5" t="s">
        <v>148</v>
      </c>
      <c r="F796" s="2" t="s">
        <v>252</v>
      </c>
      <c r="G796" s="2">
        <v>2</v>
      </c>
      <c r="H796" s="25">
        <v>1110</v>
      </c>
      <c r="I796" s="8">
        <v>15</v>
      </c>
      <c r="J796" s="25">
        <v>1887</v>
      </c>
      <c r="K796" s="25">
        <f>G796*H796</f>
        <v>2220</v>
      </c>
      <c r="L796" s="8">
        <f>K796*I796/100</f>
        <v>333</v>
      </c>
      <c r="M796" s="2" t="s">
        <v>102</v>
      </c>
      <c r="N796" s="2" t="s">
        <v>46</v>
      </c>
      <c r="O796" s="2">
        <v>2025</v>
      </c>
      <c r="P796" s="2" t="str">
        <v>June</v>
      </c>
      <c r="Q796" s="2" t="s">
        <v>47</v>
      </c>
    </row>
    <row r="797" spans="1:17" x14ac:dyDescent="0.25">
      <c r="A797" s="2" t="s">
        <v>1741</v>
      </c>
      <c r="B797" s="7">
        <v>45935</v>
      </c>
      <c r="C797" s="5" t="s">
        <v>76</v>
      </c>
      <c r="D797" s="5" t="s">
        <v>33</v>
      </c>
      <c r="E797" s="5" t="s">
        <v>179</v>
      </c>
      <c r="F797" s="2" t="s">
        <v>232</v>
      </c>
      <c r="G797" s="2">
        <v>10</v>
      </c>
      <c r="H797" s="25">
        <v>41690</v>
      </c>
      <c r="I797" s="8">
        <v>10</v>
      </c>
      <c r="J797" s="25">
        <v>375210</v>
      </c>
      <c r="K797" s="25">
        <f>G797*H797</f>
        <v>416900</v>
      </c>
      <c r="L797" s="8">
        <f>K797*I797/100</f>
        <v>41690</v>
      </c>
      <c r="M797" s="2" t="s">
        <v>139</v>
      </c>
      <c r="N797" s="2" t="s">
        <v>266</v>
      </c>
      <c r="O797" s="2">
        <v>2025</v>
      </c>
      <c r="P797" s="2" t="str">
        <v>October</v>
      </c>
      <c r="Q797" s="2" t="s">
        <v>21</v>
      </c>
    </row>
    <row r="798" spans="1:17" x14ac:dyDescent="0.25">
      <c r="A798" s="2" t="s">
        <v>1742</v>
      </c>
      <c r="B798" s="7">
        <v>45719</v>
      </c>
      <c r="C798" s="5" t="s">
        <v>41</v>
      </c>
      <c r="D798" s="5" t="s">
        <v>42</v>
      </c>
      <c r="E798" s="5" t="s">
        <v>25</v>
      </c>
      <c r="F798" s="2" t="s">
        <v>93</v>
      </c>
      <c r="G798" s="2">
        <v>3</v>
      </c>
      <c r="H798" s="25">
        <v>8340</v>
      </c>
      <c r="I798" s="8">
        <v>0</v>
      </c>
      <c r="J798" s="25">
        <v>25020</v>
      </c>
      <c r="K798" s="25">
        <f>G798*H798</f>
        <v>25020</v>
      </c>
      <c r="L798" s="8">
        <f>K798*I798/100</f>
        <v>0</v>
      </c>
      <c r="M798" s="2" t="s">
        <v>53</v>
      </c>
      <c r="N798" s="2" t="s">
        <v>176</v>
      </c>
      <c r="O798" s="2">
        <v>2025</v>
      </c>
      <c r="P798" s="2" t="str">
        <v>March</v>
      </c>
      <c r="Q798" s="2" t="s">
        <v>47</v>
      </c>
    </row>
    <row r="799" spans="1:17" x14ac:dyDescent="0.25">
      <c r="A799" s="2" t="s">
        <v>1743</v>
      </c>
      <c r="B799" s="7">
        <v>45764</v>
      </c>
      <c r="C799" s="5" t="s">
        <v>156</v>
      </c>
      <c r="D799" s="2" t="s">
        <v>51</v>
      </c>
      <c r="E799" s="2" t="s">
        <v>295</v>
      </c>
      <c r="F799" s="2" t="s">
        <v>101</v>
      </c>
      <c r="G799" s="2">
        <v>1</v>
      </c>
      <c r="H799" s="25">
        <v>1090</v>
      </c>
      <c r="I799" s="8">
        <v>0</v>
      </c>
      <c r="J799" s="25">
        <v>1090</v>
      </c>
      <c r="K799" s="25">
        <f>G799*H799</f>
        <v>1090</v>
      </c>
      <c r="L799" s="8">
        <f>K799*I799/100</f>
        <v>0</v>
      </c>
      <c r="M799" s="2" t="s">
        <v>102</v>
      </c>
      <c r="N799" s="2" t="s">
        <v>883</v>
      </c>
      <c r="O799" s="2">
        <v>2025</v>
      </c>
      <c r="P799" s="2" t="str">
        <v>April</v>
      </c>
      <c r="Q799" s="2" t="s">
        <v>47</v>
      </c>
    </row>
    <row r="800" spans="1:17" x14ac:dyDescent="0.25">
      <c r="A800" s="2" t="s">
        <v>1745</v>
      </c>
      <c r="B800" s="7">
        <v>45808</v>
      </c>
      <c r="C800" s="5" t="s">
        <v>24</v>
      </c>
      <c r="D800" s="5" t="s">
        <v>16</v>
      </c>
      <c r="E800" s="5" t="s">
        <v>179</v>
      </c>
      <c r="F800" s="2" t="s">
        <v>78</v>
      </c>
      <c r="G800" s="2">
        <v>7</v>
      </c>
      <c r="H800" s="25">
        <v>8400</v>
      </c>
      <c r="I800" s="8">
        <v>0</v>
      </c>
      <c r="J800" s="25">
        <v>58800</v>
      </c>
      <c r="K800" s="25">
        <f>G800*H800</f>
        <v>58800</v>
      </c>
      <c r="L800" s="8">
        <f>K800*I800/100</f>
        <v>0</v>
      </c>
      <c r="M800" s="2" t="s">
        <v>94</v>
      </c>
      <c r="N800" s="2" t="s">
        <v>54</v>
      </c>
      <c r="O800" s="2">
        <v>2025</v>
      </c>
      <c r="P800" s="2" t="str">
        <v>May</v>
      </c>
      <c r="Q800" s="2" t="s">
        <v>47</v>
      </c>
    </row>
    <row r="801" spans="1:17" x14ac:dyDescent="0.25">
      <c r="A801" s="2" t="s">
        <v>1747</v>
      </c>
      <c r="B801" s="7">
        <v>45954</v>
      </c>
      <c r="C801" s="5" t="s">
        <v>76</v>
      </c>
      <c r="D801" s="5" t="s">
        <v>33</v>
      </c>
      <c r="E801" s="5" t="s">
        <v>179</v>
      </c>
      <c r="F801" s="2" t="s">
        <v>543</v>
      </c>
      <c r="G801" s="2">
        <v>5</v>
      </c>
      <c r="H801" s="25">
        <v>480</v>
      </c>
      <c r="I801" s="8">
        <v>0</v>
      </c>
      <c r="J801" s="25">
        <v>2400</v>
      </c>
      <c r="K801" s="25">
        <f>G801*H801</f>
        <v>2400</v>
      </c>
      <c r="L801" s="8">
        <f>K801*I801/100</f>
        <v>0</v>
      </c>
      <c r="M801" s="2" t="s">
        <v>102</v>
      </c>
      <c r="N801" s="2" t="s">
        <v>188</v>
      </c>
      <c r="O801" s="2">
        <v>2025</v>
      </c>
      <c r="P801" s="2" t="str">
        <v>October</v>
      </c>
      <c r="Q801" s="2" t="s">
        <v>21</v>
      </c>
    </row>
    <row r="802" spans="1:17" x14ac:dyDescent="0.25">
      <c r="A802" s="2" t="s">
        <v>1749</v>
      </c>
      <c r="B802" s="7">
        <v>45689</v>
      </c>
      <c r="C802" s="5" t="s">
        <v>135</v>
      </c>
      <c r="D802" s="5" t="s">
        <v>58</v>
      </c>
      <c r="E802" s="5" t="s">
        <v>34</v>
      </c>
      <c r="F802" s="2" t="s">
        <v>374</v>
      </c>
      <c r="G802" s="2">
        <v>10</v>
      </c>
      <c r="H802" s="25">
        <v>27660</v>
      </c>
      <c r="I802" s="8">
        <v>0</v>
      </c>
      <c r="J802" s="25">
        <v>276600</v>
      </c>
      <c r="K802" s="25">
        <f>G802*H802</f>
        <v>276600</v>
      </c>
      <c r="L802" s="8">
        <f>K802*I802/100</f>
        <v>0</v>
      </c>
      <c r="M802" s="2" t="s">
        <v>102</v>
      </c>
      <c r="N802" s="2" t="s">
        <v>266</v>
      </c>
      <c r="O802" s="2">
        <v>2025</v>
      </c>
      <c r="P802" s="2" t="str">
        <v>February</v>
      </c>
      <c r="Q802" s="2" t="s">
        <v>47</v>
      </c>
    </row>
    <row r="803" spans="1:17" x14ac:dyDescent="0.25">
      <c r="A803" s="2" t="s">
        <v>1751</v>
      </c>
      <c r="B803" s="7">
        <v>45918</v>
      </c>
      <c r="C803" s="5" t="s">
        <v>135</v>
      </c>
      <c r="D803" s="5" t="s">
        <v>58</v>
      </c>
      <c r="E803" s="5" t="s">
        <v>179</v>
      </c>
      <c r="F803" s="2" t="s">
        <v>239</v>
      </c>
      <c r="G803" s="2">
        <v>5</v>
      </c>
      <c r="H803" s="25">
        <v>3700</v>
      </c>
      <c r="I803" s="8">
        <v>0</v>
      </c>
      <c r="J803" s="25">
        <v>18500</v>
      </c>
      <c r="K803" s="25">
        <f>G803*H803</f>
        <v>18500</v>
      </c>
      <c r="L803" s="8">
        <f>K803*I803/100</f>
        <v>0</v>
      </c>
      <c r="M803" s="2" t="s">
        <v>139</v>
      </c>
      <c r="N803" s="2" t="s">
        <v>188</v>
      </c>
      <c r="O803" s="2">
        <v>2025</v>
      </c>
      <c r="P803" s="2" t="str">
        <v>September</v>
      </c>
      <c r="Q803" s="2" t="s">
        <v>47</v>
      </c>
    </row>
    <row r="804" spans="1:17" x14ac:dyDescent="0.25">
      <c r="A804" s="2" t="s">
        <v>1753</v>
      </c>
      <c r="B804" s="7">
        <v>45804</v>
      </c>
      <c r="C804" s="5" t="s">
        <v>41</v>
      </c>
      <c r="D804" s="5" t="s">
        <v>42</v>
      </c>
      <c r="E804" s="5" t="s">
        <v>179</v>
      </c>
      <c r="F804" s="2" t="s">
        <v>332</v>
      </c>
      <c r="G804" s="2">
        <v>3</v>
      </c>
      <c r="H804" s="25">
        <v>23800</v>
      </c>
      <c r="I804" s="8">
        <v>0</v>
      </c>
      <c r="J804" s="25">
        <v>71400</v>
      </c>
      <c r="K804" s="25">
        <f>G804*H804</f>
        <v>71400</v>
      </c>
      <c r="L804" s="8">
        <f>K804*I804/100</f>
        <v>0</v>
      </c>
      <c r="M804" s="2" t="s">
        <v>94</v>
      </c>
      <c r="N804" s="2" t="s">
        <v>411</v>
      </c>
      <c r="O804" s="2">
        <v>2025</v>
      </c>
      <c r="P804" s="2" t="str">
        <v>May</v>
      </c>
      <c r="Q804" s="2" t="s">
        <v>47</v>
      </c>
    </row>
    <row r="805" spans="1:17" x14ac:dyDescent="0.25">
      <c r="A805" s="2" t="s">
        <v>1754</v>
      </c>
      <c r="B805" s="7">
        <v>45828</v>
      </c>
      <c r="C805" s="5" t="s">
        <v>156</v>
      </c>
      <c r="D805" s="5" t="s">
        <v>51</v>
      </c>
      <c r="E805" s="5" t="s">
        <v>295</v>
      </c>
      <c r="F805" s="2" t="s">
        <v>66</v>
      </c>
      <c r="G805" s="2">
        <v>9</v>
      </c>
      <c r="H805" s="25">
        <v>18160</v>
      </c>
      <c r="I805" s="8">
        <v>15</v>
      </c>
      <c r="J805" s="25">
        <v>138924</v>
      </c>
      <c r="K805" s="25">
        <f>G805*H805</f>
        <v>163440</v>
      </c>
      <c r="L805" s="8">
        <f>K805*I805/100</f>
        <v>24516</v>
      </c>
      <c r="M805" s="2" t="s">
        <v>94</v>
      </c>
      <c r="N805" s="2" t="s">
        <v>176</v>
      </c>
      <c r="O805" s="2">
        <v>2025</v>
      </c>
      <c r="P805" s="2" t="str">
        <v>June</v>
      </c>
      <c r="Q805" s="2" t="s">
        <v>21</v>
      </c>
    </row>
    <row r="806" spans="1:17" x14ac:dyDescent="0.25">
      <c r="A806" s="2" t="s">
        <v>1756</v>
      </c>
      <c r="B806" s="7">
        <v>45823</v>
      </c>
      <c r="C806" s="5" t="s">
        <v>32</v>
      </c>
      <c r="D806" s="5" t="s">
        <v>33</v>
      </c>
      <c r="E806" s="5" t="s">
        <v>34</v>
      </c>
      <c r="F806" s="2" t="s">
        <v>290</v>
      </c>
      <c r="G806" s="2">
        <v>11</v>
      </c>
      <c r="H806" s="25">
        <v>570</v>
      </c>
      <c r="I806" s="8">
        <v>0</v>
      </c>
      <c r="J806" s="25">
        <v>6270</v>
      </c>
      <c r="K806" s="25">
        <f>G806*H806</f>
        <v>6270</v>
      </c>
      <c r="L806" s="8">
        <f>K806*I806/100</f>
        <v>0</v>
      </c>
      <c r="M806" s="2" t="s">
        <v>94</v>
      </c>
      <c r="N806" s="2" t="s">
        <v>344</v>
      </c>
      <c r="O806" s="2">
        <v>2025</v>
      </c>
      <c r="P806" s="2" t="str">
        <v>June</v>
      </c>
      <c r="Q806" s="2" t="s">
        <v>47</v>
      </c>
    </row>
    <row r="807" spans="1:17" x14ac:dyDescent="0.25">
      <c r="A807" s="2" t="s">
        <v>1758</v>
      </c>
      <c r="B807" s="7">
        <v>45865</v>
      </c>
      <c r="C807" s="5" t="s">
        <v>32</v>
      </c>
      <c r="D807" s="5" t="s">
        <v>33</v>
      </c>
      <c r="E807" s="5" t="s">
        <v>179</v>
      </c>
      <c r="F807" s="2" t="s">
        <v>224</v>
      </c>
      <c r="G807" s="2">
        <v>9</v>
      </c>
      <c r="H807" s="25">
        <v>73270</v>
      </c>
      <c r="I807" s="8">
        <v>0</v>
      </c>
      <c r="J807" s="25">
        <v>659430</v>
      </c>
      <c r="K807" s="25">
        <f>G807*H807</f>
        <v>659430</v>
      </c>
      <c r="L807" s="8">
        <f>K807*I807/100</f>
        <v>0</v>
      </c>
      <c r="M807" s="2" t="s">
        <v>94</v>
      </c>
      <c r="N807" s="2" t="s">
        <v>68</v>
      </c>
      <c r="O807" s="2">
        <v>2025</v>
      </c>
      <c r="P807" s="2" t="str">
        <v>July</v>
      </c>
      <c r="Q807" s="2" t="s">
        <v>21</v>
      </c>
    </row>
    <row r="808" spans="1:17" x14ac:dyDescent="0.25">
      <c r="A808" s="2" t="s">
        <v>1760</v>
      </c>
      <c r="B808" s="7">
        <v>45792</v>
      </c>
      <c r="C808" s="5" t="s">
        <v>135</v>
      </c>
      <c r="D808" s="5" t="s">
        <v>58</v>
      </c>
      <c r="E808" s="5" t="s">
        <v>148</v>
      </c>
      <c r="F808" s="2" t="s">
        <v>252</v>
      </c>
      <c r="G808" s="2">
        <v>6</v>
      </c>
      <c r="H808" s="25">
        <v>5650</v>
      </c>
      <c r="I808" s="8">
        <v>10</v>
      </c>
      <c r="J808" s="25">
        <v>30510</v>
      </c>
      <c r="K808" s="25">
        <f>G808*H808</f>
        <v>33900</v>
      </c>
      <c r="L808" s="8">
        <f>K808*I808/100</f>
        <v>3390</v>
      </c>
      <c r="M808" s="2" t="s">
        <v>53</v>
      </c>
      <c r="N808" s="2" t="s">
        <v>188</v>
      </c>
      <c r="O808" s="2">
        <v>2025</v>
      </c>
      <c r="P808" s="2" t="str">
        <v>May</v>
      </c>
      <c r="Q808" s="2" t="s">
        <v>47</v>
      </c>
    </row>
    <row r="809" spans="1:17" x14ac:dyDescent="0.25">
      <c r="A809" s="2" t="s">
        <v>1761</v>
      </c>
      <c r="B809" s="7">
        <v>45752</v>
      </c>
      <c r="C809" s="5" t="s">
        <v>238</v>
      </c>
      <c r="D809" s="5" t="s">
        <v>51</v>
      </c>
      <c r="E809" s="5" t="s">
        <v>179</v>
      </c>
      <c r="F809" s="2" t="s">
        <v>232</v>
      </c>
      <c r="G809" s="2">
        <v>11</v>
      </c>
      <c r="H809" s="25">
        <v>50310</v>
      </c>
      <c r="I809" s="8">
        <v>0</v>
      </c>
      <c r="J809" s="25">
        <v>553410</v>
      </c>
      <c r="K809" s="25">
        <f>G809*H809</f>
        <v>553410</v>
      </c>
      <c r="L809" s="8">
        <f>K809*I809/100</f>
        <v>0</v>
      </c>
      <c r="M809" s="2" t="s">
        <v>94</v>
      </c>
      <c r="N809" s="2" t="s">
        <v>79</v>
      </c>
      <c r="O809" s="2">
        <v>2025</v>
      </c>
      <c r="P809" s="2" t="str">
        <v>April</v>
      </c>
      <c r="Q809" s="2" t="s">
        <v>47</v>
      </c>
    </row>
    <row r="810" spans="1:17" x14ac:dyDescent="0.25">
      <c r="A810" s="2" t="s">
        <v>1762</v>
      </c>
      <c r="B810" s="7">
        <v>45938</v>
      </c>
      <c r="C810" s="5" t="s">
        <v>135</v>
      </c>
      <c r="D810" s="5" t="s">
        <v>33</v>
      </c>
      <c r="E810" s="5" t="s">
        <v>179</v>
      </c>
      <c r="F810" s="2" t="s">
        <v>543</v>
      </c>
      <c r="G810" s="2">
        <v>3</v>
      </c>
      <c r="H810" s="25">
        <v>48270</v>
      </c>
      <c r="I810" s="8">
        <v>15</v>
      </c>
      <c r="J810" s="25">
        <v>123088.5</v>
      </c>
      <c r="K810" s="25">
        <f>G810*H810</f>
        <v>144810</v>
      </c>
      <c r="L810" s="8">
        <f>K810*I810/100</f>
        <v>21721.5</v>
      </c>
      <c r="M810" s="2" t="s">
        <v>102</v>
      </c>
      <c r="N810" s="2" t="s">
        <v>54</v>
      </c>
      <c r="O810" s="2">
        <v>2025</v>
      </c>
      <c r="P810" s="2" t="str">
        <v>October</v>
      </c>
      <c r="Q810" s="2" t="s">
        <v>47</v>
      </c>
    </row>
    <row r="811" spans="1:17" x14ac:dyDescent="0.25">
      <c r="A811" s="2" t="s">
        <v>1764</v>
      </c>
      <c r="B811" s="7">
        <v>45726</v>
      </c>
      <c r="C811" s="5" t="s">
        <v>156</v>
      </c>
      <c r="D811" s="5" t="s">
        <v>51</v>
      </c>
      <c r="E811" s="5" t="s">
        <v>25</v>
      </c>
      <c r="F811" s="2" t="s">
        <v>26</v>
      </c>
      <c r="G811" s="2">
        <v>9</v>
      </c>
      <c r="H811" s="25">
        <v>2590</v>
      </c>
      <c r="I811" s="8">
        <v>10</v>
      </c>
      <c r="J811" s="25">
        <v>20979</v>
      </c>
      <c r="K811" s="25">
        <f>G811*H811</f>
        <v>23310</v>
      </c>
      <c r="L811" s="8">
        <f>K811*I811/100</f>
        <v>2331</v>
      </c>
      <c r="M811" s="2" t="s">
        <v>94</v>
      </c>
      <c r="N811" s="2" t="s">
        <v>46</v>
      </c>
      <c r="O811" s="2">
        <v>2025</v>
      </c>
      <c r="P811" s="2" t="str">
        <v>March</v>
      </c>
      <c r="Q811" s="2" t="s">
        <v>21</v>
      </c>
    </row>
    <row r="812" spans="1:17" x14ac:dyDescent="0.25">
      <c r="A812" s="2" t="s">
        <v>1765</v>
      </c>
      <c r="B812" s="7">
        <v>45800</v>
      </c>
      <c r="C812" s="5" t="s">
        <v>238</v>
      </c>
      <c r="D812" s="5" t="s">
        <v>51</v>
      </c>
      <c r="E812" s="5" t="s">
        <v>34</v>
      </c>
      <c r="F812" s="2" t="s">
        <v>171</v>
      </c>
      <c r="G812" s="2">
        <v>10</v>
      </c>
      <c r="H812" s="25">
        <v>9170</v>
      </c>
      <c r="I812" s="8">
        <v>10</v>
      </c>
      <c r="J812" s="25">
        <v>82530</v>
      </c>
      <c r="K812" s="25">
        <f>G812*H812</f>
        <v>91700</v>
      </c>
      <c r="L812" s="8">
        <f>K812*I812/100</f>
        <v>9170</v>
      </c>
      <c r="M812" s="2" t="s">
        <v>139</v>
      </c>
      <c r="N812" s="2" t="s">
        <v>411</v>
      </c>
      <c r="O812" s="2">
        <v>2025</v>
      </c>
      <c r="P812" s="2" t="str">
        <v>May</v>
      </c>
      <c r="Q812" s="2" t="s">
        <v>21</v>
      </c>
    </row>
    <row r="813" spans="1:17" x14ac:dyDescent="0.25">
      <c r="A813" s="2" t="s">
        <v>1767</v>
      </c>
      <c r="B813" s="7">
        <v>45992</v>
      </c>
      <c r="C813" s="5" t="s">
        <v>238</v>
      </c>
      <c r="D813" s="5" t="s">
        <v>51</v>
      </c>
      <c r="E813" s="5" t="s">
        <v>148</v>
      </c>
      <c r="F813" s="2" t="s">
        <v>209</v>
      </c>
      <c r="G813" s="2">
        <v>3</v>
      </c>
      <c r="H813" s="25">
        <v>11430</v>
      </c>
      <c r="I813" s="8">
        <v>0</v>
      </c>
      <c r="J813" s="25">
        <v>34290</v>
      </c>
      <c r="K813" s="25">
        <f>G813*H813</f>
        <v>34290</v>
      </c>
      <c r="L813" s="8">
        <f>K813*I813/100</f>
        <v>0</v>
      </c>
      <c r="M813" s="2" t="s">
        <v>139</v>
      </c>
      <c r="N813" s="2" t="s">
        <v>79</v>
      </c>
      <c r="O813" s="2">
        <v>2025</v>
      </c>
      <c r="P813" s="2" t="str">
        <v>December</v>
      </c>
      <c r="Q813" s="2" t="s">
        <v>47</v>
      </c>
    </row>
    <row r="814" spans="1:17" x14ac:dyDescent="0.25">
      <c r="A814" s="2" t="s">
        <v>1769</v>
      </c>
      <c r="B814" s="7">
        <v>45901</v>
      </c>
      <c r="C814" s="5" t="s">
        <v>41</v>
      </c>
      <c r="D814" s="5" t="s">
        <v>42</v>
      </c>
      <c r="E814" s="5" t="s">
        <v>179</v>
      </c>
      <c r="F814" s="2" t="s">
        <v>180</v>
      </c>
      <c r="G814" s="2">
        <v>5</v>
      </c>
      <c r="H814" s="25">
        <v>41060</v>
      </c>
      <c r="I814" s="8">
        <v>0</v>
      </c>
      <c r="J814" s="25">
        <v>205300</v>
      </c>
      <c r="K814" s="25">
        <f>G814*H814</f>
        <v>205300</v>
      </c>
      <c r="L814" s="8">
        <f>K814*I814/100</f>
        <v>0</v>
      </c>
      <c r="M814" s="2" t="s">
        <v>53</v>
      </c>
      <c r="N814" s="2" t="s">
        <v>54</v>
      </c>
      <c r="O814" s="2">
        <v>2025</v>
      </c>
      <c r="P814" s="2" t="str">
        <v>September</v>
      </c>
      <c r="Q814" s="2" t="s">
        <v>47</v>
      </c>
    </row>
    <row r="815" spans="1:17" x14ac:dyDescent="0.25">
      <c r="A815" s="2" t="s">
        <v>1771</v>
      </c>
      <c r="B815" s="7">
        <v>45932</v>
      </c>
      <c r="C815" s="5" t="s">
        <v>135</v>
      </c>
      <c r="D815" s="5" t="s">
        <v>58</v>
      </c>
      <c r="E815" s="5" t="s">
        <v>25</v>
      </c>
      <c r="F815" s="2" t="s">
        <v>106</v>
      </c>
      <c r="G815" s="2">
        <v>3</v>
      </c>
      <c r="H815" s="25">
        <v>10830</v>
      </c>
      <c r="I815" s="8">
        <v>0</v>
      </c>
      <c r="J815" s="25">
        <v>32490</v>
      </c>
      <c r="K815" s="25">
        <f>G815*H815</f>
        <v>32490</v>
      </c>
      <c r="L815" s="8">
        <f>K815*I815/100</f>
        <v>0</v>
      </c>
      <c r="M815" s="2" t="s">
        <v>94</v>
      </c>
      <c r="N815" s="2" t="s">
        <v>54</v>
      </c>
      <c r="O815" s="2">
        <v>2025</v>
      </c>
      <c r="P815" s="2" t="str">
        <v>October</v>
      </c>
      <c r="Q815" s="2" t="s">
        <v>47</v>
      </c>
    </row>
    <row r="816" spans="1:17" x14ac:dyDescent="0.25">
      <c r="A816" s="2" t="s">
        <v>1773</v>
      </c>
      <c r="B816" s="7">
        <v>45981</v>
      </c>
      <c r="C816" s="5" t="s">
        <v>24</v>
      </c>
      <c r="D816" s="5" t="s">
        <v>16</v>
      </c>
      <c r="E816" s="5" t="s">
        <v>34</v>
      </c>
      <c r="F816" s="2" t="s">
        <v>374</v>
      </c>
      <c r="G816" s="2">
        <v>8</v>
      </c>
      <c r="H816" s="25">
        <v>500</v>
      </c>
      <c r="I816" s="8">
        <v>5</v>
      </c>
      <c r="J816" s="25">
        <v>3800</v>
      </c>
      <c r="K816" s="25">
        <f>G816*H816</f>
        <v>4000</v>
      </c>
      <c r="L816" s="8">
        <f>K816*I816/100</f>
        <v>200</v>
      </c>
      <c r="M816" s="2" t="s">
        <v>94</v>
      </c>
      <c r="N816" s="2" t="s">
        <v>54</v>
      </c>
      <c r="O816" s="2">
        <v>2025</v>
      </c>
      <c r="P816" s="2" t="str">
        <v>November</v>
      </c>
      <c r="Q816" s="2" t="s">
        <v>21</v>
      </c>
    </row>
    <row r="817" spans="1:17" x14ac:dyDescent="0.25">
      <c r="A817" s="2" t="s">
        <v>1775</v>
      </c>
      <c r="B817" s="7">
        <v>46014</v>
      </c>
      <c r="C817" s="5" t="s">
        <v>135</v>
      </c>
      <c r="D817" s="5" t="s">
        <v>51</v>
      </c>
      <c r="E817" s="5" t="s">
        <v>295</v>
      </c>
      <c r="F817" s="2" t="s">
        <v>314</v>
      </c>
      <c r="G817" s="2">
        <v>11</v>
      </c>
      <c r="H817" s="25">
        <v>19390</v>
      </c>
      <c r="I817" s="8">
        <v>15</v>
      </c>
      <c r="J817" s="25">
        <v>181296.5</v>
      </c>
      <c r="K817" s="25">
        <f>G817*H817</f>
        <v>213290</v>
      </c>
      <c r="L817" s="8">
        <f>K817*I817/100</f>
        <v>31993.5</v>
      </c>
      <c r="M817" s="2" t="s">
        <v>139</v>
      </c>
      <c r="N817" s="2" t="s">
        <v>176</v>
      </c>
      <c r="O817" s="2">
        <v>2025</v>
      </c>
      <c r="P817" s="2" t="str">
        <v>December</v>
      </c>
      <c r="Q817" s="2" t="s">
        <v>47</v>
      </c>
    </row>
    <row r="818" spans="1:17" x14ac:dyDescent="0.25">
      <c r="A818" s="2" t="s">
        <v>1777</v>
      </c>
      <c r="B818" s="7">
        <v>45857</v>
      </c>
      <c r="C818" s="5" t="s">
        <v>41</v>
      </c>
      <c r="D818" s="5" t="s">
        <v>42</v>
      </c>
      <c r="E818" s="5" t="s">
        <v>34</v>
      </c>
      <c r="F818" s="2" t="s">
        <v>374</v>
      </c>
      <c r="G818" s="2">
        <v>4</v>
      </c>
      <c r="H818" s="25">
        <v>3220</v>
      </c>
      <c r="I818" s="8">
        <v>0</v>
      </c>
      <c r="J818" s="25">
        <v>12880</v>
      </c>
      <c r="K818" s="25">
        <f>G818*H818</f>
        <v>12880</v>
      </c>
      <c r="L818" s="8">
        <f>K818*I818/100</f>
        <v>0</v>
      </c>
      <c r="M818" s="2" t="s">
        <v>53</v>
      </c>
      <c r="N818" s="2" t="s">
        <v>54</v>
      </c>
      <c r="O818" s="2">
        <v>2025</v>
      </c>
      <c r="P818" s="2" t="str">
        <v>July</v>
      </c>
      <c r="Q818" s="2" t="s">
        <v>47</v>
      </c>
    </row>
    <row r="819" spans="1:17" x14ac:dyDescent="0.25">
      <c r="A819" s="2" t="s">
        <v>1778</v>
      </c>
      <c r="B819" s="7">
        <v>45766</v>
      </c>
      <c r="C819" s="5" t="s">
        <v>135</v>
      </c>
      <c r="D819" s="5" t="s">
        <v>58</v>
      </c>
      <c r="E819" s="5" t="s">
        <v>179</v>
      </c>
      <c r="F819" s="2" t="s">
        <v>149</v>
      </c>
      <c r="G819" s="2">
        <v>12</v>
      </c>
      <c r="H819" s="25">
        <v>480</v>
      </c>
      <c r="I819" s="8">
        <v>0</v>
      </c>
      <c r="J819" s="25">
        <v>5760</v>
      </c>
      <c r="K819" s="25">
        <f>G819*H819</f>
        <v>5760</v>
      </c>
      <c r="L819" s="8">
        <f>K819*I819/100</f>
        <v>0</v>
      </c>
      <c r="M819" s="2" t="s">
        <v>53</v>
      </c>
      <c r="N819" s="2" t="s">
        <v>266</v>
      </c>
      <c r="O819" s="2">
        <v>2025</v>
      </c>
      <c r="P819" s="2" t="str">
        <v>April</v>
      </c>
      <c r="Q819" s="2" t="s">
        <v>47</v>
      </c>
    </row>
    <row r="820" spans="1:17" x14ac:dyDescent="0.25">
      <c r="A820" s="2" t="s">
        <v>1780</v>
      </c>
      <c r="B820" s="7">
        <v>45863</v>
      </c>
      <c r="C820" s="5" t="s">
        <v>24</v>
      </c>
      <c r="D820" s="5" t="s">
        <v>16</v>
      </c>
      <c r="E820" s="5" t="s">
        <v>295</v>
      </c>
      <c r="F820" s="2" t="s">
        <v>314</v>
      </c>
      <c r="G820" s="2">
        <v>9</v>
      </c>
      <c r="H820" s="25">
        <v>3640</v>
      </c>
      <c r="I820" s="8">
        <v>15</v>
      </c>
      <c r="J820" s="25">
        <v>27846</v>
      </c>
      <c r="K820" s="25">
        <f>G820*H820</f>
        <v>32760</v>
      </c>
      <c r="L820" s="8">
        <f>K820*I820/100</f>
        <v>4914</v>
      </c>
      <c r="M820" s="2" t="s">
        <v>102</v>
      </c>
      <c r="N820" s="2" t="s">
        <v>176</v>
      </c>
      <c r="O820" s="2">
        <v>2025</v>
      </c>
      <c r="P820" s="2" t="str">
        <v>July</v>
      </c>
      <c r="Q820" s="2" t="s">
        <v>21</v>
      </c>
    </row>
    <row r="821" spans="1:17" x14ac:dyDescent="0.25">
      <c r="A821" s="2" t="s">
        <v>1781</v>
      </c>
      <c r="B821" s="7">
        <v>45789</v>
      </c>
      <c r="C821" s="5" t="s">
        <v>41</v>
      </c>
      <c r="D821" s="5" t="s">
        <v>42</v>
      </c>
      <c r="E821" s="5" t="s">
        <v>179</v>
      </c>
      <c r="F821" s="2" t="s">
        <v>180</v>
      </c>
      <c r="G821" s="2">
        <v>4</v>
      </c>
      <c r="H821" s="25">
        <v>8960</v>
      </c>
      <c r="I821" s="8">
        <v>0</v>
      </c>
      <c r="J821" s="25">
        <v>35840</v>
      </c>
      <c r="K821" s="25">
        <f>G821*H821</f>
        <v>35840</v>
      </c>
      <c r="L821" s="8">
        <f>K821*I821/100</f>
        <v>0</v>
      </c>
      <c r="M821" s="2" t="s">
        <v>102</v>
      </c>
      <c r="N821" s="2" t="s">
        <v>188</v>
      </c>
      <c r="O821" s="2">
        <v>2025</v>
      </c>
      <c r="P821" s="2" t="str">
        <v>May</v>
      </c>
      <c r="Q821" s="2" t="s">
        <v>21</v>
      </c>
    </row>
    <row r="822" spans="1:17" x14ac:dyDescent="0.25">
      <c r="A822" s="2" t="s">
        <v>1783</v>
      </c>
      <c r="B822" s="7">
        <v>45961</v>
      </c>
      <c r="C822" s="5" t="s">
        <v>32</v>
      </c>
      <c r="D822" s="5" t="s">
        <v>33</v>
      </c>
      <c r="E822" s="5" t="s">
        <v>148</v>
      </c>
      <c r="F822" s="2" t="s">
        <v>252</v>
      </c>
      <c r="G822" s="2">
        <v>9</v>
      </c>
      <c r="H822" s="25">
        <v>25830</v>
      </c>
      <c r="I822" s="8">
        <v>0</v>
      </c>
      <c r="J822" s="25">
        <v>232470</v>
      </c>
      <c r="K822" s="25">
        <f>G822*H822</f>
        <v>232470</v>
      </c>
      <c r="L822" s="8">
        <f>K822*I822/100</f>
        <v>0</v>
      </c>
      <c r="M822" s="2" t="s">
        <v>53</v>
      </c>
      <c r="N822" s="2" t="s">
        <v>176</v>
      </c>
      <c r="O822" s="2">
        <v>2025</v>
      </c>
      <c r="P822" s="2" t="str">
        <v>October</v>
      </c>
      <c r="Q822" s="2" t="s">
        <v>47</v>
      </c>
    </row>
    <row r="823" spans="1:17" x14ac:dyDescent="0.25">
      <c r="A823" s="2" t="s">
        <v>1784</v>
      </c>
      <c r="B823" s="7">
        <v>45974</v>
      </c>
      <c r="C823" s="5" t="s">
        <v>41</v>
      </c>
      <c r="D823" s="5" t="s">
        <v>42</v>
      </c>
      <c r="E823" s="5" t="s">
        <v>25</v>
      </c>
      <c r="F823" s="2" t="s">
        <v>26</v>
      </c>
      <c r="G823" s="2">
        <v>9</v>
      </c>
      <c r="H823" s="25">
        <v>49670</v>
      </c>
      <c r="I823" s="8">
        <v>5</v>
      </c>
      <c r="J823" s="25">
        <v>424678.5</v>
      </c>
      <c r="K823" s="25">
        <f>G823*H823</f>
        <v>447030</v>
      </c>
      <c r="L823" s="8">
        <f>K823*I823/100</f>
        <v>22351.5</v>
      </c>
      <c r="M823" s="2" t="s">
        <v>102</v>
      </c>
      <c r="N823" s="2" t="s">
        <v>79</v>
      </c>
      <c r="O823" s="2">
        <v>2025</v>
      </c>
      <c r="P823" s="2" t="str">
        <v>November</v>
      </c>
      <c r="Q823" s="2" t="s">
        <v>47</v>
      </c>
    </row>
    <row r="824" spans="1:17" x14ac:dyDescent="0.25">
      <c r="A824" s="2" t="s">
        <v>1786</v>
      </c>
      <c r="B824" s="7">
        <v>45993</v>
      </c>
      <c r="C824" s="5" t="s">
        <v>41</v>
      </c>
      <c r="D824" s="5" t="s">
        <v>42</v>
      </c>
      <c r="E824" s="5" t="s">
        <v>179</v>
      </c>
      <c r="F824" s="2" t="s">
        <v>93</v>
      </c>
      <c r="G824" s="2">
        <v>8</v>
      </c>
      <c r="H824" s="25">
        <v>3910</v>
      </c>
      <c r="I824" s="8">
        <v>5</v>
      </c>
      <c r="J824" s="25">
        <v>29716</v>
      </c>
      <c r="K824" s="25">
        <f>G824*H824</f>
        <v>31280</v>
      </c>
      <c r="L824" s="8">
        <f>K824*I824/100</f>
        <v>1564</v>
      </c>
      <c r="M824" s="2" t="s">
        <v>139</v>
      </c>
      <c r="N824" s="2" t="s">
        <v>54</v>
      </c>
      <c r="O824" s="2">
        <v>2025</v>
      </c>
      <c r="P824" s="2" t="str">
        <v>December</v>
      </c>
      <c r="Q824" s="2" t="s">
        <v>21</v>
      </c>
    </row>
    <row r="825" spans="1:17" x14ac:dyDescent="0.25">
      <c r="A825" s="2" t="s">
        <v>1788</v>
      </c>
      <c r="B825" s="7">
        <v>45946</v>
      </c>
      <c r="C825" s="5" t="s">
        <v>238</v>
      </c>
      <c r="D825" s="5" t="s">
        <v>51</v>
      </c>
      <c r="E825" s="5" t="s">
        <v>25</v>
      </c>
      <c r="F825" s="2" t="s">
        <v>93</v>
      </c>
      <c r="G825" s="2">
        <v>3</v>
      </c>
      <c r="H825" s="25">
        <v>59880</v>
      </c>
      <c r="I825" s="8">
        <v>0</v>
      </c>
      <c r="J825" s="25">
        <v>179640</v>
      </c>
      <c r="K825" s="25">
        <f>G825*H825</f>
        <v>179640</v>
      </c>
      <c r="L825" s="8">
        <f>K825*I825/100</f>
        <v>0</v>
      </c>
      <c r="M825" s="2" t="s">
        <v>139</v>
      </c>
      <c r="N825" s="2" t="s">
        <v>54</v>
      </c>
      <c r="O825" s="2">
        <v>2025</v>
      </c>
      <c r="P825" s="2" t="str">
        <v>October</v>
      </c>
      <c r="Q825" s="2" t="s">
        <v>47</v>
      </c>
    </row>
    <row r="826" spans="1:17" x14ac:dyDescent="0.25">
      <c r="A826" s="2" t="s">
        <v>1790</v>
      </c>
      <c r="B826" s="7">
        <v>45684</v>
      </c>
      <c r="C826" s="5" t="s">
        <v>32</v>
      </c>
      <c r="D826" s="5" t="s">
        <v>33</v>
      </c>
      <c r="E826" s="5" t="s">
        <v>148</v>
      </c>
      <c r="F826" s="2" t="s">
        <v>83</v>
      </c>
      <c r="G826" s="2">
        <v>4</v>
      </c>
      <c r="H826" s="25">
        <v>47530</v>
      </c>
      <c r="I826" s="8">
        <v>15</v>
      </c>
      <c r="J826" s="25">
        <v>161602</v>
      </c>
      <c r="K826" s="25">
        <f>G826*H826</f>
        <v>190120</v>
      </c>
      <c r="L826" s="8">
        <f>K826*I826/100</f>
        <v>28518</v>
      </c>
      <c r="M826" s="2" t="s">
        <v>94</v>
      </c>
      <c r="N826" s="2" t="s">
        <v>411</v>
      </c>
      <c r="O826" s="2">
        <v>2025</v>
      </c>
      <c r="P826" s="2" t="str">
        <v>January</v>
      </c>
      <c r="Q826" s="2" t="s">
        <v>21</v>
      </c>
    </row>
    <row r="827" spans="1:17" x14ac:dyDescent="0.25">
      <c r="A827" s="2" t="s">
        <v>1792</v>
      </c>
      <c r="B827" s="7">
        <v>45838</v>
      </c>
      <c r="C827" s="5" t="s">
        <v>32</v>
      </c>
      <c r="D827" s="5" t="s">
        <v>33</v>
      </c>
      <c r="E827" s="5" t="s">
        <v>34</v>
      </c>
      <c r="F827" s="2" t="s">
        <v>164</v>
      </c>
      <c r="G827" s="2">
        <v>9</v>
      </c>
      <c r="H827" s="25">
        <v>61910</v>
      </c>
      <c r="I827" s="8">
        <v>0</v>
      </c>
      <c r="J827" s="25">
        <v>557190</v>
      </c>
      <c r="K827" s="25">
        <f>G827*H827</f>
        <v>557190</v>
      </c>
      <c r="L827" s="8">
        <f>K827*I827/100</f>
        <v>0</v>
      </c>
      <c r="M827" s="2" t="s">
        <v>53</v>
      </c>
      <c r="N827" s="2" t="s">
        <v>168</v>
      </c>
      <c r="O827" s="2">
        <v>2025</v>
      </c>
      <c r="P827" s="2" t="str">
        <v>June</v>
      </c>
      <c r="Q827" s="2" t="s">
        <v>47</v>
      </c>
    </row>
    <row r="828" spans="1:17" x14ac:dyDescent="0.25">
      <c r="A828" s="2" t="s">
        <v>1794</v>
      </c>
      <c r="B828" s="7">
        <v>45998</v>
      </c>
      <c r="C828" s="5" t="s">
        <v>135</v>
      </c>
      <c r="D828" s="5" t="s">
        <v>58</v>
      </c>
      <c r="E828" s="5" t="s">
        <v>179</v>
      </c>
      <c r="F828" s="2" t="s">
        <v>224</v>
      </c>
      <c r="G828" s="2">
        <v>4</v>
      </c>
      <c r="H828" s="25">
        <v>7690</v>
      </c>
      <c r="I828" s="8">
        <v>0</v>
      </c>
      <c r="J828" s="25">
        <v>30760</v>
      </c>
      <c r="K828" s="25">
        <f>G828*H828</f>
        <v>30760</v>
      </c>
      <c r="L828" s="8">
        <f>K828*I828/100</f>
        <v>0</v>
      </c>
      <c r="M828" s="2" t="s">
        <v>102</v>
      </c>
      <c r="N828" s="2" t="s">
        <v>37</v>
      </c>
      <c r="O828" s="2">
        <v>2025</v>
      </c>
      <c r="P828" s="2" t="str">
        <v>December</v>
      </c>
      <c r="Q828" s="2" t="s">
        <v>21</v>
      </c>
    </row>
    <row r="829" spans="1:17" x14ac:dyDescent="0.25">
      <c r="A829" s="2" t="s">
        <v>1796</v>
      </c>
      <c r="B829" s="7">
        <v>45911</v>
      </c>
      <c r="C829" s="5" t="s">
        <v>41</v>
      </c>
      <c r="D829" s="5" t="s">
        <v>42</v>
      </c>
      <c r="E829" s="5" t="s">
        <v>148</v>
      </c>
      <c r="F829" s="2" t="s">
        <v>435</v>
      </c>
      <c r="G829" s="2">
        <v>7</v>
      </c>
      <c r="H829" s="25">
        <v>5480</v>
      </c>
      <c r="I829" s="8">
        <v>0</v>
      </c>
      <c r="J829" s="25">
        <v>38360</v>
      </c>
      <c r="K829" s="25">
        <f>G829*H829</f>
        <v>38360</v>
      </c>
      <c r="L829" s="8">
        <f>K829*I829/100</f>
        <v>0</v>
      </c>
      <c r="M829" s="2" t="s">
        <v>102</v>
      </c>
      <c r="N829" s="2" t="s">
        <v>73</v>
      </c>
      <c r="O829" s="2">
        <v>2025</v>
      </c>
      <c r="P829" s="2" t="str">
        <v>September</v>
      </c>
      <c r="Q829" s="2" t="s">
        <v>47</v>
      </c>
    </row>
    <row r="830" spans="1:17" x14ac:dyDescent="0.25">
      <c r="A830" s="2" t="s">
        <v>1798</v>
      </c>
      <c r="B830" s="7">
        <v>46018</v>
      </c>
      <c r="C830" s="5" t="s">
        <v>32</v>
      </c>
      <c r="D830" s="5" t="s">
        <v>33</v>
      </c>
      <c r="E830" s="5" t="s">
        <v>179</v>
      </c>
      <c r="F830" s="2" t="s">
        <v>199</v>
      </c>
      <c r="G830" s="2">
        <v>5</v>
      </c>
      <c r="H830" s="25">
        <v>5650</v>
      </c>
      <c r="I830" s="8">
        <v>0</v>
      </c>
      <c r="J830" s="25">
        <v>28250</v>
      </c>
      <c r="K830" s="25">
        <f>G830*H830</f>
        <v>28250</v>
      </c>
      <c r="L830" s="8">
        <f>K830*I830/100</f>
        <v>0</v>
      </c>
      <c r="M830" s="2" t="s">
        <v>102</v>
      </c>
      <c r="N830" s="2" t="s">
        <v>37</v>
      </c>
      <c r="O830" s="2">
        <v>2025</v>
      </c>
      <c r="P830" s="2" t="str">
        <v>December</v>
      </c>
      <c r="Q830" s="2" t="s">
        <v>21</v>
      </c>
    </row>
    <row r="831" spans="1:17" x14ac:dyDescent="0.25">
      <c r="A831" s="2" t="s">
        <v>1800</v>
      </c>
      <c r="B831" s="7">
        <v>45794</v>
      </c>
      <c r="C831" s="5" t="s">
        <v>76</v>
      </c>
      <c r="D831" s="5" t="s">
        <v>33</v>
      </c>
      <c r="E831" s="5" t="s">
        <v>25</v>
      </c>
      <c r="F831" s="2" t="s">
        <v>26</v>
      </c>
      <c r="G831" s="2">
        <v>10</v>
      </c>
      <c r="H831" s="25">
        <v>50210</v>
      </c>
      <c r="I831" s="8">
        <v>0</v>
      </c>
      <c r="J831" s="25">
        <v>502100</v>
      </c>
      <c r="K831" s="25">
        <f>G831*H831</f>
        <v>502100</v>
      </c>
      <c r="L831" s="8">
        <f>K831*I831/100</f>
        <v>0</v>
      </c>
      <c r="M831" s="2" t="s">
        <v>94</v>
      </c>
      <c r="N831" s="2" t="s">
        <v>37</v>
      </c>
      <c r="O831" s="2">
        <v>2025</v>
      </c>
      <c r="P831" s="2" t="str">
        <v>May</v>
      </c>
      <c r="Q831" s="2" t="s">
        <v>47</v>
      </c>
    </row>
    <row r="832" spans="1:17" x14ac:dyDescent="0.25">
      <c r="A832" s="2" t="s">
        <v>1803</v>
      </c>
      <c r="B832" s="7">
        <v>45714</v>
      </c>
      <c r="C832" s="5" t="s">
        <v>76</v>
      </c>
      <c r="D832" s="5" t="s">
        <v>33</v>
      </c>
      <c r="E832" s="5" t="s">
        <v>295</v>
      </c>
      <c r="F832" s="2" t="s">
        <v>314</v>
      </c>
      <c r="G832" s="2">
        <v>3</v>
      </c>
      <c r="H832" s="25">
        <v>44780</v>
      </c>
      <c r="I832" s="8">
        <v>15</v>
      </c>
      <c r="J832" s="25">
        <v>114189</v>
      </c>
      <c r="K832" s="25">
        <f>G832*H832</f>
        <v>134340</v>
      </c>
      <c r="L832" s="8">
        <f>K832*I832/100</f>
        <v>20151</v>
      </c>
      <c r="M832" s="2" t="s">
        <v>102</v>
      </c>
      <c r="N832" s="2" t="s">
        <v>266</v>
      </c>
      <c r="O832" s="2">
        <v>2025</v>
      </c>
      <c r="P832" s="2" t="str">
        <v>February</v>
      </c>
      <c r="Q832" s="2" t="s">
        <v>47</v>
      </c>
    </row>
    <row r="833" spans="1:17" x14ac:dyDescent="0.25">
      <c r="A833" s="2" t="s">
        <v>1805</v>
      </c>
      <c r="B833" s="7">
        <v>45762</v>
      </c>
      <c r="C833" s="5" t="s">
        <v>24</v>
      </c>
      <c r="D833" s="5" t="s">
        <v>16</v>
      </c>
      <c r="E833" s="5" t="s">
        <v>295</v>
      </c>
      <c r="F833" s="2" t="s">
        <v>66</v>
      </c>
      <c r="G833" s="2">
        <v>10</v>
      </c>
      <c r="H833" s="25">
        <v>10890</v>
      </c>
      <c r="I833" s="8">
        <v>0</v>
      </c>
      <c r="J833" s="25">
        <v>108900</v>
      </c>
      <c r="K833" s="25">
        <f>G833*H833</f>
        <v>108900</v>
      </c>
      <c r="L833" s="8">
        <f>K833*I833/100</f>
        <v>0</v>
      </c>
      <c r="M833" s="2" t="s">
        <v>139</v>
      </c>
      <c r="N833" s="2" t="s">
        <v>344</v>
      </c>
      <c r="O833" s="2">
        <v>2025</v>
      </c>
      <c r="P833" s="2" t="str">
        <v>April</v>
      </c>
      <c r="Q833" s="2" t="s">
        <v>47</v>
      </c>
    </row>
    <row r="834" spans="1:17" x14ac:dyDescent="0.25">
      <c r="A834" s="2" t="s">
        <v>1806</v>
      </c>
      <c r="B834" s="7">
        <v>45845</v>
      </c>
      <c r="C834" s="5" t="s">
        <v>41</v>
      </c>
      <c r="D834" s="5" t="s">
        <v>42</v>
      </c>
      <c r="E834" s="5" t="s">
        <v>148</v>
      </c>
      <c r="F834" s="2" t="s">
        <v>83</v>
      </c>
      <c r="G834" s="2">
        <v>1</v>
      </c>
      <c r="H834" s="25">
        <v>7620</v>
      </c>
      <c r="I834" s="8">
        <v>15</v>
      </c>
      <c r="J834" s="25">
        <v>6477</v>
      </c>
      <c r="K834" s="25">
        <f>G834*H834</f>
        <v>7620</v>
      </c>
      <c r="L834" s="8">
        <f>K834*I834/100</f>
        <v>1143</v>
      </c>
      <c r="M834" s="2" t="s">
        <v>139</v>
      </c>
      <c r="N834" s="2" t="s">
        <v>73</v>
      </c>
      <c r="O834" s="2">
        <v>2025</v>
      </c>
      <c r="P834" s="2" t="str">
        <v>July</v>
      </c>
      <c r="Q834" s="2" t="s">
        <v>47</v>
      </c>
    </row>
    <row r="835" spans="1:17" x14ac:dyDescent="0.25">
      <c r="A835" s="2" t="s">
        <v>1807</v>
      </c>
      <c r="B835" s="7">
        <v>45721</v>
      </c>
      <c r="C835" s="5" t="s">
        <v>24</v>
      </c>
      <c r="D835" s="5" t="s">
        <v>33</v>
      </c>
      <c r="E835" s="5" t="s">
        <v>179</v>
      </c>
      <c r="F835" s="2" t="s">
        <v>78</v>
      </c>
      <c r="G835" s="2">
        <v>1</v>
      </c>
      <c r="H835" s="25">
        <v>9960</v>
      </c>
      <c r="I835" s="8">
        <v>15</v>
      </c>
      <c r="J835" s="25">
        <v>8466</v>
      </c>
      <c r="K835" s="25">
        <f>G835*H835</f>
        <v>9960</v>
      </c>
      <c r="L835" s="8">
        <f>K835*I835/100</f>
        <v>1494</v>
      </c>
      <c r="M835" s="2" t="s">
        <v>139</v>
      </c>
      <c r="N835" s="2" t="s">
        <v>54</v>
      </c>
      <c r="O835" s="2">
        <v>2025</v>
      </c>
      <c r="P835" s="2" t="str">
        <v>March</v>
      </c>
      <c r="Q835" s="2" t="s">
        <v>47</v>
      </c>
    </row>
    <row r="836" spans="1:17" x14ac:dyDescent="0.25">
      <c r="A836" s="2" t="s">
        <v>1809</v>
      </c>
      <c r="B836" s="7">
        <v>45933</v>
      </c>
      <c r="C836" s="5" t="s">
        <v>41</v>
      </c>
      <c r="D836" s="5" t="s">
        <v>42</v>
      </c>
      <c r="E836" s="5" t="s">
        <v>179</v>
      </c>
      <c r="F836" s="2" t="s">
        <v>78</v>
      </c>
      <c r="G836" s="2">
        <v>3</v>
      </c>
      <c r="H836" s="25">
        <v>1240</v>
      </c>
      <c r="I836" s="8">
        <v>0</v>
      </c>
      <c r="J836" s="25">
        <v>3720</v>
      </c>
      <c r="K836" s="25">
        <f>G836*H836</f>
        <v>3720</v>
      </c>
      <c r="L836" s="8">
        <f>K836*I836/100</f>
        <v>0</v>
      </c>
      <c r="M836" s="2" t="s">
        <v>139</v>
      </c>
      <c r="N836" s="2" t="s">
        <v>188</v>
      </c>
      <c r="O836" s="2">
        <v>2025</v>
      </c>
      <c r="P836" s="2" t="str">
        <v>October</v>
      </c>
      <c r="Q836" s="2" t="s">
        <v>21</v>
      </c>
    </row>
    <row r="837" spans="1:17" x14ac:dyDescent="0.25">
      <c r="A837" s="2" t="s">
        <v>1810</v>
      </c>
      <c r="B837" s="7">
        <v>46010</v>
      </c>
      <c r="C837" s="5" t="s">
        <v>156</v>
      </c>
      <c r="D837" s="5" t="s">
        <v>51</v>
      </c>
      <c r="E837" s="5" t="s">
        <v>179</v>
      </c>
      <c r="F837" s="2" t="s">
        <v>224</v>
      </c>
      <c r="G837" s="2">
        <v>1</v>
      </c>
      <c r="H837" s="25">
        <v>5220</v>
      </c>
      <c r="I837" s="8">
        <v>10</v>
      </c>
      <c r="J837" s="25">
        <v>4698</v>
      </c>
      <c r="K837" s="25">
        <f>G837*H837</f>
        <v>5220</v>
      </c>
      <c r="L837" s="8">
        <f>K837*I837/100</f>
        <v>522</v>
      </c>
      <c r="M837" s="2" t="s">
        <v>53</v>
      </c>
      <c r="N837" s="2" t="s">
        <v>79</v>
      </c>
      <c r="O837" s="2">
        <v>2025</v>
      </c>
      <c r="P837" s="2" t="str">
        <v>December</v>
      </c>
      <c r="Q837" s="2" t="s">
        <v>47</v>
      </c>
    </row>
    <row r="838" spans="1:17" x14ac:dyDescent="0.25">
      <c r="A838" s="2" t="s">
        <v>1811</v>
      </c>
      <c r="B838" s="7">
        <v>45697</v>
      </c>
      <c r="C838" s="5" t="s">
        <v>156</v>
      </c>
      <c r="D838" s="5" t="s">
        <v>51</v>
      </c>
      <c r="E838" s="5" t="s">
        <v>179</v>
      </c>
      <c r="F838" s="2" t="s">
        <v>543</v>
      </c>
      <c r="G838" s="2">
        <v>6</v>
      </c>
      <c r="H838" s="25">
        <v>26790</v>
      </c>
      <c r="I838" s="8">
        <v>0</v>
      </c>
      <c r="J838" s="25">
        <v>160740</v>
      </c>
      <c r="K838" s="25">
        <f>G838*H838</f>
        <v>160740</v>
      </c>
      <c r="L838" s="8">
        <f>K838*I838/100</f>
        <v>0</v>
      </c>
      <c r="M838" s="2" t="s">
        <v>53</v>
      </c>
      <c r="N838" s="2" t="s">
        <v>54</v>
      </c>
      <c r="O838" s="2">
        <v>2025</v>
      </c>
      <c r="P838" s="2" t="str">
        <v>February</v>
      </c>
      <c r="Q838" s="2" t="s">
        <v>21</v>
      </c>
    </row>
    <row r="839" spans="1:17" x14ac:dyDescent="0.25">
      <c r="A839" s="2" t="s">
        <v>1813</v>
      </c>
      <c r="B839" s="7">
        <v>45669</v>
      </c>
      <c r="C839" s="5" t="s">
        <v>238</v>
      </c>
      <c r="D839" s="5" t="s">
        <v>51</v>
      </c>
      <c r="E839" s="5" t="s">
        <v>179</v>
      </c>
      <c r="F839" s="2" t="s">
        <v>180</v>
      </c>
      <c r="G839" s="2">
        <v>5</v>
      </c>
      <c r="H839" s="25">
        <v>3900</v>
      </c>
      <c r="I839" s="8">
        <v>0</v>
      </c>
      <c r="J839" s="25">
        <v>19500</v>
      </c>
      <c r="K839" s="25">
        <f>G839*H839</f>
        <v>19500</v>
      </c>
      <c r="L839" s="8">
        <f>K839*I839/100</f>
        <v>0</v>
      </c>
      <c r="M839" s="2" t="s">
        <v>139</v>
      </c>
      <c r="N839" s="2" t="s">
        <v>79</v>
      </c>
      <c r="O839" s="2">
        <v>2025</v>
      </c>
      <c r="P839" s="2" t="str">
        <v>January</v>
      </c>
      <c r="Q839" s="2" t="s">
        <v>47</v>
      </c>
    </row>
    <row r="840" spans="1:17" x14ac:dyDescent="0.25">
      <c r="A840" s="2" t="s">
        <v>1815</v>
      </c>
      <c r="B840" s="7">
        <v>45784</v>
      </c>
      <c r="C840" s="5" t="s">
        <v>238</v>
      </c>
      <c r="D840" s="2" t="s">
        <v>51</v>
      </c>
      <c r="E840" s="2" t="s">
        <v>25</v>
      </c>
      <c r="F840" s="2" t="s">
        <v>332</v>
      </c>
      <c r="G840" s="2">
        <v>6</v>
      </c>
      <c r="H840" s="25">
        <v>25610</v>
      </c>
      <c r="I840" s="8">
        <v>15</v>
      </c>
      <c r="J840" s="25">
        <v>130611</v>
      </c>
      <c r="K840" s="25">
        <f>G840*H840</f>
        <v>153660</v>
      </c>
      <c r="L840" s="8">
        <f>K840*I840/100</f>
        <v>23049</v>
      </c>
      <c r="M840" s="2" t="s">
        <v>102</v>
      </c>
      <c r="N840" s="2" t="s">
        <v>46</v>
      </c>
      <c r="O840" s="2">
        <v>2025</v>
      </c>
      <c r="P840" s="2" t="str">
        <v>May</v>
      </c>
      <c r="Q840" s="2" t="s">
        <v>47</v>
      </c>
    </row>
    <row r="841" spans="1:17" x14ac:dyDescent="0.25">
      <c r="A841" s="2" t="s">
        <v>1817</v>
      </c>
      <c r="B841" s="7">
        <v>45700</v>
      </c>
      <c r="C841" s="5" t="s">
        <v>156</v>
      </c>
      <c r="D841" s="5" t="s">
        <v>51</v>
      </c>
      <c r="E841" s="5" t="s">
        <v>25</v>
      </c>
      <c r="F841" s="2" t="s">
        <v>26</v>
      </c>
      <c r="G841" s="2">
        <v>3</v>
      </c>
      <c r="H841" s="25">
        <v>3900</v>
      </c>
      <c r="I841" s="8">
        <v>15</v>
      </c>
      <c r="J841" s="25">
        <v>9945</v>
      </c>
      <c r="K841" s="25">
        <f>G841*H841</f>
        <v>11700</v>
      </c>
      <c r="L841" s="8">
        <f>K841*I841/100</f>
        <v>1755</v>
      </c>
      <c r="M841" s="2" t="s">
        <v>53</v>
      </c>
      <c r="N841" s="2" t="s">
        <v>73</v>
      </c>
      <c r="O841" s="2">
        <v>2025</v>
      </c>
      <c r="P841" s="2" t="str">
        <v>February</v>
      </c>
      <c r="Q841" s="2" t="s">
        <v>47</v>
      </c>
    </row>
    <row r="842" spans="1:17" x14ac:dyDescent="0.25">
      <c r="A842" s="2" t="s">
        <v>1818</v>
      </c>
      <c r="B842" s="7">
        <v>45926</v>
      </c>
      <c r="C842" s="5" t="s">
        <v>238</v>
      </c>
      <c r="D842" s="5" t="s">
        <v>51</v>
      </c>
      <c r="E842" s="5" t="s">
        <v>34</v>
      </c>
      <c r="F842" s="2" t="s">
        <v>18</v>
      </c>
      <c r="G842" s="2">
        <v>8</v>
      </c>
      <c r="H842" s="25">
        <v>3920</v>
      </c>
      <c r="I842" s="8">
        <v>0</v>
      </c>
      <c r="J842" s="25">
        <v>31360</v>
      </c>
      <c r="K842" s="25">
        <f>G842*H842</f>
        <v>31360</v>
      </c>
      <c r="L842" s="8">
        <f>K842*I842/100</f>
        <v>0</v>
      </c>
      <c r="M842" s="2" t="s">
        <v>94</v>
      </c>
      <c r="N842" s="2" t="s">
        <v>37</v>
      </c>
      <c r="O842" s="2">
        <v>2025</v>
      </c>
      <c r="P842" s="2" t="str">
        <v>September</v>
      </c>
      <c r="Q842" s="2" t="s">
        <v>47</v>
      </c>
    </row>
    <row r="843" spans="1:17" x14ac:dyDescent="0.25">
      <c r="A843" s="2" t="s">
        <v>1819</v>
      </c>
      <c r="B843" s="7">
        <v>46007</v>
      </c>
      <c r="C843" s="5" t="s">
        <v>24</v>
      </c>
      <c r="D843" s="5" t="s">
        <v>16</v>
      </c>
      <c r="E843" s="5" t="s">
        <v>25</v>
      </c>
      <c r="F843" s="2" t="s">
        <v>332</v>
      </c>
      <c r="G843" s="2">
        <v>6</v>
      </c>
      <c r="H843" s="25">
        <v>2580</v>
      </c>
      <c r="I843" s="8">
        <v>0</v>
      </c>
      <c r="J843" s="25">
        <v>15480</v>
      </c>
      <c r="K843" s="25">
        <f>G843*H843</f>
        <v>15480</v>
      </c>
      <c r="L843" s="8">
        <f>K843*I843/100</f>
        <v>0</v>
      </c>
      <c r="M843" s="2" t="s">
        <v>139</v>
      </c>
      <c r="N843" s="2" t="s">
        <v>46</v>
      </c>
      <c r="O843" s="2">
        <v>2025</v>
      </c>
      <c r="P843" s="2" t="str">
        <v>December</v>
      </c>
      <c r="Q843" s="2" t="s">
        <v>47</v>
      </c>
    </row>
    <row r="844" spans="1:17" x14ac:dyDescent="0.25">
      <c r="A844" s="2" t="s">
        <v>1821</v>
      </c>
      <c r="B844" s="7">
        <v>45807</v>
      </c>
      <c r="C844" s="5" t="s">
        <v>41</v>
      </c>
      <c r="D844" s="5" t="s">
        <v>42</v>
      </c>
      <c r="E844" s="5" t="s">
        <v>34</v>
      </c>
      <c r="F844" s="2" t="s">
        <v>71</v>
      </c>
      <c r="G844" s="2">
        <v>11</v>
      </c>
      <c r="H844" s="25">
        <v>9100</v>
      </c>
      <c r="I844" s="8">
        <v>0</v>
      </c>
      <c r="J844" s="25">
        <v>100100</v>
      </c>
      <c r="K844" s="25">
        <f>G844*H844</f>
        <v>100100</v>
      </c>
      <c r="L844" s="8">
        <f>K844*I844/100</f>
        <v>0</v>
      </c>
      <c r="M844" s="2" t="s">
        <v>53</v>
      </c>
      <c r="N844" s="2" t="s">
        <v>79</v>
      </c>
      <c r="O844" s="2">
        <v>2025</v>
      </c>
      <c r="P844" s="2" t="str">
        <v>May</v>
      </c>
      <c r="Q844" s="2" t="s">
        <v>47</v>
      </c>
    </row>
    <row r="845" spans="1:17" x14ac:dyDescent="0.25">
      <c r="A845" s="2" t="s">
        <v>1823</v>
      </c>
      <c r="B845" s="7">
        <v>45670</v>
      </c>
      <c r="C845" s="5" t="s">
        <v>76</v>
      </c>
      <c r="D845" s="5" t="s">
        <v>33</v>
      </c>
      <c r="E845" s="5" t="s">
        <v>148</v>
      </c>
      <c r="F845" s="2" t="s">
        <v>209</v>
      </c>
      <c r="G845" s="2">
        <v>11</v>
      </c>
      <c r="H845" s="25">
        <v>42690</v>
      </c>
      <c r="I845" s="8">
        <v>0</v>
      </c>
      <c r="J845" s="25">
        <v>469590</v>
      </c>
      <c r="K845" s="25">
        <f>G845*H845</f>
        <v>469590</v>
      </c>
      <c r="L845" s="8">
        <f>K845*I845/100</f>
        <v>0</v>
      </c>
      <c r="M845" s="2" t="s">
        <v>53</v>
      </c>
      <c r="N845" s="2" t="s">
        <v>46</v>
      </c>
      <c r="O845" s="2">
        <v>2025</v>
      </c>
      <c r="P845" s="2" t="str">
        <v>January</v>
      </c>
      <c r="Q845" s="2" t="s">
        <v>47</v>
      </c>
    </row>
    <row r="846" spans="1:17" x14ac:dyDescent="0.25">
      <c r="A846" s="2" t="s">
        <v>1824</v>
      </c>
      <c r="B846" s="7">
        <v>45731</v>
      </c>
      <c r="C846" s="5" t="s">
        <v>238</v>
      </c>
      <c r="D846" s="5" t="s">
        <v>51</v>
      </c>
      <c r="E846" s="5" t="s">
        <v>34</v>
      </c>
      <c r="F846" s="2" t="s">
        <v>374</v>
      </c>
      <c r="G846" s="2">
        <v>2</v>
      </c>
      <c r="H846" s="25">
        <v>68510</v>
      </c>
      <c r="I846" s="8">
        <v>0</v>
      </c>
      <c r="J846" s="25">
        <v>137020</v>
      </c>
      <c r="K846" s="25">
        <f>G846*H846</f>
        <v>137020</v>
      </c>
      <c r="L846" s="8">
        <f>K846*I846/100</f>
        <v>0</v>
      </c>
      <c r="M846" s="2" t="s">
        <v>94</v>
      </c>
      <c r="N846" s="2" t="s">
        <v>37</v>
      </c>
      <c r="O846" s="2">
        <v>2025</v>
      </c>
      <c r="P846" s="2" t="str">
        <v>March</v>
      </c>
      <c r="Q846" s="2" t="s">
        <v>47</v>
      </c>
    </row>
    <row r="847" spans="1:17" x14ac:dyDescent="0.25">
      <c r="A847" s="2" t="s">
        <v>1826</v>
      </c>
      <c r="B847" s="7">
        <v>45775</v>
      </c>
      <c r="C847" s="5" t="s">
        <v>24</v>
      </c>
      <c r="D847" s="5" t="s">
        <v>33</v>
      </c>
      <c r="E847" s="5" t="s">
        <v>295</v>
      </c>
      <c r="F847" s="2" t="s">
        <v>132</v>
      </c>
      <c r="G847" s="2">
        <v>8</v>
      </c>
      <c r="H847" s="25">
        <v>20170</v>
      </c>
      <c r="I847" s="8">
        <v>0</v>
      </c>
      <c r="J847" s="25">
        <v>161360</v>
      </c>
      <c r="K847" s="25">
        <f>G847*H847</f>
        <v>161360</v>
      </c>
      <c r="L847" s="8">
        <f>K847*I847/100</f>
        <v>0</v>
      </c>
      <c r="M847" s="2" t="s">
        <v>139</v>
      </c>
      <c r="N847" s="2" t="s">
        <v>341</v>
      </c>
      <c r="O847" s="2">
        <v>2025</v>
      </c>
      <c r="P847" s="2" t="str">
        <v>April</v>
      </c>
      <c r="Q847" s="2" t="s">
        <v>21</v>
      </c>
    </row>
    <row r="848" spans="1:17" x14ac:dyDescent="0.25">
      <c r="A848" s="2" t="s">
        <v>1828</v>
      </c>
      <c r="B848" s="7">
        <v>45717</v>
      </c>
      <c r="C848" s="5" t="s">
        <v>76</v>
      </c>
      <c r="D848" s="5" t="s">
        <v>33</v>
      </c>
      <c r="E848" s="5" t="s">
        <v>295</v>
      </c>
      <c r="F848" s="2" t="s">
        <v>296</v>
      </c>
      <c r="G848" s="2">
        <v>9</v>
      </c>
      <c r="H848" s="25">
        <v>3540</v>
      </c>
      <c r="I848" s="8">
        <v>5</v>
      </c>
      <c r="J848" s="25">
        <v>30267</v>
      </c>
      <c r="K848" s="25">
        <f>G848*H848</f>
        <v>31860</v>
      </c>
      <c r="L848" s="8">
        <f>K848*I848/100</f>
        <v>1593</v>
      </c>
      <c r="M848" s="2" t="s">
        <v>53</v>
      </c>
      <c r="N848" s="2" t="s">
        <v>266</v>
      </c>
      <c r="O848" s="2">
        <v>2025</v>
      </c>
      <c r="P848" s="2" t="str">
        <v>March</v>
      </c>
      <c r="Q848" s="2" t="s">
        <v>47</v>
      </c>
    </row>
    <row r="849" spans="1:17" x14ac:dyDescent="0.25">
      <c r="A849" s="2" t="s">
        <v>1829</v>
      </c>
      <c r="B849" s="7">
        <v>45962</v>
      </c>
      <c r="C849" s="5" t="s">
        <v>135</v>
      </c>
      <c r="D849" s="5" t="s">
        <v>51</v>
      </c>
      <c r="E849" s="5" t="s">
        <v>295</v>
      </c>
      <c r="F849" s="2" t="s">
        <v>126</v>
      </c>
      <c r="G849" s="2">
        <v>6</v>
      </c>
      <c r="H849" s="25">
        <v>40840</v>
      </c>
      <c r="I849" s="8">
        <v>0</v>
      </c>
      <c r="J849" s="25">
        <v>245040</v>
      </c>
      <c r="K849" s="25">
        <f>G849*H849</f>
        <v>245040</v>
      </c>
      <c r="L849" s="8">
        <f>K849*I849/100</f>
        <v>0</v>
      </c>
      <c r="M849" s="2" t="s">
        <v>53</v>
      </c>
      <c r="N849" s="2" t="s">
        <v>344</v>
      </c>
      <c r="O849" s="2">
        <v>2025</v>
      </c>
      <c r="P849" s="2" t="str">
        <v>November</v>
      </c>
      <c r="Q849" s="2" t="s">
        <v>21</v>
      </c>
    </row>
    <row r="850" spans="1:17" x14ac:dyDescent="0.25">
      <c r="A850" s="2" t="s">
        <v>1831</v>
      </c>
      <c r="B850" s="7">
        <v>45836</v>
      </c>
      <c r="C850" s="5" t="s">
        <v>156</v>
      </c>
      <c r="D850" s="5" t="s">
        <v>51</v>
      </c>
      <c r="E850" s="5" t="s">
        <v>179</v>
      </c>
      <c r="F850" s="2" t="s">
        <v>332</v>
      </c>
      <c r="G850" s="2">
        <v>4</v>
      </c>
      <c r="H850" s="25">
        <v>7600</v>
      </c>
      <c r="I850" s="8">
        <v>0</v>
      </c>
      <c r="J850" s="25">
        <v>30400</v>
      </c>
      <c r="K850" s="25">
        <f>G850*H850</f>
        <v>30400</v>
      </c>
      <c r="L850" s="8">
        <f>K850*I850/100</f>
        <v>0</v>
      </c>
      <c r="M850" s="2" t="s">
        <v>53</v>
      </c>
      <c r="N850" s="2" t="s">
        <v>68</v>
      </c>
      <c r="O850" s="2">
        <v>2025</v>
      </c>
      <c r="P850" s="2" t="str">
        <v>June</v>
      </c>
      <c r="Q850" s="2" t="s">
        <v>47</v>
      </c>
    </row>
    <row r="851" spans="1:17" x14ac:dyDescent="0.25">
      <c r="A851" s="2" t="s">
        <v>1833</v>
      </c>
      <c r="B851" s="7">
        <v>45864</v>
      </c>
      <c r="C851" s="5" t="s">
        <v>32</v>
      </c>
      <c r="D851" s="5" t="s">
        <v>33</v>
      </c>
      <c r="E851" s="5" t="s">
        <v>295</v>
      </c>
      <c r="F851" s="2" t="s">
        <v>101</v>
      </c>
      <c r="G851" s="2">
        <v>3</v>
      </c>
      <c r="H851" s="25">
        <v>1180</v>
      </c>
      <c r="I851" s="8">
        <v>0</v>
      </c>
      <c r="J851" s="25">
        <v>3540</v>
      </c>
      <c r="K851" s="25">
        <f>G851*H851</f>
        <v>3540</v>
      </c>
      <c r="L851" s="8">
        <f>K851*I851/100</f>
        <v>0</v>
      </c>
      <c r="M851" s="2" t="s">
        <v>102</v>
      </c>
      <c r="N851" s="2" t="s">
        <v>68</v>
      </c>
      <c r="O851" s="2">
        <v>2025</v>
      </c>
      <c r="P851" s="2" t="str">
        <v>July</v>
      </c>
      <c r="Q851" s="2" t="s">
        <v>47</v>
      </c>
    </row>
    <row r="852" spans="1:17" x14ac:dyDescent="0.25">
      <c r="A852" s="2" t="s">
        <v>1835</v>
      </c>
      <c r="B852" s="7">
        <v>45720</v>
      </c>
      <c r="C852" s="5" t="s">
        <v>24</v>
      </c>
      <c r="D852" s="5" t="s">
        <v>16</v>
      </c>
      <c r="E852" s="5" t="s">
        <v>25</v>
      </c>
      <c r="F852" s="2" t="s">
        <v>248</v>
      </c>
      <c r="G852" s="2">
        <v>7</v>
      </c>
      <c r="H852" s="25">
        <v>8090</v>
      </c>
      <c r="I852" s="8">
        <v>0</v>
      </c>
      <c r="J852" s="25">
        <v>56630</v>
      </c>
      <c r="K852" s="25">
        <f>G852*H852</f>
        <v>56630</v>
      </c>
      <c r="L852" s="8">
        <f>K852*I852/100</f>
        <v>0</v>
      </c>
      <c r="M852" s="2" t="s">
        <v>102</v>
      </c>
      <c r="N852" s="2" t="s">
        <v>79</v>
      </c>
      <c r="O852" s="2">
        <v>2025</v>
      </c>
      <c r="P852" s="2" t="str">
        <v>March</v>
      </c>
      <c r="Q852" s="2" t="s">
        <v>47</v>
      </c>
    </row>
    <row r="853" spans="1:17" x14ac:dyDescent="0.25">
      <c r="A853" s="2" t="s">
        <v>1836</v>
      </c>
      <c r="B853" s="7">
        <v>45861</v>
      </c>
      <c r="C853" s="5" t="s">
        <v>156</v>
      </c>
      <c r="D853" s="5" t="s">
        <v>51</v>
      </c>
      <c r="E853" s="5" t="s">
        <v>179</v>
      </c>
      <c r="F853" s="2" t="s">
        <v>248</v>
      </c>
      <c r="G853" s="2">
        <v>6</v>
      </c>
      <c r="H853" s="25">
        <v>20180</v>
      </c>
      <c r="I853" s="8">
        <v>0</v>
      </c>
      <c r="J853" s="25">
        <v>121080</v>
      </c>
      <c r="K853" s="25">
        <f>G853*H853</f>
        <v>121080</v>
      </c>
      <c r="L853" s="8">
        <f>K853*I853/100</f>
        <v>0</v>
      </c>
      <c r="M853" s="2" t="s">
        <v>94</v>
      </c>
      <c r="N853" s="2" t="s">
        <v>168</v>
      </c>
      <c r="O853" s="2">
        <v>2025</v>
      </c>
      <c r="P853" s="2" t="str">
        <v>July</v>
      </c>
      <c r="Q853" s="2" t="s">
        <v>21</v>
      </c>
    </row>
    <row r="854" spans="1:17" x14ac:dyDescent="0.25">
      <c r="A854" s="2" t="s">
        <v>1838</v>
      </c>
      <c r="B854" s="7">
        <v>45993</v>
      </c>
      <c r="C854" s="5" t="s">
        <v>156</v>
      </c>
      <c r="D854" s="5" t="s">
        <v>51</v>
      </c>
      <c r="E854" s="5" t="s">
        <v>295</v>
      </c>
      <c r="F854" s="2" t="s">
        <v>296</v>
      </c>
      <c r="G854" s="2">
        <v>11</v>
      </c>
      <c r="H854" s="25">
        <v>16750</v>
      </c>
      <c r="I854" s="8">
        <v>10</v>
      </c>
      <c r="J854" s="25">
        <v>165825</v>
      </c>
      <c r="K854" s="25">
        <f>G854*H854</f>
        <v>184250</v>
      </c>
      <c r="L854" s="8">
        <f>K854*I854/100</f>
        <v>18425</v>
      </c>
      <c r="M854" s="2" t="s">
        <v>102</v>
      </c>
      <c r="N854" s="2" t="s">
        <v>73</v>
      </c>
      <c r="O854" s="2">
        <v>2025</v>
      </c>
      <c r="P854" s="2" t="str">
        <v>December</v>
      </c>
      <c r="Q854" s="2" t="s">
        <v>47</v>
      </c>
    </row>
    <row r="855" spans="1:17" x14ac:dyDescent="0.25">
      <c r="A855" s="2" t="s">
        <v>1840</v>
      </c>
      <c r="B855" s="7">
        <v>45895</v>
      </c>
      <c r="C855" s="5" t="s">
        <v>76</v>
      </c>
      <c r="D855" s="5" t="s">
        <v>33</v>
      </c>
      <c r="E855" s="5" t="s">
        <v>148</v>
      </c>
      <c r="F855" s="2" t="s">
        <v>149</v>
      </c>
      <c r="G855" s="2">
        <v>11</v>
      </c>
      <c r="H855" s="25">
        <v>41350</v>
      </c>
      <c r="I855" s="8">
        <v>0</v>
      </c>
      <c r="J855" s="25">
        <v>454850</v>
      </c>
      <c r="K855" s="25">
        <f>G855*H855</f>
        <v>454850</v>
      </c>
      <c r="L855" s="8">
        <f>K855*I855/100</f>
        <v>0</v>
      </c>
      <c r="M855" s="2" t="s">
        <v>53</v>
      </c>
      <c r="N855" s="2" t="s">
        <v>266</v>
      </c>
      <c r="O855" s="2">
        <v>2025</v>
      </c>
      <c r="P855" s="2" t="str">
        <v>August</v>
      </c>
      <c r="Q855" s="2" t="s">
        <v>21</v>
      </c>
    </row>
    <row r="856" spans="1:17" x14ac:dyDescent="0.25">
      <c r="A856" s="2" t="s">
        <v>1842</v>
      </c>
      <c r="B856" s="7">
        <v>45763</v>
      </c>
      <c r="C856" s="5" t="s">
        <v>76</v>
      </c>
      <c r="D856" s="5" t="s">
        <v>33</v>
      </c>
      <c r="E856" s="5" t="s">
        <v>34</v>
      </c>
      <c r="F856" s="2" t="s">
        <v>18</v>
      </c>
      <c r="G856" s="2">
        <v>4</v>
      </c>
      <c r="H856" s="25">
        <v>10250</v>
      </c>
      <c r="I856" s="8">
        <v>0</v>
      </c>
      <c r="J856" s="25">
        <v>41000</v>
      </c>
      <c r="K856" s="25">
        <f>G856*H856</f>
        <v>41000</v>
      </c>
      <c r="L856" s="8">
        <f>K856*I856/100</f>
        <v>0</v>
      </c>
      <c r="M856" s="2" t="s">
        <v>139</v>
      </c>
      <c r="N856" s="2" t="s">
        <v>79</v>
      </c>
      <c r="O856" s="2">
        <v>2025</v>
      </c>
      <c r="P856" s="2" t="str">
        <v>April</v>
      </c>
      <c r="Q856" s="2" t="s">
        <v>21</v>
      </c>
    </row>
    <row r="857" spans="1:17" x14ac:dyDescent="0.25">
      <c r="A857" s="2" t="s">
        <v>1843</v>
      </c>
      <c r="B857" s="7">
        <v>45801</v>
      </c>
      <c r="C857" s="5" t="s">
        <v>238</v>
      </c>
      <c r="D857" s="5" t="s">
        <v>51</v>
      </c>
      <c r="E857" s="5" t="s">
        <v>295</v>
      </c>
      <c r="F857" s="2" t="s">
        <v>126</v>
      </c>
      <c r="G857" s="2">
        <v>8</v>
      </c>
      <c r="H857" s="25">
        <v>25670</v>
      </c>
      <c r="I857" s="8">
        <v>0</v>
      </c>
      <c r="J857" s="25">
        <v>205360</v>
      </c>
      <c r="K857" s="25">
        <f>G857*H857</f>
        <v>205360</v>
      </c>
      <c r="L857" s="8">
        <f>K857*I857/100</f>
        <v>0</v>
      </c>
      <c r="M857" s="2" t="s">
        <v>53</v>
      </c>
      <c r="N857" s="2" t="s">
        <v>37</v>
      </c>
      <c r="O857" s="2">
        <v>2025</v>
      </c>
      <c r="P857" s="2" t="str">
        <v>May</v>
      </c>
      <c r="Q857" s="2" t="s">
        <v>47</v>
      </c>
    </row>
    <row r="858" spans="1:17" x14ac:dyDescent="0.25">
      <c r="A858" s="2" t="s">
        <v>1845</v>
      </c>
      <c r="B858" s="7">
        <v>45859</v>
      </c>
      <c r="C858" s="5" t="s">
        <v>76</v>
      </c>
      <c r="D858" s="5" t="s">
        <v>33</v>
      </c>
      <c r="E858" s="5" t="s">
        <v>148</v>
      </c>
      <c r="F858" s="2" t="s">
        <v>209</v>
      </c>
      <c r="G858" s="2">
        <v>1</v>
      </c>
      <c r="H858" s="25">
        <v>22570</v>
      </c>
      <c r="I858" s="8">
        <v>0</v>
      </c>
      <c r="J858" s="25">
        <v>22570</v>
      </c>
      <c r="K858" s="25">
        <f>G858*H858</f>
        <v>22570</v>
      </c>
      <c r="L858" s="8">
        <f>K858*I858/100</f>
        <v>0</v>
      </c>
      <c r="M858" s="2" t="s">
        <v>94</v>
      </c>
      <c r="N858" s="2" t="s">
        <v>188</v>
      </c>
      <c r="O858" s="2">
        <v>2025</v>
      </c>
      <c r="P858" s="2" t="str">
        <v>July</v>
      </c>
      <c r="Q858" s="2" t="s">
        <v>21</v>
      </c>
    </row>
    <row r="859" spans="1:17" x14ac:dyDescent="0.25">
      <c r="A859" s="2" t="s">
        <v>1847</v>
      </c>
      <c r="B859" s="7">
        <v>45749</v>
      </c>
      <c r="C859" s="5" t="s">
        <v>156</v>
      </c>
      <c r="D859" s="5" t="s">
        <v>51</v>
      </c>
      <c r="E859" s="5" t="s">
        <v>25</v>
      </c>
      <c r="F859" s="2" t="s">
        <v>115</v>
      </c>
      <c r="G859" s="2">
        <v>11</v>
      </c>
      <c r="H859" s="25">
        <v>8410</v>
      </c>
      <c r="I859" s="8">
        <v>5</v>
      </c>
      <c r="J859" s="25">
        <v>87884.5</v>
      </c>
      <c r="K859" s="25">
        <f>G859*H859</f>
        <v>92510</v>
      </c>
      <c r="L859" s="8">
        <f>K859*I859/100</f>
        <v>4625.5</v>
      </c>
      <c r="M859" s="2" t="s">
        <v>53</v>
      </c>
      <c r="N859" s="2" t="s">
        <v>176</v>
      </c>
      <c r="O859" s="2">
        <v>2025</v>
      </c>
      <c r="P859" s="2" t="str">
        <v>April</v>
      </c>
      <c r="Q859" s="2" t="s">
        <v>21</v>
      </c>
    </row>
    <row r="860" spans="1:17" x14ac:dyDescent="0.25">
      <c r="A860" s="2" t="s">
        <v>1848</v>
      </c>
      <c r="B860" s="7">
        <v>45733</v>
      </c>
      <c r="C860" s="5" t="s">
        <v>76</v>
      </c>
      <c r="D860" s="5" t="s">
        <v>33</v>
      </c>
      <c r="E860" s="5" t="s">
        <v>148</v>
      </c>
      <c r="F860" s="2" t="s">
        <v>167</v>
      </c>
      <c r="G860" s="2">
        <v>1</v>
      </c>
      <c r="H860" s="25">
        <v>530</v>
      </c>
      <c r="I860" s="8">
        <v>0</v>
      </c>
      <c r="J860" s="25">
        <v>530</v>
      </c>
      <c r="K860" s="25">
        <f>G860*H860</f>
        <v>530</v>
      </c>
      <c r="L860" s="8">
        <f>K860*I860/100</f>
        <v>0</v>
      </c>
      <c r="M860" s="2" t="s">
        <v>139</v>
      </c>
      <c r="N860" s="2" t="s">
        <v>168</v>
      </c>
      <c r="O860" s="2">
        <v>2025</v>
      </c>
      <c r="P860" s="2" t="str">
        <v>March</v>
      </c>
      <c r="Q860" s="2" t="s">
        <v>47</v>
      </c>
    </row>
    <row r="861" spans="1:17" x14ac:dyDescent="0.25">
      <c r="A861" s="2" t="s">
        <v>1849</v>
      </c>
      <c r="B861" s="7">
        <v>45831</v>
      </c>
      <c r="C861" s="5" t="s">
        <v>135</v>
      </c>
      <c r="D861" s="5" t="s">
        <v>58</v>
      </c>
      <c r="E861" s="5" t="s">
        <v>295</v>
      </c>
      <c r="F861" s="2" t="s">
        <v>126</v>
      </c>
      <c r="G861" s="2">
        <v>12</v>
      </c>
      <c r="H861" s="25">
        <v>480</v>
      </c>
      <c r="I861" s="8">
        <v>5</v>
      </c>
      <c r="J861" s="25">
        <v>5472</v>
      </c>
      <c r="K861" s="25">
        <f>G861*H861</f>
        <v>5760</v>
      </c>
      <c r="L861" s="8">
        <f>K861*I861/100</f>
        <v>288</v>
      </c>
      <c r="M861" s="2" t="s">
        <v>139</v>
      </c>
      <c r="N861" s="2" t="s">
        <v>411</v>
      </c>
      <c r="O861" s="2">
        <v>2025</v>
      </c>
      <c r="P861" s="2" t="str">
        <v>June</v>
      </c>
      <c r="Q861" s="2" t="s">
        <v>47</v>
      </c>
    </row>
    <row r="862" spans="1:17" x14ac:dyDescent="0.25">
      <c r="A862" s="2" t="s">
        <v>1851</v>
      </c>
      <c r="B862" s="7">
        <v>45698</v>
      </c>
      <c r="C862" s="5" t="s">
        <v>238</v>
      </c>
      <c r="D862" s="5" t="s">
        <v>51</v>
      </c>
      <c r="E862" s="5" t="s">
        <v>25</v>
      </c>
      <c r="F862" s="2" t="s">
        <v>26</v>
      </c>
      <c r="G862" s="2">
        <v>6</v>
      </c>
      <c r="H862" s="25">
        <v>5080</v>
      </c>
      <c r="I862" s="8">
        <v>10</v>
      </c>
      <c r="J862" s="25">
        <v>27432</v>
      </c>
      <c r="K862" s="25">
        <f>G862*H862</f>
        <v>30480</v>
      </c>
      <c r="L862" s="8">
        <f>K862*I862/100</f>
        <v>3048</v>
      </c>
      <c r="M862" s="2" t="s">
        <v>94</v>
      </c>
      <c r="N862" s="2" t="s">
        <v>188</v>
      </c>
      <c r="O862" s="2">
        <v>2025</v>
      </c>
      <c r="P862" s="2" t="str">
        <v>February</v>
      </c>
      <c r="Q862" s="2" t="s">
        <v>47</v>
      </c>
    </row>
    <row r="863" spans="1:17" x14ac:dyDescent="0.25">
      <c r="A863" s="2" t="s">
        <v>1852</v>
      </c>
      <c r="B863" s="7">
        <v>46004</v>
      </c>
      <c r="C863" s="5" t="s">
        <v>41</v>
      </c>
      <c r="D863" s="5" t="s">
        <v>42</v>
      </c>
      <c r="E863" s="5" t="s">
        <v>148</v>
      </c>
      <c r="F863" s="2" t="s">
        <v>435</v>
      </c>
      <c r="G863" s="2">
        <v>6</v>
      </c>
      <c r="H863" s="25">
        <v>2370</v>
      </c>
      <c r="I863" s="8">
        <v>0</v>
      </c>
      <c r="J863" s="25">
        <v>14220</v>
      </c>
      <c r="K863" s="25">
        <f>G863*H863</f>
        <v>14220</v>
      </c>
      <c r="L863" s="8">
        <f>K863*I863/100</f>
        <v>0</v>
      </c>
      <c r="M863" s="2" t="s">
        <v>53</v>
      </c>
      <c r="N863" s="2" t="s">
        <v>73</v>
      </c>
      <c r="O863" s="2">
        <v>2025</v>
      </c>
      <c r="P863" s="2" t="str">
        <v>December</v>
      </c>
      <c r="Q863" s="2" t="s">
        <v>47</v>
      </c>
    </row>
    <row r="864" spans="1:17" x14ac:dyDescent="0.25">
      <c r="A864" s="2" t="s">
        <v>1854</v>
      </c>
      <c r="B864" s="7">
        <v>45817</v>
      </c>
      <c r="C864" s="5" t="s">
        <v>135</v>
      </c>
      <c r="D864" s="5" t="s">
        <v>33</v>
      </c>
      <c r="E864" s="5" t="s">
        <v>179</v>
      </c>
      <c r="F864" s="2" t="s">
        <v>239</v>
      </c>
      <c r="G864" s="2">
        <v>12</v>
      </c>
      <c r="H864" s="25">
        <v>3960</v>
      </c>
      <c r="I864" s="8">
        <v>5</v>
      </c>
      <c r="J864" s="25">
        <v>45144</v>
      </c>
      <c r="K864" s="25">
        <f>G864*H864</f>
        <v>47520</v>
      </c>
      <c r="L864" s="8">
        <f>K864*I864/100</f>
        <v>2376</v>
      </c>
      <c r="M864" s="2" t="s">
        <v>94</v>
      </c>
      <c r="N864" s="2" t="s">
        <v>54</v>
      </c>
      <c r="O864" s="2">
        <v>2025</v>
      </c>
      <c r="P864" s="2" t="str">
        <v>June</v>
      </c>
      <c r="Q864" s="2" t="s">
        <v>47</v>
      </c>
    </row>
    <row r="865" spans="1:17" x14ac:dyDescent="0.25">
      <c r="A865" s="2" t="s">
        <v>1855</v>
      </c>
      <c r="B865" s="7">
        <v>45695</v>
      </c>
      <c r="C865" s="5" t="s">
        <v>32</v>
      </c>
      <c r="D865" s="5" t="s">
        <v>33</v>
      </c>
      <c r="E865" s="5" t="s">
        <v>25</v>
      </c>
      <c r="F865" s="2" t="s">
        <v>106</v>
      </c>
      <c r="G865" s="2">
        <v>5</v>
      </c>
      <c r="H865" s="25">
        <v>6920</v>
      </c>
      <c r="I865" s="8">
        <v>0</v>
      </c>
      <c r="J865" s="25">
        <v>34600</v>
      </c>
      <c r="K865" s="25">
        <f>G865*H865</f>
        <v>34600</v>
      </c>
      <c r="L865" s="8">
        <f>K865*I865/100</f>
        <v>0</v>
      </c>
      <c r="M865" s="2" t="s">
        <v>102</v>
      </c>
      <c r="N865" s="2" t="s">
        <v>37</v>
      </c>
      <c r="O865" s="2">
        <v>2025</v>
      </c>
      <c r="P865" s="2" t="str">
        <v>February</v>
      </c>
      <c r="Q865" s="2" t="s">
        <v>21</v>
      </c>
    </row>
    <row r="866" spans="1:17" x14ac:dyDescent="0.25">
      <c r="A866" s="2" t="s">
        <v>1856</v>
      </c>
      <c r="B866" s="7">
        <v>45668</v>
      </c>
      <c r="C866" s="5" t="s">
        <v>76</v>
      </c>
      <c r="D866" s="5" t="s">
        <v>33</v>
      </c>
      <c r="E866" s="5" t="s">
        <v>34</v>
      </c>
      <c r="F866" s="2" t="s">
        <v>35</v>
      </c>
      <c r="G866" s="2">
        <v>4</v>
      </c>
      <c r="H866" s="25">
        <v>1180</v>
      </c>
      <c r="I866" s="8">
        <v>0</v>
      </c>
      <c r="J866" s="25">
        <v>4720</v>
      </c>
      <c r="K866" s="25">
        <f>G866*H866</f>
        <v>4720</v>
      </c>
      <c r="L866" s="8">
        <f>K866*I866/100</f>
        <v>0</v>
      </c>
      <c r="M866" s="2" t="s">
        <v>139</v>
      </c>
      <c r="N866" s="2" t="s">
        <v>37</v>
      </c>
      <c r="O866" s="2">
        <v>2025</v>
      </c>
      <c r="P866" s="2" t="str">
        <v>January</v>
      </c>
      <c r="Q866" s="2" t="s">
        <v>47</v>
      </c>
    </row>
    <row r="867" spans="1:17" x14ac:dyDescent="0.25">
      <c r="A867" s="2" t="s">
        <v>1858</v>
      </c>
      <c r="B867" s="7">
        <v>45830</v>
      </c>
      <c r="C867" s="5" t="s">
        <v>156</v>
      </c>
      <c r="D867" s="5" t="s">
        <v>51</v>
      </c>
      <c r="E867" s="5" t="s">
        <v>179</v>
      </c>
      <c r="F867" s="2" t="s">
        <v>314</v>
      </c>
      <c r="G867" s="2">
        <v>9</v>
      </c>
      <c r="H867" s="25">
        <v>560</v>
      </c>
      <c r="I867" s="8">
        <v>0</v>
      </c>
      <c r="J867" s="25">
        <v>5040</v>
      </c>
      <c r="K867" s="25">
        <f>G867*H867</f>
        <v>5040</v>
      </c>
      <c r="L867" s="8">
        <f>K867*I867/100</f>
        <v>0</v>
      </c>
      <c r="M867" s="2" t="s">
        <v>53</v>
      </c>
      <c r="N867" s="2" t="s">
        <v>266</v>
      </c>
      <c r="O867" s="2">
        <v>2025</v>
      </c>
      <c r="P867" s="2" t="str">
        <v>June</v>
      </c>
      <c r="Q867" s="2" t="s">
        <v>47</v>
      </c>
    </row>
    <row r="868" spans="1:17" x14ac:dyDescent="0.25">
      <c r="A868" s="2" t="s">
        <v>1860</v>
      </c>
      <c r="B868" s="7">
        <v>45707</v>
      </c>
      <c r="C868" s="5" t="s">
        <v>24</v>
      </c>
      <c r="D868" s="5" t="s">
        <v>16</v>
      </c>
      <c r="E868" s="5" t="s">
        <v>148</v>
      </c>
      <c r="F868" s="2" t="s">
        <v>435</v>
      </c>
      <c r="G868" s="2">
        <v>2</v>
      </c>
      <c r="H868" s="25">
        <v>8370</v>
      </c>
      <c r="I868" s="8">
        <v>0</v>
      </c>
      <c r="J868" s="25">
        <v>16740</v>
      </c>
      <c r="K868" s="25">
        <f>G868*H868</f>
        <v>16740</v>
      </c>
      <c r="L868" s="8">
        <f>K868*I868/100</f>
        <v>0</v>
      </c>
      <c r="M868" s="2" t="s">
        <v>139</v>
      </c>
      <c r="N868" s="2" t="s">
        <v>883</v>
      </c>
      <c r="O868" s="2">
        <v>2025</v>
      </c>
      <c r="P868" s="2" t="str">
        <v>February</v>
      </c>
      <c r="Q868" s="2" t="s">
        <v>21</v>
      </c>
    </row>
    <row r="869" spans="1:17" x14ac:dyDescent="0.25">
      <c r="A869" s="2" t="s">
        <v>1861</v>
      </c>
      <c r="B869" s="7">
        <v>45690</v>
      </c>
      <c r="C869" s="5" t="s">
        <v>41</v>
      </c>
      <c r="D869" s="5" t="s">
        <v>42</v>
      </c>
      <c r="E869" s="5" t="s">
        <v>295</v>
      </c>
      <c r="F869" s="2" t="s">
        <v>126</v>
      </c>
      <c r="G869" s="2">
        <v>4</v>
      </c>
      <c r="H869" s="25">
        <v>9100</v>
      </c>
      <c r="I869" s="8">
        <v>15</v>
      </c>
      <c r="J869" s="25">
        <v>30940</v>
      </c>
      <c r="K869" s="25">
        <f>G869*H869</f>
        <v>36400</v>
      </c>
      <c r="L869" s="8">
        <f>K869*I869/100</f>
        <v>5460</v>
      </c>
      <c r="M869" s="2" t="s">
        <v>53</v>
      </c>
      <c r="N869" s="2" t="s">
        <v>188</v>
      </c>
      <c r="O869" s="2">
        <v>2025</v>
      </c>
      <c r="P869" s="2" t="str">
        <v>February</v>
      </c>
      <c r="Q869" s="2" t="s">
        <v>21</v>
      </c>
    </row>
    <row r="870" spans="1:17" x14ac:dyDescent="0.25">
      <c r="A870" s="2" t="s">
        <v>1863</v>
      </c>
      <c r="B870" s="7">
        <v>45839</v>
      </c>
      <c r="C870" s="5" t="s">
        <v>238</v>
      </c>
      <c r="D870" s="5" t="s">
        <v>33</v>
      </c>
      <c r="E870" s="5" t="s">
        <v>295</v>
      </c>
      <c r="F870" s="2" t="s">
        <v>132</v>
      </c>
      <c r="G870" s="2">
        <v>10</v>
      </c>
      <c r="H870" s="25">
        <v>500</v>
      </c>
      <c r="I870" s="8">
        <v>0</v>
      </c>
      <c r="J870" s="25">
        <v>5000</v>
      </c>
      <c r="K870" s="25">
        <f>G870*H870</f>
        <v>5000</v>
      </c>
      <c r="L870" s="8">
        <f>K870*I870/100</f>
        <v>0</v>
      </c>
      <c r="M870" s="2" t="s">
        <v>94</v>
      </c>
      <c r="N870" s="2" t="s">
        <v>54</v>
      </c>
      <c r="O870" s="2">
        <v>2025</v>
      </c>
      <c r="P870" s="2" t="str">
        <v>July</v>
      </c>
      <c r="Q870" s="2" t="s">
        <v>47</v>
      </c>
    </row>
    <row r="871" spans="1:17" x14ac:dyDescent="0.25">
      <c r="A871" s="2" t="s">
        <v>1864</v>
      </c>
      <c r="B871" s="7">
        <v>45997</v>
      </c>
      <c r="C871" s="5" t="s">
        <v>41</v>
      </c>
      <c r="D871" s="5" t="s">
        <v>42</v>
      </c>
      <c r="E871" s="5" t="s">
        <v>179</v>
      </c>
      <c r="F871" s="2" t="s">
        <v>78</v>
      </c>
      <c r="G871" s="2">
        <v>10</v>
      </c>
      <c r="H871" s="25">
        <v>50860</v>
      </c>
      <c r="I871" s="8">
        <v>15</v>
      </c>
      <c r="J871" s="25">
        <v>432310</v>
      </c>
      <c r="K871" s="25">
        <f>G871*H871</f>
        <v>508600</v>
      </c>
      <c r="L871" s="8">
        <f>K871*I871/100</f>
        <v>76290</v>
      </c>
      <c r="M871" s="2" t="s">
        <v>94</v>
      </c>
      <c r="N871" s="2" t="s">
        <v>411</v>
      </c>
      <c r="O871" s="2">
        <v>2025</v>
      </c>
      <c r="P871" s="2" t="str">
        <v>December</v>
      </c>
      <c r="Q871" s="2" t="s">
        <v>21</v>
      </c>
    </row>
    <row r="872" spans="1:17" x14ac:dyDescent="0.25">
      <c r="A872" s="2" t="s">
        <v>1865</v>
      </c>
      <c r="B872" s="7">
        <v>45768</v>
      </c>
      <c r="C872" s="5" t="s">
        <v>24</v>
      </c>
      <c r="D872" s="5" t="s">
        <v>16</v>
      </c>
      <c r="E872" s="5" t="s">
        <v>295</v>
      </c>
      <c r="F872" s="2" t="s">
        <v>314</v>
      </c>
      <c r="G872" s="2">
        <v>3</v>
      </c>
      <c r="H872" s="25">
        <v>8320</v>
      </c>
      <c r="I872" s="8">
        <v>0</v>
      </c>
      <c r="J872" s="25">
        <v>24960</v>
      </c>
      <c r="K872" s="25">
        <f>G872*H872</f>
        <v>24960</v>
      </c>
      <c r="L872" s="8">
        <f>K872*I872/100</f>
        <v>0</v>
      </c>
      <c r="M872" s="2" t="s">
        <v>53</v>
      </c>
      <c r="N872" s="2" t="s">
        <v>188</v>
      </c>
      <c r="O872" s="2">
        <v>2025</v>
      </c>
      <c r="P872" s="2" t="str">
        <v>April</v>
      </c>
      <c r="Q872" s="2" t="s">
        <v>21</v>
      </c>
    </row>
    <row r="873" spans="1:17" x14ac:dyDescent="0.25">
      <c r="A873" s="2" t="s">
        <v>1867</v>
      </c>
      <c r="B873" s="7">
        <v>45983</v>
      </c>
      <c r="C873" s="5" t="s">
        <v>238</v>
      </c>
      <c r="D873" s="5" t="s">
        <v>51</v>
      </c>
      <c r="E873" s="5" t="s">
        <v>34</v>
      </c>
      <c r="F873" s="2" t="s">
        <v>199</v>
      </c>
      <c r="G873" s="2">
        <v>7</v>
      </c>
      <c r="H873" s="25">
        <v>41050</v>
      </c>
      <c r="I873" s="8">
        <v>5</v>
      </c>
      <c r="J873" s="25">
        <v>272982.5</v>
      </c>
      <c r="K873" s="25">
        <f>G873*H873</f>
        <v>287350</v>
      </c>
      <c r="L873" s="8">
        <f>K873*I873/100</f>
        <v>14367.5</v>
      </c>
      <c r="M873" s="2" t="s">
        <v>102</v>
      </c>
      <c r="N873" s="2" t="s">
        <v>46</v>
      </c>
      <c r="O873" s="2">
        <v>2025</v>
      </c>
      <c r="P873" s="2" t="str">
        <v>November</v>
      </c>
      <c r="Q873" s="2" t="s">
        <v>47</v>
      </c>
    </row>
    <row r="874" spans="1:17" x14ac:dyDescent="0.25">
      <c r="A874" s="2" t="s">
        <v>1869</v>
      </c>
      <c r="B874" s="7">
        <v>45885</v>
      </c>
      <c r="C874" s="5" t="s">
        <v>32</v>
      </c>
      <c r="D874" s="5" t="s">
        <v>33</v>
      </c>
      <c r="E874" s="5" t="s">
        <v>25</v>
      </c>
      <c r="F874" s="2" t="s">
        <v>248</v>
      </c>
      <c r="G874" s="2">
        <v>5</v>
      </c>
      <c r="H874" s="25">
        <v>500</v>
      </c>
      <c r="I874" s="8">
        <v>0</v>
      </c>
      <c r="J874" s="25">
        <v>2500</v>
      </c>
      <c r="K874" s="25">
        <f>G874*H874</f>
        <v>2500</v>
      </c>
      <c r="L874" s="8">
        <f>K874*I874/100</f>
        <v>0</v>
      </c>
      <c r="M874" s="2" t="s">
        <v>102</v>
      </c>
      <c r="N874" s="2" t="s">
        <v>37</v>
      </c>
      <c r="O874" s="2">
        <v>2025</v>
      </c>
      <c r="P874" s="2" t="str">
        <v>August</v>
      </c>
      <c r="Q874" s="2" t="s">
        <v>47</v>
      </c>
    </row>
    <row r="875" spans="1:17" x14ac:dyDescent="0.25">
      <c r="A875" s="2" t="s">
        <v>1871</v>
      </c>
      <c r="B875" s="7">
        <v>45927</v>
      </c>
      <c r="C875" s="5" t="s">
        <v>135</v>
      </c>
      <c r="D875" s="5" t="s">
        <v>58</v>
      </c>
      <c r="E875" s="5" t="s">
        <v>34</v>
      </c>
      <c r="F875" s="2" t="s">
        <v>199</v>
      </c>
      <c r="G875" s="2">
        <v>5</v>
      </c>
      <c r="H875" s="25">
        <v>16500</v>
      </c>
      <c r="I875" s="8">
        <v>5</v>
      </c>
      <c r="J875" s="25">
        <v>78375</v>
      </c>
      <c r="K875" s="25">
        <f>G875*H875</f>
        <v>82500</v>
      </c>
      <c r="L875" s="8">
        <f>K875*I875/100</f>
        <v>4125</v>
      </c>
      <c r="M875" s="2" t="s">
        <v>102</v>
      </c>
      <c r="N875" s="2" t="s">
        <v>341</v>
      </c>
      <c r="O875" s="2">
        <v>2025</v>
      </c>
      <c r="P875" s="2" t="str">
        <v>September</v>
      </c>
      <c r="Q875" s="2" t="s">
        <v>21</v>
      </c>
    </row>
    <row r="876" spans="1:17" x14ac:dyDescent="0.25">
      <c r="A876" s="2" t="s">
        <v>1873</v>
      </c>
      <c r="B876" s="7">
        <v>45709</v>
      </c>
      <c r="C876" s="5" t="s">
        <v>24</v>
      </c>
      <c r="D876" s="5" t="s">
        <v>16</v>
      </c>
      <c r="E876" s="5" t="s">
        <v>295</v>
      </c>
      <c r="F876" s="2" t="s">
        <v>126</v>
      </c>
      <c r="G876" s="2">
        <v>6</v>
      </c>
      <c r="H876" s="25">
        <v>23660</v>
      </c>
      <c r="I876" s="8">
        <v>0</v>
      </c>
      <c r="J876" s="25">
        <v>141960</v>
      </c>
      <c r="K876" s="25">
        <f>G876*H876</f>
        <v>141960</v>
      </c>
      <c r="L876" s="8">
        <f>K876*I876/100</f>
        <v>0</v>
      </c>
      <c r="M876" s="2" t="s">
        <v>102</v>
      </c>
      <c r="N876" s="2" t="s">
        <v>46</v>
      </c>
      <c r="O876" s="2">
        <v>2025</v>
      </c>
      <c r="P876" s="2" t="str">
        <v>February</v>
      </c>
      <c r="Q876" s="2" t="s">
        <v>47</v>
      </c>
    </row>
    <row r="877" spans="1:17" x14ac:dyDescent="0.25">
      <c r="A877" s="2" t="s">
        <v>1875</v>
      </c>
      <c r="B877" s="7">
        <v>45811</v>
      </c>
      <c r="C877" s="5" t="s">
        <v>135</v>
      </c>
      <c r="D877" s="5" t="s">
        <v>58</v>
      </c>
      <c r="E877" s="5" t="s">
        <v>179</v>
      </c>
      <c r="F877" s="2" t="s">
        <v>143</v>
      </c>
      <c r="G877" s="2">
        <v>2</v>
      </c>
      <c r="H877" s="25">
        <v>8150</v>
      </c>
      <c r="I877" s="8">
        <v>0</v>
      </c>
      <c r="J877" s="25">
        <v>16300</v>
      </c>
      <c r="K877" s="25">
        <f>G877*H877</f>
        <v>16300</v>
      </c>
      <c r="L877" s="8">
        <f>K877*I877/100</f>
        <v>0</v>
      </c>
      <c r="M877" s="2" t="s">
        <v>139</v>
      </c>
      <c r="N877" s="2" t="s">
        <v>406</v>
      </c>
      <c r="O877" s="2">
        <v>2025</v>
      </c>
      <c r="P877" s="2" t="str">
        <v>June</v>
      </c>
      <c r="Q877" s="2" t="s">
        <v>21</v>
      </c>
    </row>
    <row r="878" spans="1:17" x14ac:dyDescent="0.25">
      <c r="A878" s="2" t="s">
        <v>1877</v>
      </c>
      <c r="B878" s="7">
        <v>45972</v>
      </c>
      <c r="C878" s="5" t="s">
        <v>41</v>
      </c>
      <c r="D878" s="5" t="s">
        <v>42</v>
      </c>
      <c r="E878" s="5" t="s">
        <v>295</v>
      </c>
      <c r="F878" s="2" t="s">
        <v>219</v>
      </c>
      <c r="G878" s="2">
        <v>12</v>
      </c>
      <c r="H878" s="25">
        <v>7590</v>
      </c>
      <c r="I878" s="8">
        <v>15</v>
      </c>
      <c r="J878" s="25">
        <v>77418</v>
      </c>
      <c r="K878" s="25">
        <f>G878*H878</f>
        <v>91080</v>
      </c>
      <c r="L878" s="8">
        <f>K878*I878/100</f>
        <v>13662</v>
      </c>
      <c r="M878" s="2" t="s">
        <v>102</v>
      </c>
      <c r="N878" s="2" t="s">
        <v>883</v>
      </c>
      <c r="O878" s="2">
        <v>2025</v>
      </c>
      <c r="P878" s="2" t="str">
        <v>November</v>
      </c>
      <c r="Q878" s="2" t="s">
        <v>47</v>
      </c>
    </row>
    <row r="879" spans="1:17" x14ac:dyDescent="0.25">
      <c r="A879" s="2" t="s">
        <v>1879</v>
      </c>
      <c r="B879" s="7">
        <v>45722</v>
      </c>
      <c r="C879" s="5" t="s">
        <v>41</v>
      </c>
      <c r="D879" s="5" t="s">
        <v>42</v>
      </c>
      <c r="E879" s="5" t="s">
        <v>34</v>
      </c>
      <c r="F879" s="2" t="s">
        <v>171</v>
      </c>
      <c r="G879" s="2">
        <v>12</v>
      </c>
      <c r="H879" s="25">
        <v>8120</v>
      </c>
      <c r="I879" s="8">
        <v>15</v>
      </c>
      <c r="J879" s="25">
        <v>82824</v>
      </c>
      <c r="K879" s="25">
        <f>G879*H879</f>
        <v>97440</v>
      </c>
      <c r="L879" s="8">
        <f>K879*I879/100</f>
        <v>14616</v>
      </c>
      <c r="M879" s="2" t="s">
        <v>94</v>
      </c>
      <c r="N879" s="2" t="s">
        <v>883</v>
      </c>
      <c r="O879" s="2">
        <v>2025</v>
      </c>
      <c r="P879" s="2" t="str">
        <v>March</v>
      </c>
      <c r="Q879" s="2" t="s">
        <v>47</v>
      </c>
    </row>
    <row r="880" spans="1:17" x14ac:dyDescent="0.25">
      <c r="A880" s="2" t="s">
        <v>1881</v>
      </c>
      <c r="B880" s="7">
        <v>45826</v>
      </c>
      <c r="C880" s="5" t="s">
        <v>135</v>
      </c>
      <c r="D880" s="5" t="s">
        <v>58</v>
      </c>
      <c r="E880" s="5" t="s">
        <v>25</v>
      </c>
      <c r="F880" s="2" t="s">
        <v>106</v>
      </c>
      <c r="G880" s="2">
        <v>2</v>
      </c>
      <c r="H880" s="25">
        <v>7350</v>
      </c>
      <c r="I880" s="8">
        <v>0</v>
      </c>
      <c r="J880" s="25">
        <v>14700</v>
      </c>
      <c r="K880" s="25">
        <f>G880*H880</f>
        <v>14700</v>
      </c>
      <c r="L880" s="8">
        <f>K880*I880/100</f>
        <v>0</v>
      </c>
      <c r="M880" s="2" t="s">
        <v>102</v>
      </c>
      <c r="N880" s="2" t="s">
        <v>68</v>
      </c>
      <c r="O880" s="2">
        <v>2025</v>
      </c>
      <c r="P880" s="2" t="str">
        <v>June</v>
      </c>
      <c r="Q880" s="2" t="s">
        <v>47</v>
      </c>
    </row>
    <row r="881" spans="1:17" x14ac:dyDescent="0.25">
      <c r="A881" s="2" t="s">
        <v>1883</v>
      </c>
      <c r="B881" s="7">
        <v>45669</v>
      </c>
      <c r="C881" s="5" t="s">
        <v>24</v>
      </c>
      <c r="D881" s="5" t="s">
        <v>16</v>
      </c>
      <c r="E881" s="5" t="s">
        <v>179</v>
      </c>
      <c r="F881" s="2" t="s">
        <v>180</v>
      </c>
      <c r="G881" s="2">
        <v>10</v>
      </c>
      <c r="H881" s="25">
        <v>41420</v>
      </c>
      <c r="I881" s="8">
        <v>0</v>
      </c>
      <c r="J881" s="25">
        <v>414200</v>
      </c>
      <c r="K881" s="25">
        <f>G881*H881</f>
        <v>414200</v>
      </c>
      <c r="L881" s="8">
        <f>K881*I881/100</f>
        <v>0</v>
      </c>
      <c r="M881" s="2" t="s">
        <v>94</v>
      </c>
      <c r="N881" s="2" t="s">
        <v>411</v>
      </c>
      <c r="O881" s="2">
        <v>2025</v>
      </c>
      <c r="P881" s="2" t="str">
        <v>January</v>
      </c>
      <c r="Q881" s="2" t="s">
        <v>47</v>
      </c>
    </row>
    <row r="882" spans="1:17" x14ac:dyDescent="0.25">
      <c r="A882" s="2" t="s">
        <v>1884</v>
      </c>
      <c r="B882" s="7">
        <v>45746</v>
      </c>
      <c r="C882" s="5" t="s">
        <v>76</v>
      </c>
      <c r="D882" s="5" t="s">
        <v>33</v>
      </c>
      <c r="E882" s="5" t="s">
        <v>25</v>
      </c>
      <c r="F882" s="2" t="s">
        <v>44</v>
      </c>
      <c r="G882" s="2">
        <v>9</v>
      </c>
      <c r="H882" s="25">
        <v>2740</v>
      </c>
      <c r="I882" s="8">
        <v>0</v>
      </c>
      <c r="J882" s="25">
        <v>24660</v>
      </c>
      <c r="K882" s="25">
        <f>G882*H882</f>
        <v>24660</v>
      </c>
      <c r="L882" s="8">
        <f>K882*I882/100</f>
        <v>0</v>
      </c>
      <c r="M882" s="2" t="s">
        <v>139</v>
      </c>
      <c r="N882" s="2" t="s">
        <v>883</v>
      </c>
      <c r="O882" s="2">
        <v>2025</v>
      </c>
      <c r="P882" s="2" t="str">
        <v>March</v>
      </c>
      <c r="Q882" s="2" t="s">
        <v>47</v>
      </c>
    </row>
    <row r="883" spans="1:17" x14ac:dyDescent="0.25">
      <c r="A883" s="2" t="s">
        <v>1886</v>
      </c>
      <c r="B883" s="7">
        <v>45659</v>
      </c>
      <c r="C883" s="5" t="s">
        <v>32</v>
      </c>
      <c r="D883" s="5" t="s">
        <v>33</v>
      </c>
      <c r="E883" s="5" t="s">
        <v>148</v>
      </c>
      <c r="F883" s="2" t="s">
        <v>83</v>
      </c>
      <c r="G883" s="2">
        <v>7</v>
      </c>
      <c r="H883" s="25">
        <v>20070</v>
      </c>
      <c r="I883" s="8">
        <v>10</v>
      </c>
      <c r="J883" s="25">
        <v>126441</v>
      </c>
      <c r="K883" s="25">
        <f>G883*H883</f>
        <v>140490</v>
      </c>
      <c r="L883" s="8">
        <f>K883*I883/100</f>
        <v>14049</v>
      </c>
      <c r="M883" s="2" t="s">
        <v>102</v>
      </c>
      <c r="N883" s="2" t="s">
        <v>79</v>
      </c>
      <c r="O883" s="2">
        <v>2025</v>
      </c>
      <c r="P883" s="2" t="str">
        <v>January</v>
      </c>
      <c r="Q883" s="2" t="s">
        <v>21</v>
      </c>
    </row>
    <row r="884" spans="1:17" x14ac:dyDescent="0.25">
      <c r="A884" s="2" t="s">
        <v>1888</v>
      </c>
      <c r="B884" s="7">
        <v>45816</v>
      </c>
      <c r="C884" s="5" t="s">
        <v>156</v>
      </c>
      <c r="D884" s="5" t="s">
        <v>33</v>
      </c>
      <c r="E884" s="5" t="s">
        <v>34</v>
      </c>
      <c r="F884" s="2" t="s">
        <v>171</v>
      </c>
      <c r="G884" s="2">
        <v>4</v>
      </c>
      <c r="H884" s="25">
        <v>8560</v>
      </c>
      <c r="I884" s="8">
        <v>0</v>
      </c>
      <c r="J884" s="25">
        <v>34240</v>
      </c>
      <c r="K884" s="25">
        <f>G884*H884</f>
        <v>34240</v>
      </c>
      <c r="L884" s="8">
        <f>K884*I884/100</f>
        <v>0</v>
      </c>
      <c r="M884" s="2" t="s">
        <v>94</v>
      </c>
      <c r="N884" s="2" t="s">
        <v>176</v>
      </c>
      <c r="O884" s="2">
        <v>2025</v>
      </c>
      <c r="P884" s="2" t="str">
        <v>June</v>
      </c>
      <c r="Q884" s="2" t="s">
        <v>47</v>
      </c>
    </row>
    <row r="885" spans="1:17" x14ac:dyDescent="0.25">
      <c r="A885" s="2" t="s">
        <v>1890</v>
      </c>
      <c r="B885" s="7">
        <v>45887</v>
      </c>
      <c r="C885" s="5" t="s">
        <v>135</v>
      </c>
      <c r="D885" s="5" t="s">
        <v>33</v>
      </c>
      <c r="E885" s="5" t="s">
        <v>148</v>
      </c>
      <c r="F885" s="2" t="s">
        <v>149</v>
      </c>
      <c r="G885" s="2">
        <v>5</v>
      </c>
      <c r="H885" s="25">
        <v>19190</v>
      </c>
      <c r="I885" s="8">
        <v>0</v>
      </c>
      <c r="J885" s="25">
        <v>95950</v>
      </c>
      <c r="K885" s="25">
        <f>G885*H885</f>
        <v>95950</v>
      </c>
      <c r="L885" s="8">
        <f>K885*I885/100</f>
        <v>0</v>
      </c>
      <c r="M885" s="2" t="s">
        <v>102</v>
      </c>
      <c r="N885" s="2" t="s">
        <v>168</v>
      </c>
      <c r="O885" s="2">
        <v>2025</v>
      </c>
      <c r="P885" s="2" t="str">
        <v>August</v>
      </c>
      <c r="Q885" s="2" t="s">
        <v>47</v>
      </c>
    </row>
    <row r="886" spans="1:17" x14ac:dyDescent="0.25">
      <c r="A886" s="2" t="s">
        <v>1892</v>
      </c>
      <c r="B886" s="7">
        <v>45888</v>
      </c>
      <c r="C886" s="5" t="s">
        <v>32</v>
      </c>
      <c r="D886" s="5" t="s">
        <v>33</v>
      </c>
      <c r="E886" s="5" t="s">
        <v>34</v>
      </c>
      <c r="F886" s="2" t="s">
        <v>374</v>
      </c>
      <c r="G886" s="2">
        <v>5</v>
      </c>
      <c r="H886" s="25">
        <v>26530</v>
      </c>
      <c r="I886" s="8">
        <v>0</v>
      </c>
      <c r="J886" s="25">
        <v>132650</v>
      </c>
      <c r="K886" s="25">
        <f>G886*H886</f>
        <v>132650</v>
      </c>
      <c r="L886" s="8">
        <f>K886*I886/100</f>
        <v>0</v>
      </c>
      <c r="M886" s="2" t="s">
        <v>53</v>
      </c>
      <c r="N886" s="2" t="s">
        <v>37</v>
      </c>
      <c r="O886" s="2">
        <v>2025</v>
      </c>
      <c r="P886" s="2" t="str">
        <v>August</v>
      </c>
      <c r="Q886" s="2" t="s">
        <v>47</v>
      </c>
    </row>
    <row r="887" spans="1:17" x14ac:dyDescent="0.25">
      <c r="A887" s="2" t="s">
        <v>1893</v>
      </c>
      <c r="B887" s="7">
        <v>45851</v>
      </c>
      <c r="C887" s="5" t="s">
        <v>135</v>
      </c>
      <c r="D887" s="5" t="s">
        <v>58</v>
      </c>
      <c r="E887" s="5" t="s">
        <v>179</v>
      </c>
      <c r="F887" s="2" t="s">
        <v>239</v>
      </c>
      <c r="G887" s="2">
        <v>6</v>
      </c>
      <c r="H887" s="25">
        <v>1370</v>
      </c>
      <c r="I887" s="8">
        <v>0</v>
      </c>
      <c r="J887" s="25">
        <v>8220</v>
      </c>
      <c r="K887" s="25">
        <f>G887*H887</f>
        <v>8220</v>
      </c>
      <c r="L887" s="8">
        <f>K887*I887/100</f>
        <v>0</v>
      </c>
      <c r="M887" s="2" t="s">
        <v>94</v>
      </c>
      <c r="N887" s="2" t="s">
        <v>168</v>
      </c>
      <c r="O887" s="2">
        <v>2025</v>
      </c>
      <c r="P887" s="2" t="str">
        <v>July</v>
      </c>
      <c r="Q887" s="2" t="s">
        <v>47</v>
      </c>
    </row>
    <row r="888" spans="1:17" x14ac:dyDescent="0.25">
      <c r="A888" s="2" t="s">
        <v>1895</v>
      </c>
      <c r="B888" s="7">
        <v>45707</v>
      </c>
      <c r="C888" s="5" t="s">
        <v>238</v>
      </c>
      <c r="D888" s="5" t="s">
        <v>51</v>
      </c>
      <c r="E888" s="5" t="s">
        <v>295</v>
      </c>
      <c r="F888" s="2" t="s">
        <v>126</v>
      </c>
      <c r="G888" s="2">
        <v>4</v>
      </c>
      <c r="H888" s="25">
        <v>5370</v>
      </c>
      <c r="I888" s="8">
        <v>0</v>
      </c>
      <c r="J888" s="25">
        <v>21480</v>
      </c>
      <c r="K888" s="25">
        <f>G888*H888</f>
        <v>21480</v>
      </c>
      <c r="L888" s="8">
        <f>K888*I888/100</f>
        <v>0</v>
      </c>
      <c r="M888" s="2" t="s">
        <v>53</v>
      </c>
      <c r="N888" s="2" t="s">
        <v>73</v>
      </c>
      <c r="O888" s="2">
        <v>2025</v>
      </c>
      <c r="P888" s="2" t="str">
        <v>February</v>
      </c>
      <c r="Q888" s="2" t="s">
        <v>47</v>
      </c>
    </row>
    <row r="889" spans="1:17" x14ac:dyDescent="0.25">
      <c r="A889" s="2" t="s">
        <v>1896</v>
      </c>
      <c r="B889" s="7">
        <v>45799</v>
      </c>
      <c r="C889" s="5" t="s">
        <v>32</v>
      </c>
      <c r="D889" s="5" t="s">
        <v>33</v>
      </c>
      <c r="E889" s="5" t="s">
        <v>34</v>
      </c>
      <c r="F889" s="2" t="s">
        <v>290</v>
      </c>
      <c r="G889" s="2">
        <v>5</v>
      </c>
      <c r="H889" s="25">
        <v>10990</v>
      </c>
      <c r="I889" s="8">
        <v>15</v>
      </c>
      <c r="J889" s="25">
        <v>46707.5</v>
      </c>
      <c r="K889" s="25">
        <f>G889*H889</f>
        <v>54950</v>
      </c>
      <c r="L889" s="8">
        <f>K889*I889/100</f>
        <v>8242.5</v>
      </c>
      <c r="M889" s="2" t="s">
        <v>139</v>
      </c>
      <c r="N889" s="2" t="s">
        <v>188</v>
      </c>
      <c r="O889" s="2">
        <v>2025</v>
      </c>
      <c r="P889" s="2" t="str">
        <v>May</v>
      </c>
      <c r="Q889" s="2" t="s">
        <v>21</v>
      </c>
    </row>
    <row r="890" spans="1:17" x14ac:dyDescent="0.25">
      <c r="A890" s="2" t="s">
        <v>1897</v>
      </c>
      <c r="B890" s="7">
        <v>45904</v>
      </c>
      <c r="C890" s="5" t="s">
        <v>76</v>
      </c>
      <c r="D890" s="5" t="s">
        <v>33</v>
      </c>
      <c r="E890" s="5" t="s">
        <v>295</v>
      </c>
      <c r="F890" s="2" t="s">
        <v>101</v>
      </c>
      <c r="G890" s="2">
        <v>3</v>
      </c>
      <c r="H890" s="25">
        <v>7770</v>
      </c>
      <c r="I890" s="8">
        <v>10</v>
      </c>
      <c r="J890" s="25">
        <v>20979</v>
      </c>
      <c r="K890" s="25">
        <f>G890*H890</f>
        <v>23310</v>
      </c>
      <c r="L890" s="8">
        <f>K890*I890/100</f>
        <v>2331</v>
      </c>
      <c r="M890" s="2" t="s">
        <v>53</v>
      </c>
      <c r="N890" s="2" t="s">
        <v>883</v>
      </c>
      <c r="O890" s="2">
        <v>2025</v>
      </c>
      <c r="P890" s="2" t="str">
        <v>September</v>
      </c>
      <c r="Q890" s="2" t="s">
        <v>47</v>
      </c>
    </row>
    <row r="891" spans="1:17" x14ac:dyDescent="0.25">
      <c r="A891" s="2" t="s">
        <v>1899</v>
      </c>
      <c r="B891" s="7">
        <v>45867</v>
      </c>
      <c r="C891" s="5" t="s">
        <v>41</v>
      </c>
      <c r="D891" s="5" t="s">
        <v>33</v>
      </c>
      <c r="E891" s="5" t="s">
        <v>179</v>
      </c>
      <c r="F891" s="2" t="s">
        <v>143</v>
      </c>
      <c r="G891" s="2">
        <v>2</v>
      </c>
      <c r="H891" s="25">
        <v>6890</v>
      </c>
      <c r="I891" s="8">
        <v>15</v>
      </c>
      <c r="J891" s="25">
        <v>11713</v>
      </c>
      <c r="K891" s="25">
        <f>G891*H891</f>
        <v>13780</v>
      </c>
      <c r="L891" s="8">
        <f>K891*I891/100</f>
        <v>2067</v>
      </c>
      <c r="M891" s="2" t="s">
        <v>94</v>
      </c>
      <c r="N891" s="2" t="s">
        <v>411</v>
      </c>
      <c r="O891" s="2">
        <v>2025</v>
      </c>
      <c r="P891" s="2" t="str">
        <v>July</v>
      </c>
      <c r="Q891" s="2" t="s">
        <v>21</v>
      </c>
    </row>
    <row r="892" spans="1:17" x14ac:dyDescent="0.25">
      <c r="A892" s="2" t="s">
        <v>1900</v>
      </c>
      <c r="B892" s="7">
        <v>45876</v>
      </c>
      <c r="C892" s="5" t="s">
        <v>156</v>
      </c>
      <c r="D892" s="5" t="s">
        <v>51</v>
      </c>
      <c r="E892" s="5" t="s">
        <v>25</v>
      </c>
      <c r="F892" s="2" t="s">
        <v>93</v>
      </c>
      <c r="G892" s="2">
        <v>2</v>
      </c>
      <c r="H892" s="25">
        <v>2340</v>
      </c>
      <c r="I892" s="8">
        <v>0</v>
      </c>
      <c r="J892" s="25">
        <v>4680</v>
      </c>
      <c r="K892" s="25">
        <f>G892*H892</f>
        <v>4680</v>
      </c>
      <c r="L892" s="8">
        <f>K892*I892/100</f>
        <v>0</v>
      </c>
      <c r="M892" s="2" t="s">
        <v>53</v>
      </c>
      <c r="N892" s="2" t="s">
        <v>79</v>
      </c>
      <c r="O892" s="2">
        <v>2025</v>
      </c>
      <c r="P892" s="2" t="str">
        <v>August</v>
      </c>
      <c r="Q892" s="2" t="s">
        <v>47</v>
      </c>
    </row>
    <row r="893" spans="1:17" x14ac:dyDescent="0.25">
      <c r="A893" s="2" t="s">
        <v>1902</v>
      </c>
      <c r="B893" s="7">
        <v>45952</v>
      </c>
      <c r="C893" s="5" t="s">
        <v>156</v>
      </c>
      <c r="D893" s="5" t="s">
        <v>51</v>
      </c>
      <c r="E893" s="5" t="s">
        <v>25</v>
      </c>
      <c r="F893" s="2" t="s">
        <v>106</v>
      </c>
      <c r="G893" s="2">
        <v>11</v>
      </c>
      <c r="H893" s="25">
        <v>9140</v>
      </c>
      <c r="I893" s="8">
        <v>10</v>
      </c>
      <c r="J893" s="25">
        <v>90486</v>
      </c>
      <c r="K893" s="25">
        <f>G893*H893</f>
        <v>100540</v>
      </c>
      <c r="L893" s="8">
        <f>K893*I893/100</f>
        <v>10054</v>
      </c>
      <c r="M893" s="2" t="s">
        <v>139</v>
      </c>
      <c r="N893" s="2" t="s">
        <v>883</v>
      </c>
      <c r="O893" s="2">
        <v>2025</v>
      </c>
      <c r="P893" s="2" t="str">
        <v>October</v>
      </c>
      <c r="Q893" s="2" t="s">
        <v>21</v>
      </c>
    </row>
    <row r="894" spans="1:17" x14ac:dyDescent="0.25">
      <c r="A894" s="2" t="s">
        <v>1904</v>
      </c>
      <c r="B894" s="7">
        <v>45770</v>
      </c>
      <c r="C894" s="5" t="s">
        <v>156</v>
      </c>
      <c r="D894" s="5" t="s">
        <v>33</v>
      </c>
      <c r="E894" s="5" t="s">
        <v>148</v>
      </c>
      <c r="F894" s="2" t="s">
        <v>149</v>
      </c>
      <c r="G894" s="2">
        <v>4</v>
      </c>
      <c r="H894" s="25">
        <v>65200</v>
      </c>
      <c r="I894" s="8">
        <v>0</v>
      </c>
      <c r="J894" s="25">
        <v>260800</v>
      </c>
      <c r="K894" s="25">
        <f>G894*H894</f>
        <v>260800</v>
      </c>
      <c r="L894" s="8">
        <f>K894*I894/100</f>
        <v>0</v>
      </c>
      <c r="M894" s="2" t="s">
        <v>139</v>
      </c>
      <c r="N894" s="2" t="s">
        <v>73</v>
      </c>
      <c r="O894" s="2">
        <v>2025</v>
      </c>
      <c r="P894" s="2" t="str">
        <v>April</v>
      </c>
      <c r="Q894" s="2" t="s">
        <v>21</v>
      </c>
    </row>
    <row r="895" spans="1:17" x14ac:dyDescent="0.25">
      <c r="A895" s="2" t="s">
        <v>1905</v>
      </c>
      <c r="B895" s="7">
        <v>45830</v>
      </c>
      <c r="C895" s="5" t="s">
        <v>41</v>
      </c>
      <c r="D895" s="5" t="s">
        <v>42</v>
      </c>
      <c r="E895" s="5" t="s">
        <v>25</v>
      </c>
      <c r="F895" s="2" t="s">
        <v>106</v>
      </c>
      <c r="G895" s="2">
        <v>3</v>
      </c>
      <c r="H895" s="25">
        <v>27990</v>
      </c>
      <c r="I895" s="8">
        <v>10</v>
      </c>
      <c r="J895" s="25">
        <v>75573</v>
      </c>
      <c r="K895" s="25">
        <f>G895*H895</f>
        <v>83970</v>
      </c>
      <c r="L895" s="8">
        <f>K895*I895/100</f>
        <v>8397</v>
      </c>
      <c r="M895" s="2" t="s">
        <v>94</v>
      </c>
      <c r="N895" s="2" t="s">
        <v>406</v>
      </c>
      <c r="O895" s="2">
        <v>2025</v>
      </c>
      <c r="P895" s="2" t="str">
        <v>June</v>
      </c>
      <c r="Q895" s="2" t="s">
        <v>47</v>
      </c>
    </row>
    <row r="896" spans="1:17" x14ac:dyDescent="0.25">
      <c r="A896" s="2" t="s">
        <v>1906</v>
      </c>
      <c r="B896" s="7">
        <v>45776</v>
      </c>
      <c r="C896" s="5" t="s">
        <v>135</v>
      </c>
      <c r="D896" s="5" t="s">
        <v>58</v>
      </c>
      <c r="E896" s="5" t="s">
        <v>179</v>
      </c>
      <c r="F896" s="2" t="s">
        <v>184</v>
      </c>
      <c r="G896" s="2">
        <v>10</v>
      </c>
      <c r="H896" s="25">
        <v>59740</v>
      </c>
      <c r="I896" s="8">
        <v>0</v>
      </c>
      <c r="J896" s="25">
        <v>597400</v>
      </c>
      <c r="K896" s="25">
        <f>G896*H896</f>
        <v>597400</v>
      </c>
      <c r="L896" s="8">
        <f>K896*I896/100</f>
        <v>0</v>
      </c>
      <c r="M896" s="2" t="s">
        <v>102</v>
      </c>
      <c r="N896" s="2" t="s">
        <v>54</v>
      </c>
      <c r="O896" s="2">
        <v>2025</v>
      </c>
      <c r="P896" s="2" t="str">
        <v>April</v>
      </c>
      <c r="Q896" s="2" t="s">
        <v>21</v>
      </c>
    </row>
    <row r="897" spans="1:17" x14ac:dyDescent="0.25">
      <c r="A897" s="2" t="s">
        <v>1908</v>
      </c>
      <c r="B897" s="7">
        <v>46009</v>
      </c>
      <c r="C897" s="5" t="s">
        <v>156</v>
      </c>
      <c r="D897" s="5" t="s">
        <v>51</v>
      </c>
      <c r="E897" s="5" t="s">
        <v>179</v>
      </c>
      <c r="F897" s="2" t="s">
        <v>224</v>
      </c>
      <c r="G897" s="2">
        <v>7</v>
      </c>
      <c r="H897" s="25">
        <v>3260</v>
      </c>
      <c r="I897" s="8">
        <v>15</v>
      </c>
      <c r="J897" s="25">
        <v>19397</v>
      </c>
      <c r="K897" s="25">
        <f>G897*H897</f>
        <v>22820</v>
      </c>
      <c r="L897" s="8">
        <f>K897*I897/100</f>
        <v>3423</v>
      </c>
      <c r="M897" s="2" t="s">
        <v>53</v>
      </c>
      <c r="N897" s="2" t="s">
        <v>37</v>
      </c>
      <c r="O897" s="2">
        <v>2025</v>
      </c>
      <c r="P897" s="2" t="str">
        <v>December</v>
      </c>
      <c r="Q897" s="2" t="s">
        <v>47</v>
      </c>
    </row>
    <row r="898" spans="1:17" x14ac:dyDescent="0.25">
      <c r="A898" s="2" t="s">
        <v>1910</v>
      </c>
      <c r="B898" s="7">
        <v>45765</v>
      </c>
      <c r="C898" s="5" t="s">
        <v>41</v>
      </c>
      <c r="D898" s="5" t="s">
        <v>42</v>
      </c>
      <c r="E898" s="5" t="s">
        <v>34</v>
      </c>
      <c r="F898" s="2" t="s">
        <v>164</v>
      </c>
      <c r="G898" s="2">
        <v>4</v>
      </c>
      <c r="H898" s="25">
        <v>17180</v>
      </c>
      <c r="I898" s="8">
        <v>15</v>
      </c>
      <c r="J898" s="25">
        <v>58412</v>
      </c>
      <c r="K898" s="25">
        <f>G898*H898</f>
        <v>68720</v>
      </c>
      <c r="L898" s="8">
        <f>K898*I898/100</f>
        <v>10308</v>
      </c>
      <c r="M898" s="2" t="s">
        <v>94</v>
      </c>
      <c r="N898" s="2" t="s">
        <v>176</v>
      </c>
      <c r="O898" s="2">
        <v>2025</v>
      </c>
      <c r="P898" s="2" t="str">
        <v>April</v>
      </c>
      <c r="Q898" s="2" t="s">
        <v>21</v>
      </c>
    </row>
    <row r="899" spans="1:17" x14ac:dyDescent="0.25">
      <c r="A899" s="2" t="s">
        <v>1912</v>
      </c>
      <c r="B899" s="7">
        <v>45781</v>
      </c>
      <c r="C899" s="5" t="s">
        <v>32</v>
      </c>
      <c r="D899" s="5" t="s">
        <v>33</v>
      </c>
      <c r="E899" s="5" t="s">
        <v>34</v>
      </c>
      <c r="F899" s="2" t="s">
        <v>35</v>
      </c>
      <c r="G899" s="2">
        <v>2</v>
      </c>
      <c r="H899" s="25">
        <v>1090</v>
      </c>
      <c r="I899" s="8">
        <v>0</v>
      </c>
      <c r="J899" s="25">
        <v>2180</v>
      </c>
      <c r="K899" s="25">
        <f>G899*H899</f>
        <v>2180</v>
      </c>
      <c r="L899" s="8">
        <f>K899*I899/100</f>
        <v>0</v>
      </c>
      <c r="M899" s="2" t="s">
        <v>102</v>
      </c>
      <c r="N899" s="2" t="s">
        <v>266</v>
      </c>
      <c r="O899" s="2">
        <v>2025</v>
      </c>
      <c r="P899" s="2" t="str">
        <v>May</v>
      </c>
      <c r="Q899" s="2" t="s">
        <v>21</v>
      </c>
    </row>
    <row r="900" spans="1:17" x14ac:dyDescent="0.25">
      <c r="A900" s="2" t="s">
        <v>1914</v>
      </c>
      <c r="B900" s="7">
        <v>45732</v>
      </c>
      <c r="C900" s="5" t="s">
        <v>238</v>
      </c>
      <c r="D900" s="5" t="s">
        <v>51</v>
      </c>
      <c r="E900" s="5" t="s">
        <v>295</v>
      </c>
      <c r="F900" s="2" t="s">
        <v>296</v>
      </c>
      <c r="G900" s="2">
        <v>1</v>
      </c>
      <c r="H900" s="25">
        <v>7340</v>
      </c>
      <c r="I900" s="8">
        <v>5</v>
      </c>
      <c r="J900" s="25">
        <v>6973</v>
      </c>
      <c r="K900" s="25">
        <f>G900*H900</f>
        <v>7340</v>
      </c>
      <c r="L900" s="8">
        <f>K900*I900/100</f>
        <v>367</v>
      </c>
      <c r="M900" s="2" t="s">
        <v>94</v>
      </c>
      <c r="N900" s="2" t="s">
        <v>341</v>
      </c>
      <c r="O900" s="2">
        <v>2025</v>
      </c>
      <c r="P900" s="2" t="str">
        <v>March</v>
      </c>
      <c r="Q900" s="2" t="s">
        <v>21</v>
      </c>
    </row>
    <row r="901" spans="1:17" x14ac:dyDescent="0.25">
      <c r="A901" s="2" t="s">
        <v>1916</v>
      </c>
      <c r="B901" s="7">
        <v>45923</v>
      </c>
      <c r="C901" s="5" t="s">
        <v>135</v>
      </c>
      <c r="D901" s="5" t="s">
        <v>58</v>
      </c>
      <c r="E901" s="5" t="s">
        <v>295</v>
      </c>
      <c r="F901" s="2" t="s">
        <v>296</v>
      </c>
      <c r="G901" s="2">
        <v>1</v>
      </c>
      <c r="H901" s="25">
        <v>2520</v>
      </c>
      <c r="I901" s="8">
        <v>0</v>
      </c>
      <c r="J901" s="25">
        <v>2520</v>
      </c>
      <c r="K901" s="25">
        <f>G901*H901</f>
        <v>2520</v>
      </c>
      <c r="L901" s="8">
        <f>K901*I901/100</f>
        <v>0</v>
      </c>
      <c r="M901" s="2" t="s">
        <v>53</v>
      </c>
      <c r="N901" s="2" t="s">
        <v>266</v>
      </c>
      <c r="O901" s="2">
        <v>2025</v>
      </c>
      <c r="P901" s="2" t="str">
        <v>September</v>
      </c>
      <c r="Q901" s="2" t="s">
        <v>21</v>
      </c>
    </row>
    <row r="902" spans="1:17" x14ac:dyDescent="0.25">
      <c r="A902" s="2" t="s">
        <v>1918</v>
      </c>
      <c r="B902" s="7">
        <v>45827</v>
      </c>
      <c r="C902" s="5" t="s">
        <v>32</v>
      </c>
      <c r="D902" s="5" t="s">
        <v>33</v>
      </c>
      <c r="E902" s="5" t="s">
        <v>295</v>
      </c>
      <c r="F902" s="2" t="s">
        <v>101</v>
      </c>
      <c r="G902" s="2">
        <v>4</v>
      </c>
      <c r="H902" s="25">
        <v>5670</v>
      </c>
      <c r="I902" s="8">
        <v>10</v>
      </c>
      <c r="J902" s="25">
        <v>20412</v>
      </c>
      <c r="K902" s="25">
        <f>G902*H902</f>
        <v>22680</v>
      </c>
      <c r="L902" s="8">
        <f>K902*I902/100</f>
        <v>2268</v>
      </c>
      <c r="M902" s="2" t="s">
        <v>94</v>
      </c>
      <c r="N902" s="2" t="s">
        <v>68</v>
      </c>
      <c r="O902" s="2">
        <v>2025</v>
      </c>
      <c r="P902" s="2" t="str">
        <v>June</v>
      </c>
      <c r="Q902" s="2" t="s">
        <v>47</v>
      </c>
    </row>
    <row r="903" spans="1:17" x14ac:dyDescent="0.25">
      <c r="A903" s="2" t="s">
        <v>1919</v>
      </c>
      <c r="B903" s="7">
        <v>45997</v>
      </c>
      <c r="C903" s="5" t="s">
        <v>24</v>
      </c>
      <c r="D903" s="5" t="s">
        <v>16</v>
      </c>
      <c r="E903" s="5" t="s">
        <v>148</v>
      </c>
      <c r="F903" s="2" t="s">
        <v>435</v>
      </c>
      <c r="G903" s="2">
        <v>9</v>
      </c>
      <c r="H903" s="25">
        <v>8350</v>
      </c>
      <c r="I903" s="8">
        <v>0</v>
      </c>
      <c r="J903" s="25">
        <v>75150</v>
      </c>
      <c r="K903" s="25">
        <f>G903*H903</f>
        <v>75150</v>
      </c>
      <c r="L903" s="8">
        <f>K903*I903/100</f>
        <v>0</v>
      </c>
      <c r="M903" s="2" t="s">
        <v>102</v>
      </c>
      <c r="N903" s="2" t="s">
        <v>344</v>
      </c>
      <c r="O903" s="2">
        <v>2025</v>
      </c>
      <c r="P903" s="2" t="str">
        <v>December</v>
      </c>
      <c r="Q903" s="2" t="s">
        <v>21</v>
      </c>
    </row>
    <row r="904" spans="1:17" x14ac:dyDescent="0.25">
      <c r="A904" s="2" t="s">
        <v>1921</v>
      </c>
      <c r="B904" s="7">
        <v>45890</v>
      </c>
      <c r="C904" s="5" t="s">
        <v>156</v>
      </c>
      <c r="D904" s="5" t="s">
        <v>51</v>
      </c>
      <c r="E904" s="5" t="s">
        <v>179</v>
      </c>
      <c r="F904" s="2" t="s">
        <v>239</v>
      </c>
      <c r="G904" s="2">
        <v>12</v>
      </c>
      <c r="H904" s="25">
        <v>7540.0000000000009</v>
      </c>
      <c r="I904" s="8">
        <v>15</v>
      </c>
      <c r="J904" s="25">
        <v>76908</v>
      </c>
      <c r="K904" s="25">
        <f>G904*H904</f>
        <v>90480.000000000015</v>
      </c>
      <c r="L904" s="8">
        <f>K904*I904/100</f>
        <v>13572.000000000002</v>
      </c>
      <c r="M904" s="2" t="s">
        <v>94</v>
      </c>
      <c r="N904" s="2" t="s">
        <v>54</v>
      </c>
      <c r="O904" s="2">
        <v>2025</v>
      </c>
      <c r="P904" s="2" t="str">
        <v>August</v>
      </c>
      <c r="Q904" s="2" t="s">
        <v>21</v>
      </c>
    </row>
    <row r="905" spans="1:17" x14ac:dyDescent="0.25">
      <c r="A905" s="2" t="s">
        <v>1923</v>
      </c>
      <c r="B905" s="7">
        <v>45701</v>
      </c>
      <c r="C905" s="5" t="s">
        <v>76</v>
      </c>
      <c r="D905" s="5" t="s">
        <v>33</v>
      </c>
      <c r="E905" s="5" t="s">
        <v>179</v>
      </c>
      <c r="F905" s="2" t="s">
        <v>180</v>
      </c>
      <c r="G905" s="2">
        <v>3</v>
      </c>
      <c r="H905" s="25">
        <v>9570</v>
      </c>
      <c r="I905" s="8">
        <v>10</v>
      </c>
      <c r="J905" s="25">
        <v>25839</v>
      </c>
      <c r="K905" s="25">
        <f>G905*H905</f>
        <v>28710</v>
      </c>
      <c r="L905" s="8">
        <f>K905*I905/100</f>
        <v>2871</v>
      </c>
      <c r="M905" s="2" t="s">
        <v>102</v>
      </c>
      <c r="N905" s="2" t="s">
        <v>188</v>
      </c>
      <c r="O905" s="2">
        <v>2025</v>
      </c>
      <c r="P905" s="2" t="str">
        <v>February</v>
      </c>
      <c r="Q905" s="2" t="s">
        <v>21</v>
      </c>
    </row>
    <row r="906" spans="1:17" x14ac:dyDescent="0.25">
      <c r="A906" s="2" t="s">
        <v>1925</v>
      </c>
      <c r="B906" s="7">
        <v>45892</v>
      </c>
      <c r="C906" s="5" t="s">
        <v>41</v>
      </c>
      <c r="D906" s="5" t="s">
        <v>42</v>
      </c>
      <c r="E906" s="5" t="s">
        <v>295</v>
      </c>
      <c r="F906" s="2" t="s">
        <v>66</v>
      </c>
      <c r="G906" s="2">
        <v>7</v>
      </c>
      <c r="H906" s="25">
        <v>3260</v>
      </c>
      <c r="I906" s="8">
        <v>5</v>
      </c>
      <c r="J906" s="25">
        <v>21679</v>
      </c>
      <c r="K906" s="25">
        <f>G906*H906</f>
        <v>22820</v>
      </c>
      <c r="L906" s="8">
        <f>K906*I906/100</f>
        <v>1141</v>
      </c>
      <c r="M906" s="2" t="s">
        <v>102</v>
      </c>
      <c r="N906" s="2" t="s">
        <v>188</v>
      </c>
      <c r="O906" s="2">
        <v>2025</v>
      </c>
      <c r="P906" s="2" t="str">
        <v>August</v>
      </c>
      <c r="Q906" s="2" t="s">
        <v>47</v>
      </c>
    </row>
    <row r="907" spans="1:17" x14ac:dyDescent="0.25">
      <c r="A907" s="2" t="s">
        <v>1927</v>
      </c>
      <c r="B907" s="7">
        <v>45984</v>
      </c>
      <c r="C907" s="5" t="s">
        <v>238</v>
      </c>
      <c r="D907" s="5" t="s">
        <v>51</v>
      </c>
      <c r="E907" s="5" t="s">
        <v>148</v>
      </c>
      <c r="F907" s="2" t="s">
        <v>149</v>
      </c>
      <c r="G907" s="2">
        <v>7</v>
      </c>
      <c r="H907" s="25">
        <v>74150</v>
      </c>
      <c r="I907" s="8">
        <v>0</v>
      </c>
      <c r="J907" s="25">
        <v>519050</v>
      </c>
      <c r="K907" s="25">
        <f>G907*H907</f>
        <v>519050</v>
      </c>
      <c r="L907" s="8">
        <f>K907*I907/100</f>
        <v>0</v>
      </c>
      <c r="M907" s="2" t="s">
        <v>53</v>
      </c>
      <c r="N907" s="2" t="s">
        <v>168</v>
      </c>
      <c r="O907" s="2">
        <v>2025</v>
      </c>
      <c r="P907" s="2" t="str">
        <v>November</v>
      </c>
      <c r="Q907" s="2" t="s">
        <v>47</v>
      </c>
    </row>
    <row r="908" spans="1:17" x14ac:dyDescent="0.25">
      <c r="A908" s="2" t="s">
        <v>1930</v>
      </c>
      <c r="B908" s="7">
        <v>45710</v>
      </c>
      <c r="C908" s="5" t="s">
        <v>135</v>
      </c>
      <c r="D908" s="5" t="s">
        <v>58</v>
      </c>
      <c r="E908" s="5" t="s">
        <v>179</v>
      </c>
      <c r="F908" s="2" t="s">
        <v>232</v>
      </c>
      <c r="G908" s="2">
        <v>9</v>
      </c>
      <c r="H908" s="25">
        <v>62110</v>
      </c>
      <c r="I908" s="8">
        <v>15</v>
      </c>
      <c r="J908" s="25">
        <v>475141.5</v>
      </c>
      <c r="K908" s="25">
        <f>G908*H908</f>
        <v>558990</v>
      </c>
      <c r="L908" s="8">
        <f>K908*I908/100</f>
        <v>83848.5</v>
      </c>
      <c r="M908" s="2" t="s">
        <v>94</v>
      </c>
      <c r="N908" s="2" t="s">
        <v>411</v>
      </c>
      <c r="O908" s="2">
        <v>2025</v>
      </c>
      <c r="P908" s="2" t="str">
        <v>February</v>
      </c>
      <c r="Q908" s="2" t="s">
        <v>21</v>
      </c>
    </row>
    <row r="909" spans="1:17" x14ac:dyDescent="0.25">
      <c r="A909" s="2" t="s">
        <v>1932</v>
      </c>
      <c r="B909" s="7">
        <v>46013</v>
      </c>
      <c r="C909" s="5" t="s">
        <v>32</v>
      </c>
      <c r="D909" s="5" t="s">
        <v>33</v>
      </c>
      <c r="E909" s="5" t="s">
        <v>179</v>
      </c>
      <c r="F909" s="2" t="s">
        <v>435</v>
      </c>
      <c r="G909" s="2">
        <v>8</v>
      </c>
      <c r="H909" s="25">
        <v>3710</v>
      </c>
      <c r="I909" s="8">
        <v>0</v>
      </c>
      <c r="J909" s="25">
        <v>29680</v>
      </c>
      <c r="K909" s="25">
        <f>G909*H909</f>
        <v>29680</v>
      </c>
      <c r="L909" s="8">
        <f>K909*I909/100</f>
        <v>0</v>
      </c>
      <c r="M909" s="2" t="s">
        <v>102</v>
      </c>
      <c r="N909" s="2" t="s">
        <v>883</v>
      </c>
      <c r="O909" s="2">
        <v>2025</v>
      </c>
      <c r="P909" s="2" t="str">
        <v>December</v>
      </c>
      <c r="Q909" s="2" t="s">
        <v>21</v>
      </c>
    </row>
    <row r="910" spans="1:17" x14ac:dyDescent="0.25">
      <c r="A910" s="2" t="s">
        <v>1934</v>
      </c>
      <c r="B910" s="7">
        <v>45871</v>
      </c>
      <c r="C910" s="5" t="s">
        <v>24</v>
      </c>
      <c r="D910" s="5" t="s">
        <v>16</v>
      </c>
      <c r="E910" s="5" t="s">
        <v>179</v>
      </c>
      <c r="F910" s="2" t="s">
        <v>224</v>
      </c>
      <c r="G910" s="2">
        <v>4</v>
      </c>
      <c r="H910" s="25">
        <v>17200</v>
      </c>
      <c r="I910" s="8">
        <v>0</v>
      </c>
      <c r="J910" s="25">
        <v>68800</v>
      </c>
      <c r="K910" s="25">
        <f>G910*H910</f>
        <v>68800</v>
      </c>
      <c r="L910" s="8">
        <f>K910*I910/100</f>
        <v>0</v>
      </c>
      <c r="M910" s="2" t="s">
        <v>102</v>
      </c>
      <c r="N910" s="2" t="s">
        <v>46</v>
      </c>
      <c r="O910" s="2">
        <v>2025</v>
      </c>
      <c r="P910" s="2" t="str">
        <v>August</v>
      </c>
      <c r="Q910" s="2" t="s">
        <v>21</v>
      </c>
    </row>
    <row r="911" spans="1:17" x14ac:dyDescent="0.25">
      <c r="A911" s="2" t="s">
        <v>1936</v>
      </c>
      <c r="B911" s="7">
        <v>45712</v>
      </c>
      <c r="C911" s="5" t="s">
        <v>238</v>
      </c>
      <c r="D911" s="5" t="s">
        <v>51</v>
      </c>
      <c r="E911" s="5" t="s">
        <v>25</v>
      </c>
      <c r="F911" s="2" t="s">
        <v>255</v>
      </c>
      <c r="G911" s="2">
        <v>10</v>
      </c>
      <c r="H911" s="25">
        <v>2340</v>
      </c>
      <c r="I911" s="8">
        <v>0</v>
      </c>
      <c r="J911" s="25">
        <v>23400</v>
      </c>
      <c r="K911" s="25">
        <f>G911*H911</f>
        <v>23400</v>
      </c>
      <c r="L911" s="8">
        <f>K911*I911/100</f>
        <v>0</v>
      </c>
      <c r="M911" s="2" t="s">
        <v>53</v>
      </c>
      <c r="N911" s="2" t="s">
        <v>73</v>
      </c>
      <c r="O911" s="2">
        <v>2025</v>
      </c>
      <c r="P911" s="2" t="str">
        <v>February</v>
      </c>
      <c r="Q911" s="2" t="s">
        <v>47</v>
      </c>
    </row>
    <row r="912" spans="1:17" x14ac:dyDescent="0.25">
      <c r="A912" s="2" t="s">
        <v>1938</v>
      </c>
      <c r="B912" s="7">
        <v>45730</v>
      </c>
      <c r="C912" s="5" t="s">
        <v>41</v>
      </c>
      <c r="D912" s="5" t="s">
        <v>42</v>
      </c>
      <c r="E912" s="5" t="s">
        <v>179</v>
      </c>
      <c r="F912" s="2" t="s">
        <v>239</v>
      </c>
      <c r="G912" s="2">
        <v>11</v>
      </c>
      <c r="H912" s="25">
        <v>11050</v>
      </c>
      <c r="I912" s="8">
        <v>5</v>
      </c>
      <c r="J912" s="25">
        <v>115472.5</v>
      </c>
      <c r="K912" s="25">
        <f>G912*H912</f>
        <v>121550</v>
      </c>
      <c r="L912" s="8">
        <f>K912*I912/100</f>
        <v>6077.5</v>
      </c>
      <c r="M912" s="2" t="s">
        <v>94</v>
      </c>
      <c r="N912" s="2" t="s">
        <v>406</v>
      </c>
      <c r="O912" s="2">
        <v>2025</v>
      </c>
      <c r="P912" s="2" t="str">
        <v>March</v>
      </c>
      <c r="Q912" s="2" t="s">
        <v>47</v>
      </c>
    </row>
    <row r="913" spans="1:17" x14ac:dyDescent="0.25">
      <c r="A913" s="2" t="s">
        <v>1940</v>
      </c>
      <c r="B913" s="7">
        <v>45722</v>
      </c>
      <c r="C913" s="5" t="s">
        <v>135</v>
      </c>
      <c r="D913" s="5" t="s">
        <v>58</v>
      </c>
      <c r="E913" s="5" t="s">
        <v>148</v>
      </c>
      <c r="F913" s="2" t="s">
        <v>379</v>
      </c>
      <c r="G913" s="2">
        <v>12</v>
      </c>
      <c r="H913" s="25">
        <v>8330</v>
      </c>
      <c r="I913" s="8">
        <v>15</v>
      </c>
      <c r="J913" s="25">
        <v>84966</v>
      </c>
      <c r="K913" s="25">
        <f>G913*H913</f>
        <v>99960</v>
      </c>
      <c r="L913" s="8">
        <f>K913*I913/100</f>
        <v>14994</v>
      </c>
      <c r="M913" s="2" t="s">
        <v>94</v>
      </c>
      <c r="N913" s="2" t="s">
        <v>168</v>
      </c>
      <c r="O913" s="2">
        <v>2025</v>
      </c>
      <c r="P913" s="2" t="str">
        <v>March</v>
      </c>
      <c r="Q913" s="2" t="s">
        <v>21</v>
      </c>
    </row>
    <row r="914" spans="1:17" x14ac:dyDescent="0.25">
      <c r="A914" s="2" t="s">
        <v>1942</v>
      </c>
      <c r="B914" s="7">
        <v>45727</v>
      </c>
      <c r="C914" s="5" t="s">
        <v>24</v>
      </c>
      <c r="D914" s="5" t="s">
        <v>16</v>
      </c>
      <c r="E914" s="5" t="s">
        <v>179</v>
      </c>
      <c r="F914" s="2" t="s">
        <v>180</v>
      </c>
      <c r="G914" s="2">
        <v>11</v>
      </c>
      <c r="H914" s="25">
        <v>570</v>
      </c>
      <c r="I914" s="8">
        <v>5</v>
      </c>
      <c r="J914" s="25">
        <v>5956.5</v>
      </c>
      <c r="K914" s="25">
        <f>G914*H914</f>
        <v>6270</v>
      </c>
      <c r="L914" s="8">
        <f>K914*I914/100</f>
        <v>313.5</v>
      </c>
      <c r="M914" s="2" t="s">
        <v>139</v>
      </c>
      <c r="N914" s="2" t="s">
        <v>37</v>
      </c>
      <c r="O914" s="2">
        <v>2025</v>
      </c>
      <c r="P914" s="2" t="str">
        <v>March</v>
      </c>
      <c r="Q914" s="2" t="s">
        <v>21</v>
      </c>
    </row>
    <row r="915" spans="1:17" x14ac:dyDescent="0.25">
      <c r="A915" s="2" t="s">
        <v>1943</v>
      </c>
      <c r="B915" s="7">
        <v>45938</v>
      </c>
      <c r="C915" s="5" t="s">
        <v>135</v>
      </c>
      <c r="D915" s="5" t="s">
        <v>58</v>
      </c>
      <c r="E915" s="5" t="s">
        <v>179</v>
      </c>
      <c r="F915" s="2" t="s">
        <v>232</v>
      </c>
      <c r="G915" s="2">
        <v>6</v>
      </c>
      <c r="H915" s="25">
        <v>61860</v>
      </c>
      <c r="I915" s="8">
        <v>5</v>
      </c>
      <c r="J915" s="25">
        <v>352602</v>
      </c>
      <c r="K915" s="25">
        <f>G915*H915</f>
        <v>371160</v>
      </c>
      <c r="L915" s="8">
        <f>K915*I915/100</f>
        <v>18558</v>
      </c>
      <c r="M915" s="2" t="s">
        <v>139</v>
      </c>
      <c r="N915" s="2" t="s">
        <v>79</v>
      </c>
      <c r="O915" s="2">
        <v>2025</v>
      </c>
      <c r="P915" s="2" t="str">
        <v>October</v>
      </c>
      <c r="Q915" s="2" t="s">
        <v>21</v>
      </c>
    </row>
    <row r="916" spans="1:17" x14ac:dyDescent="0.25">
      <c r="A916" s="2" t="s">
        <v>1945</v>
      </c>
      <c r="B916" s="7">
        <v>45751</v>
      </c>
      <c r="C916" s="5" t="s">
        <v>76</v>
      </c>
      <c r="D916" s="5" t="s">
        <v>33</v>
      </c>
      <c r="E916" s="5" t="s">
        <v>179</v>
      </c>
      <c r="F916" s="2" t="s">
        <v>224</v>
      </c>
      <c r="G916" s="2">
        <v>8</v>
      </c>
      <c r="H916" s="25">
        <v>1130</v>
      </c>
      <c r="I916" s="8">
        <v>0</v>
      </c>
      <c r="J916" s="25">
        <v>9040</v>
      </c>
      <c r="K916" s="25">
        <f>G916*H916</f>
        <v>9040</v>
      </c>
      <c r="L916" s="8">
        <f>K916*I916/100</f>
        <v>0</v>
      </c>
      <c r="M916" s="2" t="s">
        <v>94</v>
      </c>
      <c r="N916" s="2" t="s">
        <v>344</v>
      </c>
      <c r="O916" s="2">
        <v>2025</v>
      </c>
      <c r="P916" s="2" t="str">
        <v>April</v>
      </c>
      <c r="Q916" s="2" t="s">
        <v>21</v>
      </c>
    </row>
    <row r="917" spans="1:17" x14ac:dyDescent="0.25">
      <c r="A917" s="2" t="s">
        <v>1947</v>
      </c>
      <c r="B917" s="7">
        <v>45927</v>
      </c>
      <c r="C917" s="5" t="s">
        <v>24</v>
      </c>
      <c r="D917" s="5" t="s">
        <v>16</v>
      </c>
      <c r="E917" s="5" t="s">
        <v>179</v>
      </c>
      <c r="F917" s="2" t="s">
        <v>78</v>
      </c>
      <c r="G917" s="2">
        <v>12</v>
      </c>
      <c r="H917" s="25">
        <v>4570</v>
      </c>
      <c r="I917" s="8">
        <v>0</v>
      </c>
      <c r="J917" s="25">
        <v>54840</v>
      </c>
      <c r="K917" s="25">
        <f>G917*H917</f>
        <v>54840</v>
      </c>
      <c r="L917" s="8">
        <f>K917*I917/100</f>
        <v>0</v>
      </c>
      <c r="M917" s="2" t="s">
        <v>102</v>
      </c>
      <c r="N917" s="2" t="s">
        <v>37</v>
      </c>
      <c r="O917" s="2">
        <v>2025</v>
      </c>
      <c r="P917" s="2" t="str">
        <v>September</v>
      </c>
      <c r="Q917" s="2" t="s">
        <v>21</v>
      </c>
    </row>
    <row r="918" spans="1:17" x14ac:dyDescent="0.25">
      <c r="A918" s="2" t="s">
        <v>1949</v>
      </c>
      <c r="B918" s="7">
        <v>45871</v>
      </c>
      <c r="C918" s="5" t="s">
        <v>32</v>
      </c>
      <c r="D918" s="5" t="s">
        <v>33</v>
      </c>
      <c r="E918" s="5" t="s">
        <v>179</v>
      </c>
      <c r="F918" s="2" t="s">
        <v>224</v>
      </c>
      <c r="G918" s="2">
        <v>7</v>
      </c>
      <c r="H918" s="25">
        <v>3720</v>
      </c>
      <c r="I918" s="8">
        <v>15</v>
      </c>
      <c r="J918" s="25">
        <v>22134</v>
      </c>
      <c r="K918" s="25">
        <f>G918*H918</f>
        <v>26040</v>
      </c>
      <c r="L918" s="8">
        <f>K918*I918/100</f>
        <v>3906</v>
      </c>
      <c r="M918" s="2" t="s">
        <v>102</v>
      </c>
      <c r="N918" s="2" t="s">
        <v>37</v>
      </c>
      <c r="O918" s="2">
        <v>2025</v>
      </c>
      <c r="P918" s="2" t="str">
        <v>August</v>
      </c>
      <c r="Q918" s="2" t="s">
        <v>47</v>
      </c>
    </row>
    <row r="919" spans="1:17" x14ac:dyDescent="0.25">
      <c r="A919" s="2" t="s">
        <v>1951</v>
      </c>
      <c r="B919" s="7">
        <v>45849</v>
      </c>
      <c r="C919" s="5" t="s">
        <v>41</v>
      </c>
      <c r="D919" s="5" t="s">
        <v>42</v>
      </c>
      <c r="E919" s="5" t="s">
        <v>148</v>
      </c>
      <c r="F919" s="2" t="s">
        <v>252</v>
      </c>
      <c r="G919" s="2">
        <v>1</v>
      </c>
      <c r="H919" s="25">
        <v>1120</v>
      </c>
      <c r="I919" s="8">
        <v>10</v>
      </c>
      <c r="J919" s="25">
        <v>1008</v>
      </c>
      <c r="K919" s="25">
        <f>G919*H919</f>
        <v>1120</v>
      </c>
      <c r="L919" s="8">
        <f>K919*I919/100</f>
        <v>112</v>
      </c>
      <c r="M919" s="2" t="s">
        <v>102</v>
      </c>
      <c r="N919" s="2" t="s">
        <v>176</v>
      </c>
      <c r="O919" s="2">
        <v>2025</v>
      </c>
      <c r="P919" s="2" t="str">
        <v>July</v>
      </c>
      <c r="Q919" s="2" t="s">
        <v>21</v>
      </c>
    </row>
    <row r="920" spans="1:17" x14ac:dyDescent="0.25">
      <c r="A920" s="2" t="s">
        <v>1952</v>
      </c>
      <c r="B920" s="7">
        <v>45902</v>
      </c>
      <c r="C920" s="5" t="s">
        <v>41</v>
      </c>
      <c r="D920" s="5" t="s">
        <v>42</v>
      </c>
      <c r="E920" s="5" t="s">
        <v>179</v>
      </c>
      <c r="F920" s="2" t="s">
        <v>143</v>
      </c>
      <c r="G920" s="2">
        <v>7</v>
      </c>
      <c r="H920" s="25">
        <v>12780</v>
      </c>
      <c r="I920" s="8">
        <v>15</v>
      </c>
      <c r="J920" s="25">
        <v>76041</v>
      </c>
      <c r="K920" s="25">
        <f>G920*H920</f>
        <v>89460</v>
      </c>
      <c r="L920" s="8">
        <f>K920*I920/100</f>
        <v>13419</v>
      </c>
      <c r="M920" s="2" t="s">
        <v>139</v>
      </c>
      <c r="N920" s="2" t="s">
        <v>266</v>
      </c>
      <c r="O920" s="2">
        <v>2025</v>
      </c>
      <c r="P920" s="2" t="str">
        <v>September</v>
      </c>
      <c r="Q920" s="2" t="s">
        <v>47</v>
      </c>
    </row>
    <row r="921" spans="1:17" x14ac:dyDescent="0.25">
      <c r="A921" s="2" t="s">
        <v>1953</v>
      </c>
      <c r="B921" s="7">
        <v>45859</v>
      </c>
      <c r="C921" s="5" t="s">
        <v>238</v>
      </c>
      <c r="D921" s="5" t="s">
        <v>51</v>
      </c>
      <c r="E921" s="5" t="s">
        <v>34</v>
      </c>
      <c r="F921" s="2" t="s">
        <v>71</v>
      </c>
      <c r="G921" s="2">
        <v>1</v>
      </c>
      <c r="H921" s="25">
        <v>13620</v>
      </c>
      <c r="I921" s="8">
        <v>15</v>
      </c>
      <c r="J921" s="25">
        <v>11577</v>
      </c>
      <c r="K921" s="25">
        <f>G921*H921</f>
        <v>13620</v>
      </c>
      <c r="L921" s="8">
        <f>K921*I921/100</f>
        <v>2043</v>
      </c>
      <c r="M921" s="2" t="s">
        <v>94</v>
      </c>
      <c r="N921" s="2" t="s">
        <v>37</v>
      </c>
      <c r="O921" s="2">
        <v>2025</v>
      </c>
      <c r="P921" s="2" t="str">
        <v>July</v>
      </c>
      <c r="Q921" s="2" t="s">
        <v>47</v>
      </c>
    </row>
    <row r="922" spans="1:17" x14ac:dyDescent="0.25">
      <c r="A922" s="2" t="s">
        <v>1955</v>
      </c>
      <c r="B922" s="7">
        <v>46011</v>
      </c>
      <c r="C922" s="5" t="s">
        <v>32</v>
      </c>
      <c r="D922" s="5" t="s">
        <v>33</v>
      </c>
      <c r="E922" s="5" t="s">
        <v>295</v>
      </c>
      <c r="F922" s="2" t="s">
        <v>132</v>
      </c>
      <c r="G922" s="2">
        <v>6</v>
      </c>
      <c r="H922" s="25">
        <v>4800</v>
      </c>
      <c r="I922" s="8">
        <v>0</v>
      </c>
      <c r="J922" s="25">
        <v>28800</v>
      </c>
      <c r="K922" s="25">
        <f>G922*H922</f>
        <v>28800</v>
      </c>
      <c r="L922" s="8">
        <f>K922*I922/100</f>
        <v>0</v>
      </c>
      <c r="M922" s="2" t="s">
        <v>53</v>
      </c>
      <c r="N922" s="2" t="s">
        <v>37</v>
      </c>
      <c r="O922" s="2">
        <v>2025</v>
      </c>
      <c r="P922" s="2" t="str">
        <v>December</v>
      </c>
      <c r="Q922" s="2" t="s">
        <v>47</v>
      </c>
    </row>
    <row r="923" spans="1:17" x14ac:dyDescent="0.25">
      <c r="A923" s="2" t="s">
        <v>1957</v>
      </c>
      <c r="B923" s="7">
        <v>45747</v>
      </c>
      <c r="C923" s="5" t="s">
        <v>41</v>
      </c>
      <c r="D923" s="5" t="s">
        <v>42</v>
      </c>
      <c r="E923" s="5" t="s">
        <v>34</v>
      </c>
      <c r="F923" s="2" t="s">
        <v>18</v>
      </c>
      <c r="G923" s="2">
        <v>12</v>
      </c>
      <c r="H923" s="25">
        <v>2540</v>
      </c>
      <c r="I923" s="8">
        <v>5</v>
      </c>
      <c r="J923" s="25">
        <v>28956</v>
      </c>
      <c r="K923" s="25">
        <f>G923*H923</f>
        <v>30480</v>
      </c>
      <c r="L923" s="8">
        <f>K923*I923/100</f>
        <v>1524</v>
      </c>
      <c r="M923" s="2" t="s">
        <v>139</v>
      </c>
      <c r="N923" s="2" t="s">
        <v>54</v>
      </c>
      <c r="O923" s="2">
        <v>2025</v>
      </c>
      <c r="P923" s="2" t="str">
        <v>March</v>
      </c>
      <c r="Q923" s="2" t="s">
        <v>21</v>
      </c>
    </row>
    <row r="924" spans="1:17" x14ac:dyDescent="0.25">
      <c r="A924" s="2" t="s">
        <v>1959</v>
      </c>
      <c r="B924" s="7">
        <v>45828</v>
      </c>
      <c r="C924" s="5" t="s">
        <v>24</v>
      </c>
      <c r="D924" s="5" t="s">
        <v>16</v>
      </c>
      <c r="E924" s="5" t="s">
        <v>179</v>
      </c>
      <c r="F924" s="2" t="s">
        <v>180</v>
      </c>
      <c r="G924" s="2">
        <v>9</v>
      </c>
      <c r="H924" s="25">
        <v>1190</v>
      </c>
      <c r="I924" s="8">
        <v>0</v>
      </c>
      <c r="J924" s="25">
        <v>10710</v>
      </c>
      <c r="K924" s="25">
        <f>G924*H924</f>
        <v>10710</v>
      </c>
      <c r="L924" s="8">
        <f>K924*I924/100</f>
        <v>0</v>
      </c>
      <c r="M924" s="2" t="s">
        <v>94</v>
      </c>
      <c r="N924" s="2" t="s">
        <v>176</v>
      </c>
      <c r="O924" s="2">
        <v>2025</v>
      </c>
      <c r="P924" s="2" t="str">
        <v>June</v>
      </c>
      <c r="Q924" s="2" t="s">
        <v>21</v>
      </c>
    </row>
    <row r="925" spans="1:17" x14ac:dyDescent="0.25">
      <c r="A925" s="2" t="s">
        <v>1960</v>
      </c>
      <c r="B925" s="7">
        <v>45923</v>
      </c>
      <c r="C925" s="5" t="s">
        <v>135</v>
      </c>
      <c r="D925" s="5" t="s">
        <v>51</v>
      </c>
      <c r="E925" s="5" t="s">
        <v>179</v>
      </c>
      <c r="F925" s="2" t="s">
        <v>184</v>
      </c>
      <c r="G925" s="2">
        <v>12</v>
      </c>
      <c r="H925" s="25">
        <v>7990</v>
      </c>
      <c r="I925" s="8">
        <v>0</v>
      </c>
      <c r="J925" s="25">
        <v>95880</v>
      </c>
      <c r="K925" s="25">
        <f>G925*H925</f>
        <v>95880</v>
      </c>
      <c r="L925" s="8">
        <f>K925*I925/100</f>
        <v>0</v>
      </c>
      <c r="M925" s="2" t="s">
        <v>102</v>
      </c>
      <c r="N925" s="2" t="s">
        <v>54</v>
      </c>
      <c r="O925" s="2">
        <v>2025</v>
      </c>
      <c r="P925" s="2" t="str">
        <v>September</v>
      </c>
      <c r="Q925" s="2" t="s">
        <v>21</v>
      </c>
    </row>
    <row r="926" spans="1:17" x14ac:dyDescent="0.25">
      <c r="A926" s="2" t="s">
        <v>1962</v>
      </c>
      <c r="B926" s="7">
        <v>45984</v>
      </c>
      <c r="C926" s="5" t="s">
        <v>76</v>
      </c>
      <c r="D926" s="5" t="s">
        <v>33</v>
      </c>
      <c r="E926" s="5" t="s">
        <v>148</v>
      </c>
      <c r="F926" s="2" t="s">
        <v>60</v>
      </c>
      <c r="G926" s="2">
        <v>4</v>
      </c>
      <c r="H926" s="25">
        <v>18060</v>
      </c>
      <c r="I926" s="8">
        <v>0</v>
      </c>
      <c r="J926" s="25">
        <v>72240</v>
      </c>
      <c r="K926" s="25">
        <f>G926*H926</f>
        <v>72240</v>
      </c>
      <c r="L926" s="8">
        <f>K926*I926/100</f>
        <v>0</v>
      </c>
      <c r="M926" s="2" t="s">
        <v>53</v>
      </c>
      <c r="N926" s="2" t="s">
        <v>406</v>
      </c>
      <c r="O926" s="2">
        <v>2025</v>
      </c>
      <c r="P926" s="2" t="str">
        <v>November</v>
      </c>
      <c r="Q926" s="2" t="s">
        <v>47</v>
      </c>
    </row>
    <row r="927" spans="1:17" x14ac:dyDescent="0.25">
      <c r="A927" s="2" t="s">
        <v>1963</v>
      </c>
      <c r="B927" s="7">
        <v>45797</v>
      </c>
      <c r="C927" s="5" t="s">
        <v>41</v>
      </c>
      <c r="D927" s="5" t="s">
        <v>42</v>
      </c>
      <c r="E927" s="5" t="s">
        <v>25</v>
      </c>
      <c r="F927" s="2" t="s">
        <v>26</v>
      </c>
      <c r="G927" s="2">
        <v>7</v>
      </c>
      <c r="H927" s="25">
        <v>2320</v>
      </c>
      <c r="I927" s="8">
        <v>0</v>
      </c>
      <c r="J927" s="25">
        <v>16240</v>
      </c>
      <c r="K927" s="25">
        <f>G927*H927</f>
        <v>16240</v>
      </c>
      <c r="L927" s="8">
        <f>K927*I927/100</f>
        <v>0</v>
      </c>
      <c r="M927" s="2" t="s">
        <v>139</v>
      </c>
      <c r="N927" s="2" t="s">
        <v>168</v>
      </c>
      <c r="O927" s="2">
        <v>2025</v>
      </c>
      <c r="P927" s="2" t="str">
        <v>May</v>
      </c>
      <c r="Q927" s="2" t="s">
        <v>47</v>
      </c>
    </row>
    <row r="928" spans="1:17" x14ac:dyDescent="0.25">
      <c r="A928" s="2" t="s">
        <v>1964</v>
      </c>
      <c r="B928" s="7">
        <v>45977</v>
      </c>
      <c r="C928" s="5" t="s">
        <v>156</v>
      </c>
      <c r="D928" s="5" t="s">
        <v>51</v>
      </c>
      <c r="E928" s="5" t="s">
        <v>25</v>
      </c>
      <c r="F928" s="2" t="s">
        <v>106</v>
      </c>
      <c r="G928" s="2">
        <v>9</v>
      </c>
      <c r="H928" s="25">
        <v>12840</v>
      </c>
      <c r="I928" s="8">
        <v>10</v>
      </c>
      <c r="J928" s="25">
        <v>104004</v>
      </c>
      <c r="K928" s="25">
        <f>G928*H928</f>
        <v>115560</v>
      </c>
      <c r="L928" s="8">
        <f>K928*I928/100</f>
        <v>11556</v>
      </c>
      <c r="M928" s="2" t="s">
        <v>102</v>
      </c>
      <c r="N928" s="2" t="s">
        <v>341</v>
      </c>
      <c r="O928" s="2">
        <v>2025</v>
      </c>
      <c r="P928" s="2" t="str">
        <v>November</v>
      </c>
      <c r="Q928" s="2" t="s">
        <v>21</v>
      </c>
    </row>
    <row r="929" spans="1:17" x14ac:dyDescent="0.25">
      <c r="A929" s="2" t="s">
        <v>1967</v>
      </c>
      <c r="B929" s="7">
        <v>45939</v>
      </c>
      <c r="C929" s="5" t="s">
        <v>238</v>
      </c>
      <c r="D929" s="5" t="s">
        <v>51</v>
      </c>
      <c r="E929" s="5" t="s">
        <v>25</v>
      </c>
      <c r="F929" s="2" t="s">
        <v>115</v>
      </c>
      <c r="G929" s="2">
        <v>11</v>
      </c>
      <c r="H929" s="25">
        <v>3670</v>
      </c>
      <c r="I929" s="8">
        <v>5</v>
      </c>
      <c r="J929" s="25">
        <v>38351.5</v>
      </c>
      <c r="K929" s="25">
        <f>G929*H929</f>
        <v>40370</v>
      </c>
      <c r="L929" s="8">
        <f>K929*I929/100</f>
        <v>2018.5</v>
      </c>
      <c r="M929" s="2" t="s">
        <v>102</v>
      </c>
      <c r="N929" s="2" t="s">
        <v>406</v>
      </c>
      <c r="O929" s="2">
        <v>2025</v>
      </c>
      <c r="P929" s="2" t="str">
        <v>October</v>
      </c>
      <c r="Q929" s="2" t="s">
        <v>21</v>
      </c>
    </row>
    <row r="930" spans="1:17" x14ac:dyDescent="0.25">
      <c r="A930" s="2" t="s">
        <v>1968</v>
      </c>
      <c r="B930" s="7">
        <v>45898</v>
      </c>
      <c r="C930" s="5" t="s">
        <v>238</v>
      </c>
      <c r="D930" s="5" t="s">
        <v>51</v>
      </c>
      <c r="E930" s="5" t="s">
        <v>295</v>
      </c>
      <c r="F930" s="2" t="s">
        <v>219</v>
      </c>
      <c r="G930" s="2">
        <v>12</v>
      </c>
      <c r="H930" s="25">
        <v>13030</v>
      </c>
      <c r="I930" s="8">
        <v>10</v>
      </c>
      <c r="J930" s="25">
        <v>140724</v>
      </c>
      <c r="K930" s="25">
        <f>G930*H930</f>
        <v>156360</v>
      </c>
      <c r="L930" s="8">
        <f>K930*I930/100</f>
        <v>15636</v>
      </c>
      <c r="M930" s="2" t="s">
        <v>53</v>
      </c>
      <c r="N930" s="2" t="s">
        <v>176</v>
      </c>
      <c r="O930" s="2">
        <v>2025</v>
      </c>
      <c r="P930" s="2" t="str">
        <v>August</v>
      </c>
      <c r="Q930" s="2" t="s">
        <v>21</v>
      </c>
    </row>
    <row r="931" spans="1:17" x14ac:dyDescent="0.25">
      <c r="A931" s="2" t="s">
        <v>1970</v>
      </c>
      <c r="B931" s="7">
        <v>45929</v>
      </c>
      <c r="C931" s="5" t="s">
        <v>238</v>
      </c>
      <c r="D931" s="5" t="s">
        <v>51</v>
      </c>
      <c r="E931" s="5" t="s">
        <v>148</v>
      </c>
      <c r="F931" s="2" t="s">
        <v>60</v>
      </c>
      <c r="G931" s="2">
        <v>12</v>
      </c>
      <c r="H931" s="25">
        <v>41300</v>
      </c>
      <c r="I931" s="8">
        <v>15</v>
      </c>
      <c r="J931" s="25">
        <v>421260</v>
      </c>
      <c r="K931" s="25">
        <f>G931*H931</f>
        <v>495600</v>
      </c>
      <c r="L931" s="8">
        <f>K931*I931/100</f>
        <v>74340</v>
      </c>
      <c r="M931" s="2" t="s">
        <v>139</v>
      </c>
      <c r="N931" s="2" t="s">
        <v>883</v>
      </c>
      <c r="O931" s="2">
        <v>2025</v>
      </c>
      <c r="P931" s="2" t="str">
        <v>September</v>
      </c>
      <c r="Q931" s="2" t="s">
        <v>21</v>
      </c>
    </row>
    <row r="932" spans="1:17" x14ac:dyDescent="0.25">
      <c r="A932" s="2" t="s">
        <v>1972</v>
      </c>
      <c r="B932" s="7">
        <v>45859</v>
      </c>
      <c r="C932" s="5" t="s">
        <v>135</v>
      </c>
      <c r="D932" s="5" t="s">
        <v>58</v>
      </c>
      <c r="E932" s="5" t="s">
        <v>25</v>
      </c>
      <c r="F932" s="2" t="s">
        <v>248</v>
      </c>
      <c r="G932" s="2">
        <v>6</v>
      </c>
      <c r="H932" s="25">
        <v>18010</v>
      </c>
      <c r="I932" s="8">
        <v>0</v>
      </c>
      <c r="J932" s="25">
        <v>108060</v>
      </c>
      <c r="K932" s="25">
        <f>G932*H932</f>
        <v>108060</v>
      </c>
      <c r="L932" s="8">
        <f>K932*I932/100</f>
        <v>0</v>
      </c>
      <c r="M932" s="2" t="s">
        <v>102</v>
      </c>
      <c r="N932" s="2" t="s">
        <v>176</v>
      </c>
      <c r="O932" s="2">
        <v>2025</v>
      </c>
      <c r="P932" s="2" t="str">
        <v>July</v>
      </c>
      <c r="Q932" s="2" t="s">
        <v>47</v>
      </c>
    </row>
    <row r="933" spans="1:17" x14ac:dyDescent="0.25">
      <c r="A933" s="2" t="s">
        <v>1973</v>
      </c>
      <c r="B933" s="7">
        <v>45993</v>
      </c>
      <c r="C933" s="5" t="s">
        <v>76</v>
      </c>
      <c r="D933" s="5" t="s">
        <v>33</v>
      </c>
      <c r="E933" s="5" t="s">
        <v>295</v>
      </c>
      <c r="F933" s="2" t="s">
        <v>132</v>
      </c>
      <c r="G933" s="2">
        <v>9</v>
      </c>
      <c r="H933" s="25">
        <v>20680</v>
      </c>
      <c r="I933" s="8">
        <v>0</v>
      </c>
      <c r="J933" s="25">
        <v>186120</v>
      </c>
      <c r="K933" s="25">
        <f>G933*H933</f>
        <v>186120</v>
      </c>
      <c r="L933" s="8">
        <f>K933*I933/100</f>
        <v>0</v>
      </c>
      <c r="M933" s="2" t="s">
        <v>53</v>
      </c>
      <c r="N933" s="2" t="s">
        <v>176</v>
      </c>
      <c r="O933" s="2">
        <v>2025</v>
      </c>
      <c r="P933" s="2" t="str">
        <v>December</v>
      </c>
      <c r="Q933" s="2" t="s">
        <v>21</v>
      </c>
    </row>
    <row r="934" spans="1:17" x14ac:dyDescent="0.25">
      <c r="A934" s="2" t="s">
        <v>1975</v>
      </c>
      <c r="B934" s="7">
        <v>45819</v>
      </c>
      <c r="C934" s="5" t="s">
        <v>32</v>
      </c>
      <c r="D934" s="5" t="s">
        <v>33</v>
      </c>
      <c r="E934" s="5" t="s">
        <v>25</v>
      </c>
      <c r="F934" s="2" t="s">
        <v>93</v>
      </c>
      <c r="G934" s="2">
        <v>2</v>
      </c>
      <c r="H934" s="25">
        <v>2720</v>
      </c>
      <c r="I934" s="8">
        <v>0</v>
      </c>
      <c r="J934" s="25">
        <v>5440</v>
      </c>
      <c r="K934" s="25">
        <f>G934*H934</f>
        <v>5440</v>
      </c>
      <c r="L934" s="8">
        <f>K934*I934/100</f>
        <v>0</v>
      </c>
      <c r="M934" s="2" t="s">
        <v>139</v>
      </c>
      <c r="N934" s="2" t="s">
        <v>266</v>
      </c>
      <c r="O934" s="2">
        <v>2025</v>
      </c>
      <c r="P934" s="2" t="str">
        <v>June</v>
      </c>
      <c r="Q934" s="2" t="s">
        <v>21</v>
      </c>
    </row>
    <row r="935" spans="1:17" x14ac:dyDescent="0.25">
      <c r="A935" s="2" t="s">
        <v>1977</v>
      </c>
      <c r="B935" s="7">
        <v>45953</v>
      </c>
      <c r="C935" s="5" t="s">
        <v>76</v>
      </c>
      <c r="D935" s="5" t="s">
        <v>33</v>
      </c>
      <c r="E935" s="5" t="s">
        <v>295</v>
      </c>
      <c r="F935" s="2" t="s">
        <v>126</v>
      </c>
      <c r="G935" s="2">
        <v>5</v>
      </c>
      <c r="H935" s="25">
        <v>61990</v>
      </c>
      <c r="I935" s="8">
        <v>0</v>
      </c>
      <c r="J935" s="25">
        <v>309950</v>
      </c>
      <c r="K935" s="25">
        <f>G935*H935</f>
        <v>309950</v>
      </c>
      <c r="L935" s="8">
        <f>K935*I935/100</f>
        <v>0</v>
      </c>
      <c r="M935" s="2" t="s">
        <v>53</v>
      </c>
      <c r="N935" s="2" t="s">
        <v>411</v>
      </c>
      <c r="O935" s="2">
        <v>2025</v>
      </c>
      <c r="P935" s="2" t="str">
        <v>October</v>
      </c>
      <c r="Q935" s="2" t="s">
        <v>21</v>
      </c>
    </row>
    <row r="936" spans="1:17" x14ac:dyDescent="0.25">
      <c r="A936" s="2" t="s">
        <v>1979</v>
      </c>
      <c r="B936" s="7">
        <v>45923</v>
      </c>
      <c r="C936" s="5" t="s">
        <v>24</v>
      </c>
      <c r="D936" s="5" t="s">
        <v>16</v>
      </c>
      <c r="E936" s="5" t="s">
        <v>25</v>
      </c>
      <c r="F936" s="2" t="s">
        <v>106</v>
      </c>
      <c r="G936" s="2">
        <v>11</v>
      </c>
      <c r="H936" s="25">
        <v>3180</v>
      </c>
      <c r="I936" s="8">
        <v>0</v>
      </c>
      <c r="J936" s="25">
        <v>34980</v>
      </c>
      <c r="K936" s="25">
        <f>G936*H936</f>
        <v>34980</v>
      </c>
      <c r="L936" s="8">
        <f>K936*I936/100</f>
        <v>0</v>
      </c>
      <c r="M936" s="2" t="s">
        <v>94</v>
      </c>
      <c r="N936" s="2" t="s">
        <v>341</v>
      </c>
      <c r="O936" s="2">
        <v>2025</v>
      </c>
      <c r="P936" s="2" t="str">
        <v>September</v>
      </c>
      <c r="Q936" s="2" t="s">
        <v>21</v>
      </c>
    </row>
    <row r="937" spans="1:17" x14ac:dyDescent="0.25">
      <c r="A937" s="2" t="s">
        <v>1981</v>
      </c>
      <c r="B937" s="7">
        <v>45892</v>
      </c>
      <c r="C937" s="5" t="s">
        <v>238</v>
      </c>
      <c r="D937" s="5" t="s">
        <v>51</v>
      </c>
      <c r="E937" s="5" t="s">
        <v>295</v>
      </c>
      <c r="F937" s="2" t="s">
        <v>219</v>
      </c>
      <c r="G937" s="2">
        <v>4</v>
      </c>
      <c r="H937" s="25">
        <v>48370</v>
      </c>
      <c r="I937" s="8">
        <v>0</v>
      </c>
      <c r="J937" s="25">
        <v>193480</v>
      </c>
      <c r="K937" s="25">
        <f>G937*H937</f>
        <v>193480</v>
      </c>
      <c r="L937" s="8">
        <f>K937*I937/100</f>
        <v>0</v>
      </c>
      <c r="M937" s="2" t="s">
        <v>139</v>
      </c>
      <c r="N937" s="2" t="s">
        <v>54</v>
      </c>
      <c r="O937" s="2">
        <v>2025</v>
      </c>
      <c r="P937" s="2" t="str">
        <v>August</v>
      </c>
      <c r="Q937" s="2" t="s">
        <v>47</v>
      </c>
    </row>
    <row r="938" spans="1:17" x14ac:dyDescent="0.25">
      <c r="A938" s="2" t="s">
        <v>1982</v>
      </c>
      <c r="B938" s="7">
        <v>45988</v>
      </c>
      <c r="C938" s="5" t="s">
        <v>156</v>
      </c>
      <c r="D938" s="5" t="s">
        <v>51</v>
      </c>
      <c r="E938" s="5" t="s">
        <v>34</v>
      </c>
      <c r="F938" s="2" t="s">
        <v>199</v>
      </c>
      <c r="G938" s="2">
        <v>4</v>
      </c>
      <c r="H938" s="25">
        <v>18170</v>
      </c>
      <c r="I938" s="8">
        <v>0</v>
      </c>
      <c r="J938" s="25">
        <v>72680</v>
      </c>
      <c r="K938" s="25">
        <f>G938*H938</f>
        <v>72680</v>
      </c>
      <c r="L938" s="8">
        <f>K938*I938/100</f>
        <v>0</v>
      </c>
      <c r="M938" s="2" t="s">
        <v>94</v>
      </c>
      <c r="N938" s="2" t="s">
        <v>46</v>
      </c>
      <c r="O938" s="2">
        <v>2025</v>
      </c>
      <c r="P938" s="2" t="str">
        <v>November</v>
      </c>
      <c r="Q938" s="2" t="s">
        <v>47</v>
      </c>
    </row>
    <row r="939" spans="1:17" x14ac:dyDescent="0.25">
      <c r="A939" s="2" t="s">
        <v>1984</v>
      </c>
      <c r="B939" s="7">
        <v>45937</v>
      </c>
      <c r="C939" s="5" t="s">
        <v>24</v>
      </c>
      <c r="D939" s="5" t="s">
        <v>16</v>
      </c>
      <c r="E939" s="5" t="s">
        <v>295</v>
      </c>
      <c r="F939" s="2" t="s">
        <v>126</v>
      </c>
      <c r="G939" s="2">
        <v>1</v>
      </c>
      <c r="H939" s="25">
        <v>3190</v>
      </c>
      <c r="I939" s="8">
        <v>0</v>
      </c>
      <c r="J939" s="25">
        <v>3190</v>
      </c>
      <c r="K939" s="25">
        <f>G939*H939</f>
        <v>3190</v>
      </c>
      <c r="L939" s="8">
        <f>K939*I939/100</f>
        <v>0</v>
      </c>
      <c r="M939" s="2" t="s">
        <v>139</v>
      </c>
      <c r="N939" s="2" t="s">
        <v>73</v>
      </c>
      <c r="O939" s="2">
        <v>2025</v>
      </c>
      <c r="P939" s="2" t="str">
        <v>October</v>
      </c>
      <c r="Q939" s="2" t="s">
        <v>47</v>
      </c>
    </row>
    <row r="940" spans="1:17" x14ac:dyDescent="0.25">
      <c r="A940" s="2" t="s">
        <v>1985</v>
      </c>
      <c r="B940" s="7">
        <v>45860</v>
      </c>
      <c r="C940" s="5" t="s">
        <v>76</v>
      </c>
      <c r="D940" s="5" t="s">
        <v>33</v>
      </c>
      <c r="E940" s="5" t="s">
        <v>25</v>
      </c>
      <c r="F940" s="2" t="s">
        <v>26</v>
      </c>
      <c r="G940" s="2">
        <v>10</v>
      </c>
      <c r="H940" s="25">
        <v>10950</v>
      </c>
      <c r="I940" s="8">
        <v>0</v>
      </c>
      <c r="J940" s="25">
        <v>109500</v>
      </c>
      <c r="K940" s="25">
        <f>G940*H940</f>
        <v>109500</v>
      </c>
      <c r="L940" s="8">
        <f>K940*I940/100</f>
        <v>0</v>
      </c>
      <c r="M940" s="2" t="s">
        <v>53</v>
      </c>
      <c r="N940" s="2" t="s">
        <v>73</v>
      </c>
      <c r="O940" s="2">
        <v>2025</v>
      </c>
      <c r="P940" s="2" t="str">
        <v>July</v>
      </c>
      <c r="Q940" s="2" t="s">
        <v>21</v>
      </c>
    </row>
    <row r="941" spans="1:17" x14ac:dyDescent="0.25">
      <c r="A941" s="2" t="s">
        <v>1987</v>
      </c>
      <c r="B941" s="7">
        <v>46015</v>
      </c>
      <c r="C941" s="5" t="s">
        <v>32</v>
      </c>
      <c r="D941" s="5" t="s">
        <v>33</v>
      </c>
      <c r="E941" s="5" t="s">
        <v>148</v>
      </c>
      <c r="F941" s="2" t="s">
        <v>209</v>
      </c>
      <c r="G941" s="2">
        <v>12</v>
      </c>
      <c r="H941" s="25">
        <v>9670</v>
      </c>
      <c r="I941" s="8">
        <v>5</v>
      </c>
      <c r="J941" s="25">
        <v>110238</v>
      </c>
      <c r="K941" s="25">
        <f>G941*H941</f>
        <v>116040</v>
      </c>
      <c r="L941" s="8">
        <f>K941*I941/100</f>
        <v>5802</v>
      </c>
      <c r="M941" s="2" t="s">
        <v>53</v>
      </c>
      <c r="N941" s="2" t="s">
        <v>411</v>
      </c>
      <c r="O941" s="2">
        <v>2025</v>
      </c>
      <c r="P941" s="2" t="str">
        <v>December</v>
      </c>
      <c r="Q941" s="2" t="s">
        <v>21</v>
      </c>
    </row>
    <row r="942" spans="1:17" x14ac:dyDescent="0.25">
      <c r="A942" s="2" t="s">
        <v>1989</v>
      </c>
      <c r="B942" s="7">
        <v>45802</v>
      </c>
      <c r="C942" s="5" t="s">
        <v>238</v>
      </c>
      <c r="D942" s="5" t="s">
        <v>51</v>
      </c>
      <c r="E942" s="5" t="s">
        <v>25</v>
      </c>
      <c r="F942" s="2" t="s">
        <v>255</v>
      </c>
      <c r="G942" s="2">
        <v>4</v>
      </c>
      <c r="H942" s="25">
        <v>3640</v>
      </c>
      <c r="I942" s="8">
        <v>0</v>
      </c>
      <c r="J942" s="25">
        <v>14560</v>
      </c>
      <c r="K942" s="25">
        <f>G942*H942</f>
        <v>14560</v>
      </c>
      <c r="L942" s="8">
        <f>K942*I942/100</f>
        <v>0</v>
      </c>
      <c r="M942" s="2" t="s">
        <v>102</v>
      </c>
      <c r="N942" s="2" t="s">
        <v>188</v>
      </c>
      <c r="O942" s="2">
        <v>2025</v>
      </c>
      <c r="P942" s="2" t="str">
        <v>May</v>
      </c>
      <c r="Q942" s="2" t="s">
        <v>21</v>
      </c>
    </row>
    <row r="943" spans="1:17" x14ac:dyDescent="0.25">
      <c r="A943" s="2" t="s">
        <v>1991</v>
      </c>
      <c r="B943" s="7">
        <v>45750</v>
      </c>
      <c r="C943" s="5" t="s">
        <v>76</v>
      </c>
      <c r="D943" s="5" t="s">
        <v>33</v>
      </c>
      <c r="E943" s="5" t="s">
        <v>179</v>
      </c>
      <c r="F943" s="2" t="s">
        <v>78</v>
      </c>
      <c r="G943" s="2">
        <v>9</v>
      </c>
      <c r="H943" s="25">
        <v>44820</v>
      </c>
      <c r="I943" s="8">
        <v>0</v>
      </c>
      <c r="J943" s="25">
        <v>403380</v>
      </c>
      <c r="K943" s="25">
        <f>G943*H943</f>
        <v>403380</v>
      </c>
      <c r="L943" s="8">
        <f>K943*I943/100</f>
        <v>0</v>
      </c>
      <c r="M943" s="2" t="s">
        <v>139</v>
      </c>
      <c r="N943" s="2" t="s">
        <v>54</v>
      </c>
      <c r="O943" s="2">
        <v>2025</v>
      </c>
      <c r="P943" s="2" t="str">
        <v>April</v>
      </c>
      <c r="Q943" s="2" t="s">
        <v>47</v>
      </c>
    </row>
    <row r="944" spans="1:17" x14ac:dyDescent="0.25">
      <c r="A944" s="2" t="s">
        <v>1993</v>
      </c>
      <c r="B944" s="7">
        <v>45746</v>
      </c>
      <c r="C944" s="5" t="s">
        <v>24</v>
      </c>
      <c r="D944" s="5" t="s">
        <v>16</v>
      </c>
      <c r="E944" s="5" t="s">
        <v>34</v>
      </c>
      <c r="F944" s="2" t="s">
        <v>164</v>
      </c>
      <c r="G944" s="2">
        <v>7</v>
      </c>
      <c r="H944" s="25">
        <v>27790</v>
      </c>
      <c r="I944" s="8">
        <v>15</v>
      </c>
      <c r="J944" s="25">
        <v>165350.5</v>
      </c>
      <c r="K944" s="25">
        <f>G944*H944</f>
        <v>194530</v>
      </c>
      <c r="L944" s="8">
        <f>K944*I944/100</f>
        <v>29179.5</v>
      </c>
      <c r="M944" s="2" t="s">
        <v>102</v>
      </c>
      <c r="N944" s="2" t="s">
        <v>176</v>
      </c>
      <c r="O944" s="2">
        <v>2025</v>
      </c>
      <c r="P944" s="2" t="str">
        <v>March</v>
      </c>
      <c r="Q944" s="2" t="s">
        <v>21</v>
      </c>
    </row>
    <row r="945" spans="1:17" x14ac:dyDescent="0.25">
      <c r="A945" s="2" t="s">
        <v>1994</v>
      </c>
      <c r="B945" s="7">
        <v>45905</v>
      </c>
      <c r="C945" s="5" t="s">
        <v>76</v>
      </c>
      <c r="D945" s="5" t="s">
        <v>33</v>
      </c>
      <c r="E945" s="5" t="s">
        <v>179</v>
      </c>
      <c r="F945" s="2" t="s">
        <v>543</v>
      </c>
      <c r="G945" s="2">
        <v>4</v>
      </c>
      <c r="H945" s="25">
        <v>46911</v>
      </c>
      <c r="I945" s="8">
        <v>0</v>
      </c>
      <c r="J945" s="25">
        <v>187644</v>
      </c>
      <c r="K945" s="25">
        <f>G945*H945</f>
        <v>187644</v>
      </c>
      <c r="L945" s="8">
        <f>K945*I945/100</f>
        <v>0</v>
      </c>
      <c r="M945" s="2" t="s">
        <v>102</v>
      </c>
      <c r="N945" s="2" t="s">
        <v>341</v>
      </c>
      <c r="O945" s="2">
        <v>2025</v>
      </c>
      <c r="P945" s="2" t="str">
        <v>September</v>
      </c>
      <c r="Q945" s="2" t="s">
        <v>47</v>
      </c>
    </row>
    <row r="946" spans="1:17" x14ac:dyDescent="0.25">
      <c r="A946" s="2" t="s">
        <v>1996</v>
      </c>
      <c r="B946" s="7">
        <v>45943</v>
      </c>
      <c r="C946" s="5" t="s">
        <v>238</v>
      </c>
      <c r="D946" s="5" t="s">
        <v>51</v>
      </c>
      <c r="E946" s="5" t="s">
        <v>179</v>
      </c>
      <c r="F946" s="2" t="s">
        <v>224</v>
      </c>
      <c r="G946" s="2">
        <v>6</v>
      </c>
      <c r="H946" s="25">
        <v>510</v>
      </c>
      <c r="I946" s="8">
        <v>0</v>
      </c>
      <c r="J946" s="25">
        <v>3060</v>
      </c>
      <c r="K946" s="25">
        <f>G946*H946</f>
        <v>3060</v>
      </c>
      <c r="L946" s="8">
        <f>K946*I946/100</f>
        <v>0</v>
      </c>
      <c r="M946" s="2" t="s">
        <v>94</v>
      </c>
      <c r="N946" s="2" t="s">
        <v>411</v>
      </c>
      <c r="O946" s="2">
        <v>2025</v>
      </c>
      <c r="P946" s="2" t="str">
        <v>October</v>
      </c>
      <c r="Q946" s="2" t="s">
        <v>47</v>
      </c>
    </row>
    <row r="947" spans="1:17" x14ac:dyDescent="0.25">
      <c r="A947" s="2" t="s">
        <v>1997</v>
      </c>
      <c r="B947" s="7">
        <v>46016</v>
      </c>
      <c r="C947" s="5" t="s">
        <v>76</v>
      </c>
      <c r="D947" s="5" t="s">
        <v>33</v>
      </c>
      <c r="E947" s="5" t="s">
        <v>295</v>
      </c>
      <c r="F947" s="2" t="s">
        <v>126</v>
      </c>
      <c r="G947" s="2">
        <v>3</v>
      </c>
      <c r="H947" s="25">
        <v>550</v>
      </c>
      <c r="I947" s="8">
        <v>0</v>
      </c>
      <c r="J947" s="25">
        <v>1650</v>
      </c>
      <c r="K947" s="25">
        <f>G947*H947</f>
        <v>1650</v>
      </c>
      <c r="L947" s="8">
        <f>K947*I947/100</f>
        <v>0</v>
      </c>
      <c r="M947" s="2" t="s">
        <v>102</v>
      </c>
      <c r="N947" s="2" t="s">
        <v>73</v>
      </c>
      <c r="O947" s="2">
        <v>2025</v>
      </c>
      <c r="P947" s="2" t="str">
        <v>December</v>
      </c>
      <c r="Q947" s="2" t="s">
        <v>21</v>
      </c>
    </row>
    <row r="948" spans="1:17" x14ac:dyDescent="0.25">
      <c r="A948" s="2" t="s">
        <v>1999</v>
      </c>
      <c r="B948" s="7">
        <v>45938</v>
      </c>
      <c r="C948" s="5" t="s">
        <v>238</v>
      </c>
      <c r="D948" s="5" t="s">
        <v>51</v>
      </c>
      <c r="E948" s="5" t="s">
        <v>179</v>
      </c>
      <c r="F948" s="2" t="s">
        <v>35</v>
      </c>
      <c r="G948" s="2">
        <v>12</v>
      </c>
      <c r="H948" s="25">
        <v>18550</v>
      </c>
      <c r="I948" s="8">
        <v>0</v>
      </c>
      <c r="J948" s="25">
        <v>222600</v>
      </c>
      <c r="K948" s="25">
        <f>G948*H948</f>
        <v>222600</v>
      </c>
      <c r="L948" s="8">
        <f>K948*I948/100</f>
        <v>0</v>
      </c>
      <c r="M948" s="2" t="s">
        <v>139</v>
      </c>
      <c r="N948" s="2" t="s">
        <v>344</v>
      </c>
      <c r="O948" s="2">
        <v>2025</v>
      </c>
      <c r="P948" s="2" t="str">
        <v>October</v>
      </c>
      <c r="Q948" s="2" t="s">
        <v>47</v>
      </c>
    </row>
    <row r="949" spans="1:17" x14ac:dyDescent="0.25">
      <c r="A949" s="2" t="s">
        <v>2001</v>
      </c>
      <c r="B949" s="7">
        <v>45894</v>
      </c>
      <c r="C949" s="5" t="s">
        <v>76</v>
      </c>
      <c r="D949" s="5" t="s">
        <v>33</v>
      </c>
      <c r="E949" s="5" t="s">
        <v>34</v>
      </c>
      <c r="F949" s="2" t="s">
        <v>374</v>
      </c>
      <c r="G949" s="2">
        <v>3</v>
      </c>
      <c r="H949" s="25">
        <v>5520</v>
      </c>
      <c r="I949" s="8">
        <v>0</v>
      </c>
      <c r="J949" s="25">
        <v>16560</v>
      </c>
      <c r="K949" s="25">
        <f>G949*H949</f>
        <v>16560</v>
      </c>
      <c r="L949" s="8">
        <f>K949*I949/100</f>
        <v>0</v>
      </c>
      <c r="M949" s="2" t="s">
        <v>139</v>
      </c>
      <c r="N949" s="2" t="s">
        <v>73</v>
      </c>
      <c r="O949" s="2">
        <v>2025</v>
      </c>
      <c r="P949" s="2" t="str">
        <v>August</v>
      </c>
      <c r="Q949" s="2" t="s">
        <v>21</v>
      </c>
    </row>
    <row r="950" spans="1:17" x14ac:dyDescent="0.25">
      <c r="A950" s="2" t="s">
        <v>2003</v>
      </c>
      <c r="B950" s="7">
        <v>45792</v>
      </c>
      <c r="C950" s="5" t="s">
        <v>135</v>
      </c>
      <c r="D950" s="5" t="s">
        <v>58</v>
      </c>
      <c r="E950" s="5" t="s">
        <v>148</v>
      </c>
      <c r="F950" s="2" t="s">
        <v>83</v>
      </c>
      <c r="G950" s="2">
        <v>3</v>
      </c>
      <c r="H950" s="25">
        <v>16230</v>
      </c>
      <c r="I950" s="8">
        <v>5</v>
      </c>
      <c r="J950" s="25">
        <v>46255.5</v>
      </c>
      <c r="K950" s="25">
        <f>G950*H950</f>
        <v>48690</v>
      </c>
      <c r="L950" s="8">
        <f>K950*I950/100</f>
        <v>2434.5</v>
      </c>
      <c r="M950" s="2" t="s">
        <v>102</v>
      </c>
      <c r="N950" s="2" t="s">
        <v>79</v>
      </c>
      <c r="O950" s="2">
        <v>2025</v>
      </c>
      <c r="P950" s="2" t="str">
        <v>May</v>
      </c>
      <c r="Q950" s="2" t="s">
        <v>21</v>
      </c>
    </row>
    <row r="951" spans="1:17" x14ac:dyDescent="0.25">
      <c r="A951" s="2" t="s">
        <v>2005</v>
      </c>
      <c r="B951" s="7">
        <v>45850</v>
      </c>
      <c r="C951" s="5" t="s">
        <v>76</v>
      </c>
      <c r="D951" s="5" t="s">
        <v>33</v>
      </c>
      <c r="E951" s="5" t="s">
        <v>179</v>
      </c>
      <c r="F951" s="2" t="s">
        <v>224</v>
      </c>
      <c r="G951" s="2">
        <v>2</v>
      </c>
      <c r="H951" s="25">
        <v>6880</v>
      </c>
      <c r="I951" s="8">
        <v>0</v>
      </c>
      <c r="J951" s="25">
        <v>13760</v>
      </c>
      <c r="K951" s="25">
        <f>G951*H951</f>
        <v>13760</v>
      </c>
      <c r="L951" s="8">
        <f>K951*I951/100</f>
        <v>0</v>
      </c>
      <c r="M951" s="2" t="s">
        <v>139</v>
      </c>
      <c r="N951" s="2" t="s">
        <v>188</v>
      </c>
      <c r="O951" s="2">
        <v>2025</v>
      </c>
      <c r="P951" s="2" t="str">
        <v>July</v>
      </c>
      <c r="Q951" s="2" t="s">
        <v>21</v>
      </c>
    </row>
    <row r="952" spans="1:17" x14ac:dyDescent="0.25">
      <c r="A952" s="2" t="s">
        <v>2006</v>
      </c>
      <c r="B952" s="7">
        <v>46020</v>
      </c>
      <c r="C952" s="5" t="s">
        <v>32</v>
      </c>
      <c r="D952" s="5" t="s">
        <v>33</v>
      </c>
      <c r="E952" s="5" t="s">
        <v>34</v>
      </c>
      <c r="F952" s="2" t="s">
        <v>71</v>
      </c>
      <c r="G952" s="2">
        <v>11</v>
      </c>
      <c r="H952" s="25">
        <v>12800</v>
      </c>
      <c r="I952" s="8">
        <v>0</v>
      </c>
      <c r="J952" s="25">
        <v>140800</v>
      </c>
      <c r="K952" s="25">
        <f>G952*H952</f>
        <v>140800</v>
      </c>
      <c r="L952" s="8">
        <f>K952*I952/100</f>
        <v>0</v>
      </c>
      <c r="M952" s="2" t="s">
        <v>94</v>
      </c>
      <c r="N952" s="2" t="s">
        <v>883</v>
      </c>
      <c r="O952" s="2">
        <v>2025</v>
      </c>
      <c r="P952" s="2" t="str">
        <v>December</v>
      </c>
      <c r="Q952" s="2" t="s">
        <v>21</v>
      </c>
    </row>
    <row r="953" spans="1:17" x14ac:dyDescent="0.25">
      <c r="A953" s="2" t="s">
        <v>2007</v>
      </c>
      <c r="B953" s="7">
        <v>45998</v>
      </c>
      <c r="C953" s="5" t="s">
        <v>24</v>
      </c>
      <c r="D953" s="2" t="s">
        <v>16</v>
      </c>
      <c r="E953" s="2" t="s">
        <v>148</v>
      </c>
      <c r="F953" s="2" t="s">
        <v>60</v>
      </c>
      <c r="G953" s="2">
        <v>3</v>
      </c>
      <c r="H953" s="25">
        <v>71860</v>
      </c>
      <c r="I953" s="8">
        <v>0</v>
      </c>
      <c r="J953" s="25">
        <v>215580</v>
      </c>
      <c r="K953" s="25">
        <f>G953*H953</f>
        <v>215580</v>
      </c>
      <c r="L953" s="8">
        <f>K953*I953/100</f>
        <v>0</v>
      </c>
      <c r="M953" s="2" t="s">
        <v>94</v>
      </c>
      <c r="N953" s="2" t="s">
        <v>266</v>
      </c>
      <c r="O953" s="2">
        <v>2025</v>
      </c>
      <c r="P953" s="2" t="str">
        <v>December</v>
      </c>
      <c r="Q953" s="2" t="s">
        <v>21</v>
      </c>
    </row>
    <row r="954" spans="1:17" x14ac:dyDescent="0.25">
      <c r="A954" s="2" t="s">
        <v>2009</v>
      </c>
      <c r="B954" s="7">
        <v>45668</v>
      </c>
      <c r="C954" s="5" t="s">
        <v>76</v>
      </c>
      <c r="D954" s="5" t="s">
        <v>33</v>
      </c>
      <c r="E954" s="5" t="s">
        <v>179</v>
      </c>
      <c r="F954" s="2" t="s">
        <v>239</v>
      </c>
      <c r="G954" s="2">
        <v>3</v>
      </c>
      <c r="H954" s="25">
        <v>10350</v>
      </c>
      <c r="I954" s="8">
        <v>15</v>
      </c>
      <c r="J954" s="25">
        <v>26392.5</v>
      </c>
      <c r="K954" s="25">
        <f>G954*H954</f>
        <v>31050</v>
      </c>
      <c r="L954" s="8">
        <f>K954*I954/100</f>
        <v>4657.5</v>
      </c>
      <c r="M954" s="2" t="s">
        <v>94</v>
      </c>
      <c r="N954" s="2" t="s">
        <v>344</v>
      </c>
      <c r="O954" s="2">
        <v>2025</v>
      </c>
      <c r="P954" s="2" t="str">
        <v>January</v>
      </c>
      <c r="Q954" s="2" t="s">
        <v>21</v>
      </c>
    </row>
    <row r="955" spans="1:17" x14ac:dyDescent="0.25">
      <c r="A955" s="2" t="s">
        <v>2011</v>
      </c>
      <c r="B955" s="7">
        <v>45846</v>
      </c>
      <c r="C955" s="5" t="s">
        <v>32</v>
      </c>
      <c r="D955" s="5" t="s">
        <v>33</v>
      </c>
      <c r="E955" s="5" t="s">
        <v>148</v>
      </c>
      <c r="F955" s="2" t="s">
        <v>167</v>
      </c>
      <c r="G955" s="2">
        <v>10</v>
      </c>
      <c r="H955" s="25">
        <v>490</v>
      </c>
      <c r="I955" s="8">
        <v>0</v>
      </c>
      <c r="J955" s="25">
        <v>4900</v>
      </c>
      <c r="K955" s="25">
        <f>G955*H955</f>
        <v>4900</v>
      </c>
      <c r="L955" s="8">
        <f>K955*I955/100</f>
        <v>0</v>
      </c>
      <c r="M955" s="2" t="s">
        <v>94</v>
      </c>
      <c r="N955" s="2" t="s">
        <v>176</v>
      </c>
      <c r="O955" s="2">
        <v>2025</v>
      </c>
      <c r="P955" s="2" t="str">
        <v>July</v>
      </c>
      <c r="Q955" s="2" t="s">
        <v>21</v>
      </c>
    </row>
    <row r="956" spans="1:17" x14ac:dyDescent="0.25">
      <c r="A956" s="2" t="s">
        <v>2013</v>
      </c>
      <c r="B956" s="7">
        <v>45769</v>
      </c>
      <c r="C956" s="5" t="s">
        <v>24</v>
      </c>
      <c r="D956" s="5" t="s">
        <v>16</v>
      </c>
      <c r="E956" s="5" t="s">
        <v>148</v>
      </c>
      <c r="F956" s="2" t="s">
        <v>149</v>
      </c>
      <c r="G956" s="2">
        <v>4</v>
      </c>
      <c r="H956" s="25">
        <v>1230</v>
      </c>
      <c r="I956" s="8">
        <v>10</v>
      </c>
      <c r="J956" s="25">
        <v>4428</v>
      </c>
      <c r="K956" s="25">
        <f>G956*H956</f>
        <v>4920</v>
      </c>
      <c r="L956" s="8">
        <f>K956*I956/100</f>
        <v>492</v>
      </c>
      <c r="M956" s="2" t="s">
        <v>139</v>
      </c>
      <c r="N956" s="2" t="s">
        <v>68</v>
      </c>
      <c r="O956" s="2">
        <v>2025</v>
      </c>
      <c r="P956" s="2" t="str">
        <v>April</v>
      </c>
      <c r="Q956" s="2" t="s">
        <v>47</v>
      </c>
    </row>
    <row r="957" spans="1:17" x14ac:dyDescent="0.25">
      <c r="A957" s="2" t="s">
        <v>2015</v>
      </c>
      <c r="B957" s="7">
        <v>45869</v>
      </c>
      <c r="C957" s="5" t="s">
        <v>41</v>
      </c>
      <c r="D957" s="5" t="s">
        <v>42</v>
      </c>
      <c r="E957" s="5" t="s">
        <v>179</v>
      </c>
      <c r="F957" s="2" t="s">
        <v>180</v>
      </c>
      <c r="G957" s="2">
        <v>11</v>
      </c>
      <c r="H957" s="25">
        <v>560</v>
      </c>
      <c r="I957" s="8">
        <v>0</v>
      </c>
      <c r="J957" s="25">
        <v>6160</v>
      </c>
      <c r="K957" s="25">
        <f>G957*H957</f>
        <v>6160</v>
      </c>
      <c r="L957" s="8">
        <f>K957*I957/100</f>
        <v>0</v>
      </c>
      <c r="M957" s="2" t="s">
        <v>102</v>
      </c>
      <c r="N957" s="2" t="s">
        <v>406</v>
      </c>
      <c r="O957" s="2">
        <v>2025</v>
      </c>
      <c r="P957" s="2" t="str">
        <v>July</v>
      </c>
      <c r="Q957" s="2" t="s">
        <v>47</v>
      </c>
    </row>
    <row r="958" spans="1:17" x14ac:dyDescent="0.25">
      <c r="A958" s="2" t="s">
        <v>2017</v>
      </c>
      <c r="B958" s="7">
        <v>45706</v>
      </c>
      <c r="C958" s="5" t="s">
        <v>24</v>
      </c>
      <c r="D958" s="5" t="s">
        <v>16</v>
      </c>
      <c r="E958" s="5" t="s">
        <v>295</v>
      </c>
      <c r="F958" s="2" t="s">
        <v>66</v>
      </c>
      <c r="G958" s="2">
        <v>3</v>
      </c>
      <c r="H958" s="25">
        <v>5430</v>
      </c>
      <c r="I958" s="8">
        <v>0</v>
      </c>
      <c r="J958" s="25">
        <v>16290</v>
      </c>
      <c r="K958" s="25">
        <f>G958*H958</f>
        <v>16290</v>
      </c>
      <c r="L958" s="8">
        <f>K958*I958/100</f>
        <v>0</v>
      </c>
      <c r="M958" s="2" t="s">
        <v>94</v>
      </c>
      <c r="N958" s="2" t="s">
        <v>344</v>
      </c>
      <c r="O958" s="2">
        <v>2025</v>
      </c>
      <c r="P958" s="2" t="str">
        <v>February</v>
      </c>
      <c r="Q958" s="2" t="s">
        <v>47</v>
      </c>
    </row>
    <row r="959" spans="1:17" x14ac:dyDescent="0.25">
      <c r="A959" s="2" t="s">
        <v>2018</v>
      </c>
      <c r="B959" s="7">
        <v>45899</v>
      </c>
      <c r="C959" s="5" t="s">
        <v>135</v>
      </c>
      <c r="D959" s="5" t="s">
        <v>58</v>
      </c>
      <c r="E959" s="5" t="s">
        <v>295</v>
      </c>
      <c r="F959" s="2" t="s">
        <v>319</v>
      </c>
      <c r="G959" s="2">
        <v>10</v>
      </c>
      <c r="H959" s="25">
        <v>5280</v>
      </c>
      <c r="I959" s="8">
        <v>0</v>
      </c>
      <c r="J959" s="25">
        <v>52800</v>
      </c>
      <c r="K959" s="25">
        <f>G959*H959</f>
        <v>52800</v>
      </c>
      <c r="L959" s="8">
        <f>K959*I959/100</f>
        <v>0</v>
      </c>
      <c r="M959" s="2" t="s">
        <v>102</v>
      </c>
      <c r="N959" s="2" t="s">
        <v>883</v>
      </c>
      <c r="O959" s="2">
        <v>2025</v>
      </c>
      <c r="P959" s="2" t="str">
        <v>August</v>
      </c>
      <c r="Q959" s="2" t="s">
        <v>47</v>
      </c>
    </row>
    <row r="960" spans="1:17" x14ac:dyDescent="0.25">
      <c r="A960" s="2" t="s">
        <v>2020</v>
      </c>
      <c r="B960" s="7">
        <v>45903</v>
      </c>
      <c r="C960" s="5" t="s">
        <v>41</v>
      </c>
      <c r="D960" s="5" t="s">
        <v>42</v>
      </c>
      <c r="E960" s="5" t="s">
        <v>25</v>
      </c>
      <c r="F960" s="2" t="s">
        <v>93</v>
      </c>
      <c r="G960" s="2">
        <v>2</v>
      </c>
      <c r="H960" s="25">
        <v>9180</v>
      </c>
      <c r="I960" s="8">
        <v>0</v>
      </c>
      <c r="J960" s="25">
        <v>18360</v>
      </c>
      <c r="K960" s="25">
        <f>G960*H960</f>
        <v>18360</v>
      </c>
      <c r="L960" s="8">
        <f>K960*I960/100</f>
        <v>0</v>
      </c>
      <c r="M960" s="2" t="s">
        <v>102</v>
      </c>
      <c r="N960" s="2" t="s">
        <v>411</v>
      </c>
      <c r="O960" s="2">
        <v>2025</v>
      </c>
      <c r="P960" s="2" t="str">
        <v>September</v>
      </c>
      <c r="Q960" s="2" t="s">
        <v>47</v>
      </c>
    </row>
    <row r="961" spans="1:17" x14ac:dyDescent="0.25">
      <c r="A961" s="2" t="s">
        <v>2022</v>
      </c>
      <c r="B961" s="7">
        <v>45994</v>
      </c>
      <c r="C961" s="5" t="s">
        <v>135</v>
      </c>
      <c r="D961" s="5" t="s">
        <v>58</v>
      </c>
      <c r="E961" s="5" t="s">
        <v>34</v>
      </c>
      <c r="F961" s="2" t="s">
        <v>71</v>
      </c>
      <c r="G961" s="2">
        <v>11</v>
      </c>
      <c r="H961" s="25">
        <v>1110</v>
      </c>
      <c r="I961" s="8">
        <v>15</v>
      </c>
      <c r="J961" s="25">
        <v>10378.5</v>
      </c>
      <c r="K961" s="25">
        <f>G961*H961</f>
        <v>12210</v>
      </c>
      <c r="L961" s="8">
        <f>K961*I961/100</f>
        <v>1831.5</v>
      </c>
      <c r="M961" s="2" t="s">
        <v>102</v>
      </c>
      <c r="N961" s="2" t="s">
        <v>79</v>
      </c>
      <c r="O961" s="2">
        <v>2025</v>
      </c>
      <c r="P961" s="2" t="str">
        <v>December</v>
      </c>
      <c r="Q961" s="2" t="s">
        <v>47</v>
      </c>
    </row>
    <row r="962" spans="1:17" x14ac:dyDescent="0.25">
      <c r="A962" s="2" t="s">
        <v>2023</v>
      </c>
      <c r="B962" s="7">
        <v>45719</v>
      </c>
      <c r="C962" s="5" t="s">
        <v>41</v>
      </c>
      <c r="D962" s="5" t="s">
        <v>33</v>
      </c>
      <c r="E962" s="5" t="s">
        <v>179</v>
      </c>
      <c r="F962" s="2" t="s">
        <v>543</v>
      </c>
      <c r="G962" s="2">
        <v>10</v>
      </c>
      <c r="H962" s="25">
        <v>480</v>
      </c>
      <c r="I962" s="8">
        <v>0</v>
      </c>
      <c r="J962" s="25">
        <v>4800</v>
      </c>
      <c r="K962" s="25">
        <f>G962*H962</f>
        <v>4800</v>
      </c>
      <c r="L962" s="8">
        <f>K962*I962/100</f>
        <v>0</v>
      </c>
      <c r="M962" s="2" t="s">
        <v>102</v>
      </c>
      <c r="N962" s="2" t="s">
        <v>68</v>
      </c>
      <c r="O962" s="2">
        <v>2025</v>
      </c>
      <c r="P962" s="2" t="str">
        <v>March</v>
      </c>
      <c r="Q962" s="2" t="s">
        <v>21</v>
      </c>
    </row>
    <row r="963" spans="1:17" x14ac:dyDescent="0.25">
      <c r="A963" s="2" t="s">
        <v>2024</v>
      </c>
      <c r="B963" s="7">
        <v>45799</v>
      </c>
      <c r="C963" s="5" t="s">
        <v>156</v>
      </c>
      <c r="D963" s="5" t="s">
        <v>51</v>
      </c>
      <c r="E963" s="5" t="s">
        <v>34</v>
      </c>
      <c r="F963" s="2" t="s">
        <v>199</v>
      </c>
      <c r="G963" s="2">
        <v>11</v>
      </c>
      <c r="H963" s="25">
        <v>13110</v>
      </c>
      <c r="I963" s="8">
        <v>5</v>
      </c>
      <c r="J963" s="25">
        <v>136999.5</v>
      </c>
      <c r="K963" s="25">
        <f>G963*H963</f>
        <v>144210</v>
      </c>
      <c r="L963" s="8">
        <f>K963*I963/100</f>
        <v>7210.5</v>
      </c>
      <c r="M963" s="2" t="s">
        <v>94</v>
      </c>
      <c r="N963" s="2" t="s">
        <v>168</v>
      </c>
      <c r="O963" s="2">
        <v>2025</v>
      </c>
      <c r="P963" s="2" t="str">
        <v>May</v>
      </c>
      <c r="Q963" s="2" t="s">
        <v>21</v>
      </c>
    </row>
    <row r="964" spans="1:17" x14ac:dyDescent="0.25">
      <c r="A964" s="2" t="s">
        <v>2025</v>
      </c>
      <c r="B964" s="7">
        <v>45687</v>
      </c>
      <c r="C964" s="5" t="s">
        <v>156</v>
      </c>
      <c r="D964" s="5" t="s">
        <v>51</v>
      </c>
      <c r="E964" s="5" t="s">
        <v>34</v>
      </c>
      <c r="F964" s="2" t="s">
        <v>199</v>
      </c>
      <c r="G964" s="2">
        <v>5</v>
      </c>
      <c r="H964" s="25">
        <v>1360</v>
      </c>
      <c r="I964" s="8">
        <v>5</v>
      </c>
      <c r="J964" s="25">
        <v>6460</v>
      </c>
      <c r="K964" s="25">
        <f>G964*H964</f>
        <v>6800</v>
      </c>
      <c r="L964" s="8">
        <f>K964*I964/100</f>
        <v>340</v>
      </c>
      <c r="M964" s="2" t="s">
        <v>94</v>
      </c>
      <c r="N964" s="2" t="s">
        <v>79</v>
      </c>
      <c r="O964" s="2">
        <v>2025</v>
      </c>
      <c r="P964" s="2" t="str">
        <v>January</v>
      </c>
      <c r="Q964" s="2" t="s">
        <v>21</v>
      </c>
    </row>
    <row r="965" spans="1:17" x14ac:dyDescent="0.25">
      <c r="A965" s="2" t="s">
        <v>2026</v>
      </c>
      <c r="B965" s="7">
        <v>45770</v>
      </c>
      <c r="C965" s="5" t="s">
        <v>156</v>
      </c>
      <c r="D965" s="5" t="s">
        <v>51</v>
      </c>
      <c r="E965" s="5" t="s">
        <v>295</v>
      </c>
      <c r="F965" s="2" t="s">
        <v>126</v>
      </c>
      <c r="G965" s="2">
        <v>10</v>
      </c>
      <c r="H965" s="25">
        <v>1090</v>
      </c>
      <c r="I965" s="8">
        <v>0</v>
      </c>
      <c r="J965" s="25">
        <v>10900</v>
      </c>
      <c r="K965" s="25">
        <f>G965*H965</f>
        <v>10900</v>
      </c>
      <c r="L965" s="8">
        <f>K965*I965/100</f>
        <v>0</v>
      </c>
      <c r="M965" s="2" t="s">
        <v>94</v>
      </c>
      <c r="N965" s="2" t="s">
        <v>883</v>
      </c>
      <c r="O965" s="2">
        <v>2025</v>
      </c>
      <c r="P965" s="2" t="str">
        <v>April</v>
      </c>
      <c r="Q965" s="2" t="s">
        <v>21</v>
      </c>
    </row>
    <row r="966" spans="1:17" x14ac:dyDescent="0.25">
      <c r="A966" s="2" t="s">
        <v>2028</v>
      </c>
      <c r="B966" s="7">
        <v>45698</v>
      </c>
      <c r="C966" s="5" t="s">
        <v>135</v>
      </c>
      <c r="D966" s="5" t="s">
        <v>58</v>
      </c>
      <c r="E966" s="5" t="s">
        <v>25</v>
      </c>
      <c r="F966" s="2" t="s">
        <v>115</v>
      </c>
      <c r="G966" s="2">
        <v>12</v>
      </c>
      <c r="H966" s="25">
        <v>450</v>
      </c>
      <c r="I966" s="8">
        <v>10</v>
      </c>
      <c r="J966" s="25">
        <v>4860</v>
      </c>
      <c r="K966" s="25">
        <f>G966*H966</f>
        <v>5400</v>
      </c>
      <c r="L966" s="8">
        <f>K966*I966/100</f>
        <v>540</v>
      </c>
      <c r="M966" s="2" t="s">
        <v>94</v>
      </c>
      <c r="N966" s="2" t="s">
        <v>54</v>
      </c>
      <c r="O966" s="2">
        <v>2025</v>
      </c>
      <c r="P966" s="2" t="str">
        <v>February</v>
      </c>
      <c r="Q966" s="2" t="s">
        <v>47</v>
      </c>
    </row>
    <row r="967" spans="1:17" x14ac:dyDescent="0.25">
      <c r="A967" s="2" t="s">
        <v>2029</v>
      </c>
      <c r="B967" s="7">
        <v>45962</v>
      </c>
      <c r="C967" s="5" t="s">
        <v>156</v>
      </c>
      <c r="D967" s="5" t="s">
        <v>51</v>
      </c>
      <c r="E967" s="5" t="s">
        <v>34</v>
      </c>
      <c r="F967" s="2" t="s">
        <v>164</v>
      </c>
      <c r="G967" s="2">
        <v>8</v>
      </c>
      <c r="H967" s="25">
        <v>450</v>
      </c>
      <c r="I967" s="8">
        <v>5</v>
      </c>
      <c r="J967" s="25">
        <v>3420</v>
      </c>
      <c r="K967" s="25">
        <f>G967*H967</f>
        <v>3600</v>
      </c>
      <c r="L967" s="8">
        <f>K967*I967/100</f>
        <v>180</v>
      </c>
      <c r="M967" s="2" t="s">
        <v>94</v>
      </c>
      <c r="N967" s="2" t="s">
        <v>411</v>
      </c>
      <c r="O967" s="2">
        <v>2025</v>
      </c>
      <c r="P967" s="2" t="str">
        <v>November</v>
      </c>
      <c r="Q967" s="2" t="s">
        <v>21</v>
      </c>
    </row>
    <row r="968" spans="1:17" x14ac:dyDescent="0.25">
      <c r="A968" s="2" t="s">
        <v>2031</v>
      </c>
      <c r="B968" s="7">
        <v>45841</v>
      </c>
      <c r="C968" s="5" t="s">
        <v>41</v>
      </c>
      <c r="D968" s="5" t="s">
        <v>42</v>
      </c>
      <c r="E968" s="5" t="s">
        <v>148</v>
      </c>
      <c r="F968" s="2" t="s">
        <v>435</v>
      </c>
      <c r="G968" s="2">
        <v>10</v>
      </c>
      <c r="H968" s="25">
        <v>1250</v>
      </c>
      <c r="I968" s="8">
        <v>0</v>
      </c>
      <c r="J968" s="25">
        <v>12500</v>
      </c>
      <c r="K968" s="25">
        <f>G968*H968</f>
        <v>12500</v>
      </c>
      <c r="L968" s="8">
        <f>K968*I968/100</f>
        <v>0</v>
      </c>
      <c r="M968" s="2" t="s">
        <v>102</v>
      </c>
      <c r="N968" s="2" t="s">
        <v>883</v>
      </c>
      <c r="O968" s="2">
        <v>2025</v>
      </c>
      <c r="P968" s="2" t="str">
        <v>July</v>
      </c>
      <c r="Q968" s="2" t="s">
        <v>47</v>
      </c>
    </row>
    <row r="969" spans="1:17" x14ac:dyDescent="0.25">
      <c r="A969" s="2" t="s">
        <v>2032</v>
      </c>
      <c r="B969" s="7">
        <v>45713</v>
      </c>
      <c r="C969" s="5" t="s">
        <v>135</v>
      </c>
      <c r="D969" s="5" t="s">
        <v>58</v>
      </c>
      <c r="E969" s="5" t="s">
        <v>34</v>
      </c>
      <c r="F969" s="2" t="s">
        <v>164</v>
      </c>
      <c r="G969" s="2">
        <v>9</v>
      </c>
      <c r="H969" s="25">
        <v>73050</v>
      </c>
      <c r="I969" s="8">
        <v>0</v>
      </c>
      <c r="J969" s="25">
        <v>657450</v>
      </c>
      <c r="K969" s="25">
        <f>G969*H969</f>
        <v>657450</v>
      </c>
      <c r="L969" s="8">
        <f>K969*I969/100</f>
        <v>0</v>
      </c>
      <c r="M969" s="2" t="s">
        <v>102</v>
      </c>
      <c r="N969" s="2" t="s">
        <v>176</v>
      </c>
      <c r="O969" s="2">
        <v>2025</v>
      </c>
      <c r="P969" s="2" t="str">
        <v>February</v>
      </c>
      <c r="Q969" s="2" t="s">
        <v>47</v>
      </c>
    </row>
    <row r="970" spans="1:17" x14ac:dyDescent="0.25">
      <c r="A970" s="2" t="s">
        <v>2034</v>
      </c>
      <c r="B970" s="7">
        <v>45805</v>
      </c>
      <c r="C970" s="5" t="s">
        <v>24</v>
      </c>
      <c r="D970" s="5" t="s">
        <v>16</v>
      </c>
      <c r="E970" s="5" t="s">
        <v>148</v>
      </c>
      <c r="F970" s="2" t="s">
        <v>252</v>
      </c>
      <c r="G970" s="2">
        <v>4</v>
      </c>
      <c r="H970" s="25">
        <v>5110</v>
      </c>
      <c r="I970" s="8">
        <v>0</v>
      </c>
      <c r="J970" s="25">
        <v>20440</v>
      </c>
      <c r="K970" s="25">
        <f>G970*H970</f>
        <v>20440</v>
      </c>
      <c r="L970" s="8">
        <f>K970*I970/100</f>
        <v>0</v>
      </c>
      <c r="M970" s="2" t="s">
        <v>102</v>
      </c>
      <c r="N970" s="2" t="s">
        <v>73</v>
      </c>
      <c r="O970" s="2">
        <v>2025</v>
      </c>
      <c r="P970" s="2" t="str">
        <v>May</v>
      </c>
      <c r="Q970" s="2" t="s">
        <v>47</v>
      </c>
    </row>
    <row r="971" spans="1:17" x14ac:dyDescent="0.25">
      <c r="A971" s="2" t="s">
        <v>2036</v>
      </c>
      <c r="B971" s="7">
        <v>45731</v>
      </c>
      <c r="C971" s="5" t="s">
        <v>41</v>
      </c>
      <c r="D971" s="5" t="s">
        <v>42</v>
      </c>
      <c r="E971" s="5" t="s">
        <v>179</v>
      </c>
      <c r="F971" s="2" t="s">
        <v>149</v>
      </c>
      <c r="G971" s="2">
        <v>11</v>
      </c>
      <c r="H971" s="25">
        <v>10090</v>
      </c>
      <c r="I971" s="8">
        <v>0</v>
      </c>
      <c r="J971" s="25">
        <v>110990</v>
      </c>
      <c r="K971" s="25">
        <f>G971*H971</f>
        <v>110990</v>
      </c>
      <c r="L971" s="8">
        <f>K971*I971/100</f>
        <v>0</v>
      </c>
      <c r="M971" s="2" t="s">
        <v>53</v>
      </c>
      <c r="N971" s="2" t="s">
        <v>344</v>
      </c>
      <c r="O971" s="2">
        <v>2025</v>
      </c>
      <c r="P971" s="2" t="str">
        <v>March</v>
      </c>
      <c r="Q971" s="2" t="s">
        <v>47</v>
      </c>
    </row>
    <row r="972" spans="1:17" x14ac:dyDescent="0.25">
      <c r="A972" s="2" t="s">
        <v>2037</v>
      </c>
      <c r="B972" s="7">
        <v>45982</v>
      </c>
      <c r="C972" s="5" t="s">
        <v>135</v>
      </c>
      <c r="D972" s="5" t="s">
        <v>51</v>
      </c>
      <c r="E972" s="5" t="s">
        <v>25</v>
      </c>
      <c r="F972" s="2" t="s">
        <v>248</v>
      </c>
      <c r="G972" s="2">
        <v>11</v>
      </c>
      <c r="H972" s="25">
        <v>3850</v>
      </c>
      <c r="I972" s="8">
        <v>15</v>
      </c>
      <c r="J972" s="25">
        <v>35997.5</v>
      </c>
      <c r="K972" s="25">
        <f>G972*H972</f>
        <v>42350</v>
      </c>
      <c r="L972" s="8">
        <f>K972*I972/100</f>
        <v>6352.5</v>
      </c>
      <c r="M972" s="2" t="s">
        <v>102</v>
      </c>
      <c r="N972" s="2" t="s">
        <v>883</v>
      </c>
      <c r="O972" s="2">
        <v>2025</v>
      </c>
      <c r="P972" s="2" t="str">
        <v>November</v>
      </c>
      <c r="Q972" s="2" t="s">
        <v>47</v>
      </c>
    </row>
    <row r="973" spans="1:17" x14ac:dyDescent="0.25">
      <c r="A973" s="2" t="s">
        <v>2039</v>
      </c>
      <c r="B973" s="7">
        <v>45754</v>
      </c>
      <c r="C973" s="5" t="s">
        <v>41</v>
      </c>
      <c r="D973" s="5" t="s">
        <v>42</v>
      </c>
      <c r="E973" s="5" t="s">
        <v>148</v>
      </c>
      <c r="F973" s="2" t="s">
        <v>83</v>
      </c>
      <c r="G973" s="2">
        <v>6</v>
      </c>
      <c r="H973" s="25">
        <v>71340</v>
      </c>
      <c r="I973" s="8">
        <v>0</v>
      </c>
      <c r="J973" s="25">
        <v>428040</v>
      </c>
      <c r="K973" s="25">
        <f>G973*H973</f>
        <v>428040</v>
      </c>
      <c r="L973" s="8">
        <f>K973*I973/100</f>
        <v>0</v>
      </c>
      <c r="M973" s="2" t="s">
        <v>94</v>
      </c>
      <c r="N973" s="2" t="s">
        <v>68</v>
      </c>
      <c r="O973" s="2">
        <v>2025</v>
      </c>
      <c r="P973" s="2" t="str">
        <v>April</v>
      </c>
      <c r="Q973" s="2" t="s">
        <v>21</v>
      </c>
    </row>
    <row r="974" spans="1:17" x14ac:dyDescent="0.25">
      <c r="A974" s="2" t="s">
        <v>2041</v>
      </c>
      <c r="B974" s="7">
        <v>45875</v>
      </c>
      <c r="C974" s="5" t="s">
        <v>32</v>
      </c>
      <c r="D974" s="5" t="s">
        <v>33</v>
      </c>
      <c r="E974" s="5" t="s">
        <v>25</v>
      </c>
      <c r="F974" s="2" t="s">
        <v>248</v>
      </c>
      <c r="G974" s="2">
        <v>8</v>
      </c>
      <c r="H974" s="25">
        <v>62090</v>
      </c>
      <c r="I974" s="8">
        <v>0</v>
      </c>
      <c r="J974" s="25">
        <v>496720</v>
      </c>
      <c r="K974" s="25">
        <f>G974*H974</f>
        <v>496720</v>
      </c>
      <c r="L974" s="8">
        <f>K974*I974/100</f>
        <v>0</v>
      </c>
      <c r="M974" s="2" t="s">
        <v>102</v>
      </c>
      <c r="N974" s="2" t="s">
        <v>37</v>
      </c>
      <c r="O974" s="2">
        <v>2025</v>
      </c>
      <c r="P974" s="2" t="str">
        <v>August</v>
      </c>
      <c r="Q974" s="2" t="s">
        <v>47</v>
      </c>
    </row>
    <row r="975" spans="1:17" x14ac:dyDescent="0.25">
      <c r="A975" s="2" t="s">
        <v>2043</v>
      </c>
      <c r="B975" s="7">
        <v>45860</v>
      </c>
      <c r="C975" s="5" t="s">
        <v>24</v>
      </c>
      <c r="D975" s="5" t="s">
        <v>16</v>
      </c>
      <c r="E975" s="5" t="s">
        <v>295</v>
      </c>
      <c r="F975" s="2" t="s">
        <v>319</v>
      </c>
      <c r="G975" s="2">
        <v>9</v>
      </c>
      <c r="H975" s="25">
        <v>470</v>
      </c>
      <c r="I975" s="8">
        <v>0</v>
      </c>
      <c r="J975" s="25">
        <v>4230</v>
      </c>
      <c r="K975" s="25">
        <f>G975*H975</f>
        <v>4230</v>
      </c>
      <c r="L975" s="8">
        <f>K975*I975/100</f>
        <v>0</v>
      </c>
      <c r="M975" s="2" t="s">
        <v>94</v>
      </c>
      <c r="N975" s="2" t="s">
        <v>883</v>
      </c>
      <c r="O975" s="2">
        <v>2025</v>
      </c>
      <c r="P975" s="2" t="str">
        <v>July</v>
      </c>
      <c r="Q975" s="2" t="s">
        <v>21</v>
      </c>
    </row>
    <row r="976" spans="1:17" x14ac:dyDescent="0.25">
      <c r="A976" s="2" t="s">
        <v>2045</v>
      </c>
      <c r="B976" s="7">
        <v>45787</v>
      </c>
      <c r="C976" s="5" t="s">
        <v>24</v>
      </c>
      <c r="D976" s="5" t="s">
        <v>16</v>
      </c>
      <c r="E976" s="5" t="s">
        <v>25</v>
      </c>
      <c r="F976" s="2" t="s">
        <v>332</v>
      </c>
      <c r="G976" s="2">
        <v>2</v>
      </c>
      <c r="H976" s="25">
        <v>9450</v>
      </c>
      <c r="I976" s="8">
        <v>0</v>
      </c>
      <c r="J976" s="25">
        <v>18900</v>
      </c>
      <c r="K976" s="25">
        <f>G976*H976</f>
        <v>18900</v>
      </c>
      <c r="L976" s="8">
        <f>K976*I976/100</f>
        <v>0</v>
      </c>
      <c r="M976" s="2" t="s">
        <v>53</v>
      </c>
      <c r="N976" s="2" t="s">
        <v>79</v>
      </c>
      <c r="O976" s="2">
        <v>2025</v>
      </c>
      <c r="P976" s="2" t="str">
        <v>May</v>
      </c>
      <c r="Q976" s="2" t="s">
        <v>47</v>
      </c>
    </row>
    <row r="977" spans="1:17" x14ac:dyDescent="0.25">
      <c r="A977" s="2" t="s">
        <v>2047</v>
      </c>
      <c r="B977" s="7">
        <v>45937</v>
      </c>
      <c r="C977" s="5" t="s">
        <v>76</v>
      </c>
      <c r="D977" s="5" t="s">
        <v>33</v>
      </c>
      <c r="E977" s="5" t="s">
        <v>148</v>
      </c>
      <c r="F977" s="2" t="s">
        <v>252</v>
      </c>
      <c r="G977" s="2">
        <v>5</v>
      </c>
      <c r="H977" s="25">
        <v>1280</v>
      </c>
      <c r="I977" s="8">
        <v>0</v>
      </c>
      <c r="J977" s="25">
        <v>6400</v>
      </c>
      <c r="K977" s="25">
        <f>G977*H977</f>
        <v>6400</v>
      </c>
      <c r="L977" s="8">
        <f>K977*I977/100</f>
        <v>0</v>
      </c>
      <c r="M977" s="2" t="s">
        <v>53</v>
      </c>
      <c r="N977" s="2" t="s">
        <v>168</v>
      </c>
      <c r="O977" s="2">
        <v>2025</v>
      </c>
      <c r="P977" s="2" t="str">
        <v>October</v>
      </c>
      <c r="Q977" s="2" t="s">
        <v>47</v>
      </c>
    </row>
    <row r="978" spans="1:17" x14ac:dyDescent="0.25">
      <c r="A978" s="2" t="s">
        <v>2049</v>
      </c>
      <c r="B978" s="7">
        <v>45783</v>
      </c>
      <c r="C978" s="5" t="s">
        <v>135</v>
      </c>
      <c r="D978" s="5" t="s">
        <v>58</v>
      </c>
      <c r="E978" s="5" t="s">
        <v>25</v>
      </c>
      <c r="F978" s="2" t="s">
        <v>332</v>
      </c>
      <c r="G978" s="2">
        <v>9</v>
      </c>
      <c r="H978" s="25">
        <v>12350</v>
      </c>
      <c r="I978" s="8">
        <v>0</v>
      </c>
      <c r="J978" s="25">
        <v>111150</v>
      </c>
      <c r="K978" s="25">
        <f>G978*H978</f>
        <v>111150</v>
      </c>
      <c r="L978" s="8">
        <f>K978*I978/100</f>
        <v>0</v>
      </c>
      <c r="M978" s="2" t="s">
        <v>102</v>
      </c>
      <c r="N978" s="2" t="s">
        <v>883</v>
      </c>
      <c r="O978" s="2">
        <v>2025</v>
      </c>
      <c r="P978" s="2" t="str">
        <v>May</v>
      </c>
      <c r="Q978" s="2" t="s">
        <v>47</v>
      </c>
    </row>
    <row r="979" spans="1:17" x14ac:dyDescent="0.25">
      <c r="A979" s="2" t="s">
        <v>2050</v>
      </c>
      <c r="B979" s="7">
        <v>45983</v>
      </c>
      <c r="C979" s="5" t="s">
        <v>156</v>
      </c>
      <c r="D979" s="5" t="s">
        <v>51</v>
      </c>
      <c r="E979" s="5" t="s">
        <v>179</v>
      </c>
      <c r="F979" s="2" t="s">
        <v>239</v>
      </c>
      <c r="G979" s="2">
        <v>6</v>
      </c>
      <c r="H979" s="25">
        <v>3680.0000000000005</v>
      </c>
      <c r="I979" s="8">
        <v>15</v>
      </c>
      <c r="J979" s="25">
        <v>18768</v>
      </c>
      <c r="K979" s="25">
        <f>G979*H979</f>
        <v>22080.000000000004</v>
      </c>
      <c r="L979" s="8">
        <f>K979*I979/100</f>
        <v>3312.0000000000005</v>
      </c>
      <c r="M979" s="2" t="s">
        <v>139</v>
      </c>
      <c r="N979" s="2" t="s">
        <v>341</v>
      </c>
      <c r="O979" s="2">
        <v>2025</v>
      </c>
      <c r="P979" s="2" t="str">
        <v>November</v>
      </c>
      <c r="Q979" s="2" t="s">
        <v>47</v>
      </c>
    </row>
    <row r="980" spans="1:17" x14ac:dyDescent="0.25">
      <c r="A980" s="2" t="s">
        <v>2052</v>
      </c>
      <c r="B980" s="7">
        <v>45913</v>
      </c>
      <c r="C980" s="5" t="s">
        <v>32</v>
      </c>
      <c r="D980" s="5" t="s">
        <v>33</v>
      </c>
      <c r="E980" s="5" t="s">
        <v>148</v>
      </c>
      <c r="F980" s="2" t="s">
        <v>379</v>
      </c>
      <c r="G980" s="2">
        <v>7</v>
      </c>
      <c r="H980" s="25">
        <v>28300</v>
      </c>
      <c r="I980" s="8">
        <v>0</v>
      </c>
      <c r="J980" s="25">
        <v>198100</v>
      </c>
      <c r="K980" s="25">
        <f>G980*H980</f>
        <v>198100</v>
      </c>
      <c r="L980" s="8">
        <f>K980*I980/100</f>
        <v>0</v>
      </c>
      <c r="M980" s="2" t="s">
        <v>139</v>
      </c>
      <c r="N980" s="2" t="s">
        <v>79</v>
      </c>
      <c r="O980" s="2">
        <v>2025</v>
      </c>
      <c r="P980" s="2" t="str">
        <v>September</v>
      </c>
      <c r="Q980" s="2" t="s">
        <v>47</v>
      </c>
    </row>
    <row r="981" spans="1:17" x14ac:dyDescent="0.25">
      <c r="A981" s="2" t="s">
        <v>2053</v>
      </c>
      <c r="B981" s="7">
        <v>45867</v>
      </c>
      <c r="C981" s="5" t="s">
        <v>32</v>
      </c>
      <c r="D981" s="5" t="s">
        <v>33</v>
      </c>
      <c r="E981" s="5" t="s">
        <v>25</v>
      </c>
      <c r="F981" s="2" t="s">
        <v>44</v>
      </c>
      <c r="G981" s="2">
        <v>10</v>
      </c>
      <c r="H981" s="25">
        <v>23300</v>
      </c>
      <c r="I981" s="8">
        <v>0</v>
      </c>
      <c r="J981" s="25">
        <v>233000</v>
      </c>
      <c r="K981" s="25">
        <f>G981*H981</f>
        <v>233000</v>
      </c>
      <c r="L981" s="8">
        <f>K981*I981/100</f>
        <v>0</v>
      </c>
      <c r="M981" s="2" t="s">
        <v>53</v>
      </c>
      <c r="N981" s="2" t="s">
        <v>46</v>
      </c>
      <c r="O981" s="2">
        <v>2025</v>
      </c>
      <c r="P981" s="2" t="str">
        <v>July</v>
      </c>
      <c r="Q981" s="2" t="s">
        <v>21</v>
      </c>
    </row>
    <row r="982" spans="1:17" x14ac:dyDescent="0.25">
      <c r="A982" s="2" t="s">
        <v>2055</v>
      </c>
      <c r="B982" s="7">
        <v>45659</v>
      </c>
      <c r="C982" s="5" t="s">
        <v>32</v>
      </c>
      <c r="D982" s="5" t="s">
        <v>33</v>
      </c>
      <c r="E982" s="5" t="s">
        <v>295</v>
      </c>
      <c r="F982" s="2" t="s">
        <v>132</v>
      </c>
      <c r="G982" s="2">
        <v>9</v>
      </c>
      <c r="H982" s="25">
        <v>3480</v>
      </c>
      <c r="I982" s="8">
        <v>5</v>
      </c>
      <c r="J982" s="25">
        <v>29754</v>
      </c>
      <c r="K982" s="25">
        <f>G982*H982</f>
        <v>31320</v>
      </c>
      <c r="L982" s="8">
        <f>K982*I982/100</f>
        <v>1566</v>
      </c>
      <c r="M982" s="2" t="s">
        <v>139</v>
      </c>
      <c r="N982" s="2" t="s">
        <v>341</v>
      </c>
      <c r="O982" s="2">
        <v>2025</v>
      </c>
      <c r="P982" s="2" t="str">
        <v>January</v>
      </c>
      <c r="Q982" s="2" t="s">
        <v>21</v>
      </c>
    </row>
    <row r="983" spans="1:17" x14ac:dyDescent="0.25">
      <c r="A983" s="2" t="s">
        <v>2056</v>
      </c>
      <c r="B983" s="7">
        <v>45819</v>
      </c>
      <c r="C983" s="5" t="s">
        <v>24</v>
      </c>
      <c r="D983" s="5" t="s">
        <v>16</v>
      </c>
      <c r="E983" s="5" t="s">
        <v>148</v>
      </c>
      <c r="F983" s="2" t="s">
        <v>60</v>
      </c>
      <c r="G983" s="2">
        <v>8</v>
      </c>
      <c r="H983" s="25">
        <v>5700</v>
      </c>
      <c r="I983" s="8">
        <v>15</v>
      </c>
      <c r="J983" s="25">
        <v>38760</v>
      </c>
      <c r="K983" s="25">
        <f>G983*H983</f>
        <v>45600</v>
      </c>
      <c r="L983" s="8">
        <f>K983*I983/100</f>
        <v>6840</v>
      </c>
      <c r="M983" s="2" t="s">
        <v>102</v>
      </c>
      <c r="N983" s="2" t="s">
        <v>54</v>
      </c>
      <c r="O983" s="2">
        <v>2025</v>
      </c>
      <c r="P983" s="2" t="str">
        <v>June</v>
      </c>
      <c r="Q983" s="2" t="s">
        <v>21</v>
      </c>
    </row>
    <row r="984" spans="1:17" x14ac:dyDescent="0.25">
      <c r="A984" s="2" t="s">
        <v>2058</v>
      </c>
      <c r="B984" s="7">
        <v>45791</v>
      </c>
      <c r="C984" s="5" t="s">
        <v>41</v>
      </c>
      <c r="D984" s="5" t="s">
        <v>42</v>
      </c>
      <c r="E984" s="5" t="s">
        <v>34</v>
      </c>
      <c r="F984" s="2" t="s">
        <v>171</v>
      </c>
      <c r="G984" s="2">
        <v>5</v>
      </c>
      <c r="H984" s="25">
        <v>23320</v>
      </c>
      <c r="I984" s="8">
        <v>0</v>
      </c>
      <c r="J984" s="25">
        <v>116600</v>
      </c>
      <c r="K984" s="25">
        <f>G984*H984</f>
        <v>116600</v>
      </c>
      <c r="L984" s="8">
        <f>K984*I984/100</f>
        <v>0</v>
      </c>
      <c r="M984" s="2" t="s">
        <v>139</v>
      </c>
      <c r="N984" s="2" t="s">
        <v>79</v>
      </c>
      <c r="O984" s="2">
        <v>2025</v>
      </c>
      <c r="P984" s="2" t="str">
        <v>May</v>
      </c>
      <c r="Q984" s="2" t="s">
        <v>47</v>
      </c>
    </row>
    <row r="985" spans="1:17" x14ac:dyDescent="0.25">
      <c r="A985" s="2" t="s">
        <v>2060</v>
      </c>
      <c r="B985" s="7">
        <v>45984</v>
      </c>
      <c r="C985" s="5" t="s">
        <v>24</v>
      </c>
      <c r="D985" s="5" t="s">
        <v>16</v>
      </c>
      <c r="E985" s="5" t="s">
        <v>179</v>
      </c>
      <c r="F985" s="2" t="s">
        <v>224</v>
      </c>
      <c r="G985" s="2">
        <v>9</v>
      </c>
      <c r="H985" s="25">
        <v>3190</v>
      </c>
      <c r="I985" s="8">
        <v>5</v>
      </c>
      <c r="J985" s="25">
        <v>27274.5</v>
      </c>
      <c r="K985" s="25">
        <f>G985*H985</f>
        <v>28710</v>
      </c>
      <c r="L985" s="8">
        <f>K985*I985/100</f>
        <v>1435.5</v>
      </c>
      <c r="M985" s="2" t="s">
        <v>102</v>
      </c>
      <c r="N985" s="2" t="s">
        <v>176</v>
      </c>
      <c r="O985" s="2">
        <v>2025</v>
      </c>
      <c r="P985" s="2" t="str">
        <v>November</v>
      </c>
      <c r="Q985" s="2" t="s">
        <v>21</v>
      </c>
    </row>
    <row r="986" spans="1:17" x14ac:dyDescent="0.25">
      <c r="A986" s="2" t="s">
        <v>2061</v>
      </c>
      <c r="B986" s="7">
        <v>45673</v>
      </c>
      <c r="C986" s="5" t="s">
        <v>156</v>
      </c>
      <c r="D986" s="5" t="s">
        <v>51</v>
      </c>
      <c r="E986" s="5" t="s">
        <v>34</v>
      </c>
      <c r="F986" s="2" t="s">
        <v>164</v>
      </c>
      <c r="G986" s="2">
        <v>11</v>
      </c>
      <c r="H986" s="25">
        <v>41270</v>
      </c>
      <c r="I986" s="8">
        <v>0</v>
      </c>
      <c r="J986" s="25">
        <v>453970</v>
      </c>
      <c r="K986" s="25">
        <f>G986*H986</f>
        <v>453970</v>
      </c>
      <c r="L986" s="8">
        <f>K986*I986/100</f>
        <v>0</v>
      </c>
      <c r="M986" s="2" t="s">
        <v>139</v>
      </c>
      <c r="N986" s="2" t="s">
        <v>68</v>
      </c>
      <c r="O986" s="2">
        <v>2025</v>
      </c>
      <c r="P986" s="2" t="str">
        <v>January</v>
      </c>
      <c r="Q986" s="2" t="s">
        <v>21</v>
      </c>
    </row>
    <row r="987" spans="1:17" x14ac:dyDescent="0.25">
      <c r="A987" s="2" t="s">
        <v>2063</v>
      </c>
      <c r="B987" s="7">
        <v>45672</v>
      </c>
      <c r="C987" s="5" t="s">
        <v>41</v>
      </c>
      <c r="D987" s="5" t="s">
        <v>42</v>
      </c>
      <c r="E987" s="5" t="s">
        <v>148</v>
      </c>
      <c r="F987" s="2" t="s">
        <v>379</v>
      </c>
      <c r="G987" s="2">
        <v>7</v>
      </c>
      <c r="H987" s="25">
        <v>9150</v>
      </c>
      <c r="I987" s="8">
        <v>0</v>
      </c>
      <c r="J987" s="25">
        <v>64050</v>
      </c>
      <c r="K987" s="25">
        <f>G987*H987</f>
        <v>64050</v>
      </c>
      <c r="L987" s="8">
        <f>K987*I987/100</f>
        <v>0</v>
      </c>
      <c r="M987" s="2" t="s">
        <v>139</v>
      </c>
      <c r="N987" s="2" t="s">
        <v>79</v>
      </c>
      <c r="O987" s="2">
        <v>2025</v>
      </c>
      <c r="P987" s="2" t="str">
        <v>January</v>
      </c>
      <c r="Q987" s="2" t="s">
        <v>47</v>
      </c>
    </row>
    <row r="988" spans="1:17" x14ac:dyDescent="0.25">
      <c r="A988" s="2" t="s">
        <v>2065</v>
      </c>
      <c r="B988" s="7">
        <v>45821</v>
      </c>
      <c r="C988" s="5" t="s">
        <v>32</v>
      </c>
      <c r="D988" s="5" t="s">
        <v>33</v>
      </c>
      <c r="E988" s="5" t="s">
        <v>179</v>
      </c>
      <c r="F988" s="2" t="s">
        <v>209</v>
      </c>
      <c r="G988" s="2">
        <v>3</v>
      </c>
      <c r="H988" s="25">
        <v>10190</v>
      </c>
      <c r="I988" s="8">
        <v>0</v>
      </c>
      <c r="J988" s="25">
        <v>30570</v>
      </c>
      <c r="K988" s="25">
        <f>G988*H988</f>
        <v>30570</v>
      </c>
      <c r="L988" s="8">
        <f>K988*I988/100</f>
        <v>0</v>
      </c>
      <c r="M988" s="2" t="s">
        <v>53</v>
      </c>
      <c r="N988" s="2" t="s">
        <v>341</v>
      </c>
      <c r="O988" s="2">
        <v>2025</v>
      </c>
      <c r="P988" s="2" t="str">
        <v>June</v>
      </c>
      <c r="Q988" s="2" t="s">
        <v>21</v>
      </c>
    </row>
    <row r="989" spans="1:17" x14ac:dyDescent="0.25">
      <c r="A989" s="2" t="s">
        <v>2067</v>
      </c>
      <c r="B989" s="7">
        <v>45910</v>
      </c>
      <c r="C989" s="5" t="s">
        <v>238</v>
      </c>
      <c r="D989" s="5" t="s">
        <v>51</v>
      </c>
      <c r="E989" s="5" t="s">
        <v>179</v>
      </c>
      <c r="F989" s="2" t="s">
        <v>78</v>
      </c>
      <c r="G989" s="2">
        <v>1</v>
      </c>
      <c r="H989" s="25">
        <v>48040</v>
      </c>
      <c r="I989" s="8">
        <v>10</v>
      </c>
      <c r="J989" s="25">
        <v>43236</v>
      </c>
      <c r="K989" s="25">
        <f>G989*H989</f>
        <v>48040</v>
      </c>
      <c r="L989" s="8">
        <f>K989*I989/100</f>
        <v>4804</v>
      </c>
      <c r="M989" s="2" t="s">
        <v>102</v>
      </c>
      <c r="N989" s="2" t="s">
        <v>68</v>
      </c>
      <c r="O989" s="2">
        <v>2025</v>
      </c>
      <c r="P989" s="2" t="str">
        <v>September</v>
      </c>
      <c r="Q989" s="2" t="s">
        <v>47</v>
      </c>
    </row>
    <row r="990" spans="1:17" x14ac:dyDescent="0.25">
      <c r="A990" s="2" t="s">
        <v>2068</v>
      </c>
      <c r="B990" s="7">
        <v>45850</v>
      </c>
      <c r="C990" s="5" t="s">
        <v>41</v>
      </c>
      <c r="D990" s="5" t="s">
        <v>42</v>
      </c>
      <c r="E990" s="5" t="s">
        <v>34</v>
      </c>
      <c r="F990" s="2" t="s">
        <v>374</v>
      </c>
      <c r="G990" s="2">
        <v>7</v>
      </c>
      <c r="H990" s="25">
        <v>63110</v>
      </c>
      <c r="I990" s="8">
        <v>15</v>
      </c>
      <c r="J990" s="25">
        <v>375504.5</v>
      </c>
      <c r="K990" s="25">
        <f>G990*H990</f>
        <v>441770</v>
      </c>
      <c r="L990" s="8">
        <f>K990*I990/100</f>
        <v>66265.5</v>
      </c>
      <c r="M990" s="2" t="s">
        <v>53</v>
      </c>
      <c r="N990" s="2" t="s">
        <v>79</v>
      </c>
      <c r="O990" s="2">
        <v>2025</v>
      </c>
      <c r="P990" s="2" t="str">
        <v>July</v>
      </c>
      <c r="Q990" s="2" t="s">
        <v>21</v>
      </c>
    </row>
    <row r="991" spans="1:17" x14ac:dyDescent="0.25">
      <c r="A991" s="2" t="s">
        <v>2069</v>
      </c>
      <c r="B991" s="7">
        <v>45707</v>
      </c>
      <c r="C991" s="5" t="s">
        <v>32</v>
      </c>
      <c r="D991" s="5" t="s">
        <v>33</v>
      </c>
      <c r="E991" s="5" t="s">
        <v>25</v>
      </c>
      <c r="F991" s="2" t="s">
        <v>106</v>
      </c>
      <c r="G991" s="2">
        <v>12</v>
      </c>
      <c r="H991" s="25">
        <v>1320</v>
      </c>
      <c r="I991" s="8">
        <v>0</v>
      </c>
      <c r="J991" s="25">
        <v>15840</v>
      </c>
      <c r="K991" s="25">
        <f>G991*H991</f>
        <v>15840</v>
      </c>
      <c r="L991" s="8">
        <f>K991*I991/100</f>
        <v>0</v>
      </c>
      <c r="M991" s="2" t="s">
        <v>94</v>
      </c>
      <c r="N991" s="2" t="s">
        <v>406</v>
      </c>
      <c r="O991" s="2">
        <v>2025</v>
      </c>
      <c r="P991" s="2" t="str">
        <v>February</v>
      </c>
      <c r="Q991" s="2" t="s">
        <v>21</v>
      </c>
    </row>
    <row r="992" spans="1:17" x14ac:dyDescent="0.25">
      <c r="A992" s="2" t="s">
        <v>2070</v>
      </c>
      <c r="B992" s="7">
        <v>45924</v>
      </c>
      <c r="C992" s="5" t="s">
        <v>156</v>
      </c>
      <c r="D992" s="5" t="s">
        <v>51</v>
      </c>
      <c r="E992" s="5" t="s">
        <v>148</v>
      </c>
      <c r="F992" s="2" t="s">
        <v>83</v>
      </c>
      <c r="G992" s="2">
        <v>1</v>
      </c>
      <c r="H992" s="25">
        <v>7630</v>
      </c>
      <c r="I992" s="8">
        <v>0</v>
      </c>
      <c r="J992" s="25">
        <v>7630</v>
      </c>
      <c r="K992" s="25">
        <f>G992*H992</f>
        <v>7630</v>
      </c>
      <c r="L992" s="8">
        <f>K992*I992/100</f>
        <v>0</v>
      </c>
      <c r="M992" s="2" t="s">
        <v>139</v>
      </c>
      <c r="N992" s="2" t="s">
        <v>344</v>
      </c>
      <c r="O992" s="2">
        <v>2025</v>
      </c>
      <c r="P992" s="2" t="str">
        <v>September</v>
      </c>
      <c r="Q992" s="2" t="s">
        <v>47</v>
      </c>
    </row>
    <row r="993" spans="1:17" x14ac:dyDescent="0.25">
      <c r="A993" s="2" t="s">
        <v>2072</v>
      </c>
      <c r="B993" s="7">
        <v>45961</v>
      </c>
      <c r="C993" s="5" t="s">
        <v>41</v>
      </c>
      <c r="D993" s="5" t="s">
        <v>42</v>
      </c>
      <c r="E993" s="5" t="s">
        <v>148</v>
      </c>
      <c r="F993" s="2" t="s">
        <v>60</v>
      </c>
      <c r="G993" s="2">
        <v>5</v>
      </c>
      <c r="H993" s="25">
        <v>510</v>
      </c>
      <c r="I993" s="8">
        <v>0</v>
      </c>
      <c r="J993" s="25">
        <v>2550</v>
      </c>
      <c r="K993" s="25">
        <f>G993*H993</f>
        <v>2550</v>
      </c>
      <c r="L993" s="8">
        <f>K993*I993/100</f>
        <v>0</v>
      </c>
      <c r="M993" s="2" t="s">
        <v>94</v>
      </c>
      <c r="N993" s="2" t="s">
        <v>37</v>
      </c>
      <c r="O993" s="2">
        <v>2025</v>
      </c>
      <c r="P993" s="2" t="str">
        <v>October</v>
      </c>
      <c r="Q993" s="2" t="s">
        <v>47</v>
      </c>
    </row>
    <row r="994" spans="1:17" x14ac:dyDescent="0.25">
      <c r="A994" s="2" t="s">
        <v>2074</v>
      </c>
      <c r="B994" s="7">
        <v>45836</v>
      </c>
      <c r="C994" s="5" t="s">
        <v>41</v>
      </c>
      <c r="D994" s="5" t="s">
        <v>42</v>
      </c>
      <c r="E994" s="5" t="s">
        <v>179</v>
      </c>
      <c r="F994" s="2" t="s">
        <v>232</v>
      </c>
      <c r="G994" s="2">
        <v>10</v>
      </c>
      <c r="H994" s="25">
        <v>17610</v>
      </c>
      <c r="I994" s="8">
        <v>5</v>
      </c>
      <c r="J994" s="25">
        <v>167295</v>
      </c>
      <c r="K994" s="25">
        <f>G994*H994</f>
        <v>176100</v>
      </c>
      <c r="L994" s="8">
        <f>K994*I994/100</f>
        <v>8805</v>
      </c>
      <c r="M994" s="2" t="s">
        <v>94</v>
      </c>
      <c r="N994" s="2" t="s">
        <v>73</v>
      </c>
      <c r="O994" s="2">
        <v>2025</v>
      </c>
      <c r="P994" s="2" t="str">
        <v>June</v>
      </c>
      <c r="Q994" s="2" t="s">
        <v>47</v>
      </c>
    </row>
    <row r="995" spans="1:17" x14ac:dyDescent="0.25">
      <c r="A995" s="2" t="s">
        <v>2075</v>
      </c>
      <c r="B995" s="7">
        <v>45913</v>
      </c>
      <c r="C995" s="5" t="s">
        <v>32</v>
      </c>
      <c r="D995" s="5" t="s">
        <v>33</v>
      </c>
      <c r="E995" s="5" t="s">
        <v>34</v>
      </c>
      <c r="F995" s="2" t="s">
        <v>164</v>
      </c>
      <c r="G995" s="2">
        <v>4</v>
      </c>
      <c r="H995" s="25">
        <v>59270</v>
      </c>
      <c r="I995" s="8">
        <v>0</v>
      </c>
      <c r="J995" s="25">
        <v>237080</v>
      </c>
      <c r="K995" s="25">
        <f>G995*H995</f>
        <v>237080</v>
      </c>
      <c r="L995" s="8">
        <f>K995*I995/100</f>
        <v>0</v>
      </c>
      <c r="M995" s="2" t="s">
        <v>139</v>
      </c>
      <c r="N995" s="2" t="s">
        <v>176</v>
      </c>
      <c r="O995" s="2">
        <v>2025</v>
      </c>
      <c r="P995" s="2" t="str">
        <v>September</v>
      </c>
      <c r="Q995" s="2" t="s">
        <v>21</v>
      </c>
    </row>
    <row r="996" spans="1:17" x14ac:dyDescent="0.25">
      <c r="A996" s="2" t="s">
        <v>2077</v>
      </c>
      <c r="B996" s="7">
        <v>45963</v>
      </c>
      <c r="C996" s="5" t="s">
        <v>76</v>
      </c>
      <c r="D996" s="5" t="s">
        <v>33</v>
      </c>
      <c r="E996" s="5" t="s">
        <v>34</v>
      </c>
      <c r="F996" s="2" t="s">
        <v>171</v>
      </c>
      <c r="G996" s="2">
        <v>3</v>
      </c>
      <c r="H996" s="25">
        <v>1130</v>
      </c>
      <c r="I996" s="8">
        <v>0</v>
      </c>
      <c r="J996" s="25">
        <v>3390</v>
      </c>
      <c r="K996" s="25">
        <f>G996*H996</f>
        <v>3390</v>
      </c>
      <c r="L996" s="8">
        <f>K996*I996/100</f>
        <v>0</v>
      </c>
      <c r="M996" s="2" t="s">
        <v>53</v>
      </c>
      <c r="N996" s="2" t="s">
        <v>73</v>
      </c>
      <c r="O996" s="2">
        <v>2025</v>
      </c>
      <c r="P996" s="2" t="str">
        <v>November</v>
      </c>
      <c r="Q996" s="2" t="s">
        <v>21</v>
      </c>
    </row>
    <row r="997" spans="1:17" x14ac:dyDescent="0.25">
      <c r="A997" s="2" t="s">
        <v>2079</v>
      </c>
      <c r="B997" s="7">
        <v>45885</v>
      </c>
      <c r="C997" s="5" t="s">
        <v>24</v>
      </c>
      <c r="D997" s="5" t="s">
        <v>16</v>
      </c>
      <c r="E997" s="5" t="s">
        <v>179</v>
      </c>
      <c r="F997" s="2" t="s">
        <v>78</v>
      </c>
      <c r="G997" s="2">
        <v>2</v>
      </c>
      <c r="H997" s="25">
        <v>8150</v>
      </c>
      <c r="I997" s="8">
        <v>5</v>
      </c>
      <c r="J997" s="25">
        <v>15485</v>
      </c>
      <c r="K997" s="25">
        <f>G997*H997</f>
        <v>16300</v>
      </c>
      <c r="L997" s="8">
        <f>K997*I997/100</f>
        <v>815</v>
      </c>
      <c r="M997" s="2" t="s">
        <v>53</v>
      </c>
      <c r="N997" s="2" t="s">
        <v>46</v>
      </c>
      <c r="O997" s="2">
        <v>2025</v>
      </c>
      <c r="P997" s="2" t="str">
        <v>August</v>
      </c>
      <c r="Q997" s="2" t="s">
        <v>47</v>
      </c>
    </row>
    <row r="998" spans="1:17" x14ac:dyDescent="0.25">
      <c r="A998" s="2" t="s">
        <v>2080</v>
      </c>
      <c r="B998" s="7">
        <v>45698</v>
      </c>
      <c r="C998" s="5" t="s">
        <v>41</v>
      </c>
      <c r="D998" s="5" t="s">
        <v>42</v>
      </c>
      <c r="E998" s="5" t="s">
        <v>179</v>
      </c>
      <c r="F998" s="2" t="s">
        <v>239</v>
      </c>
      <c r="G998" s="2">
        <v>11</v>
      </c>
      <c r="H998" s="25">
        <v>44410</v>
      </c>
      <c r="I998" s="8">
        <v>0</v>
      </c>
      <c r="J998" s="25">
        <v>488510</v>
      </c>
      <c r="K998" s="25">
        <f>G998*H998</f>
        <v>488510</v>
      </c>
      <c r="L998" s="8">
        <f>K998*I998/100</f>
        <v>0</v>
      </c>
      <c r="M998" s="2" t="s">
        <v>102</v>
      </c>
      <c r="N998" s="2" t="s">
        <v>411</v>
      </c>
      <c r="O998" s="2">
        <v>2025</v>
      </c>
      <c r="P998" s="2" t="str">
        <v>February</v>
      </c>
      <c r="Q998" s="2" t="s">
        <v>47</v>
      </c>
    </row>
    <row r="999" spans="1:17" x14ac:dyDescent="0.25">
      <c r="A999" s="2" t="s">
        <v>2082</v>
      </c>
      <c r="B999" s="7">
        <v>45764</v>
      </c>
      <c r="C999" s="5" t="s">
        <v>135</v>
      </c>
      <c r="D999" s="5" t="s">
        <v>58</v>
      </c>
      <c r="E999" s="5" t="s">
        <v>295</v>
      </c>
      <c r="F999" s="2" t="s">
        <v>319</v>
      </c>
      <c r="G999" s="2">
        <v>10</v>
      </c>
      <c r="H999" s="25">
        <v>44800</v>
      </c>
      <c r="I999" s="8">
        <v>5</v>
      </c>
      <c r="J999" s="25">
        <v>425600</v>
      </c>
      <c r="K999" s="25">
        <f>G999*H999</f>
        <v>448000</v>
      </c>
      <c r="L999" s="8">
        <f>K999*I999/100</f>
        <v>22400</v>
      </c>
      <c r="M999" s="2" t="s">
        <v>94</v>
      </c>
      <c r="N999" s="2" t="s">
        <v>411</v>
      </c>
      <c r="O999" s="2">
        <v>2025</v>
      </c>
      <c r="P999" s="2" t="str">
        <v>April</v>
      </c>
      <c r="Q999" s="2" t="s">
        <v>47</v>
      </c>
    </row>
    <row r="1000" spans="1:17" x14ac:dyDescent="0.25">
      <c r="A1000" s="2" t="s">
        <v>2084</v>
      </c>
      <c r="B1000" s="7">
        <v>45993</v>
      </c>
      <c r="C1000" s="5" t="s">
        <v>41</v>
      </c>
      <c r="D1000" s="2" t="s">
        <v>42</v>
      </c>
      <c r="E1000" s="2" t="s">
        <v>179</v>
      </c>
      <c r="F1000" s="2" t="s">
        <v>290</v>
      </c>
      <c r="G1000" s="2">
        <v>8</v>
      </c>
      <c r="H1000" s="25">
        <v>8600</v>
      </c>
      <c r="I1000" s="8">
        <v>0</v>
      </c>
      <c r="J1000" s="25">
        <v>68800</v>
      </c>
      <c r="K1000" s="25">
        <f>G1000*H1000</f>
        <v>68800</v>
      </c>
      <c r="L1000" s="8">
        <f>K1000*I1000/100</f>
        <v>0</v>
      </c>
      <c r="M1000" s="2" t="s">
        <v>102</v>
      </c>
      <c r="N1000" s="2" t="s">
        <v>344</v>
      </c>
      <c r="O1000" s="2">
        <v>2025</v>
      </c>
      <c r="P1000" s="2" t="str">
        <v>December</v>
      </c>
      <c r="Q1000" s="2" t="s">
        <v>47</v>
      </c>
    </row>
    <row r="1001" spans="1:17" x14ac:dyDescent="0.25">
      <c r="A1001" s="2" t="s">
        <v>2085</v>
      </c>
      <c r="B1001" s="7">
        <v>45679</v>
      </c>
      <c r="C1001" s="5" t="s">
        <v>32</v>
      </c>
      <c r="D1001" s="5" t="s">
        <v>33</v>
      </c>
      <c r="E1001" s="5" t="s">
        <v>179</v>
      </c>
      <c r="F1001" s="2" t="s">
        <v>18</v>
      </c>
      <c r="G1001" s="2">
        <v>3</v>
      </c>
      <c r="H1001" s="25">
        <v>8540</v>
      </c>
      <c r="I1001" s="8">
        <v>10</v>
      </c>
      <c r="J1001" s="25">
        <v>23058</v>
      </c>
      <c r="K1001" s="25">
        <f>G1001*H1001</f>
        <v>25620</v>
      </c>
      <c r="L1001" s="8">
        <f>K1001*I1001/100</f>
        <v>2562</v>
      </c>
      <c r="M1001" s="2" t="s">
        <v>53</v>
      </c>
      <c r="N1001" s="2" t="s">
        <v>341</v>
      </c>
      <c r="O1001" s="2">
        <v>2025</v>
      </c>
      <c r="P1001" s="2" t="str">
        <v>January</v>
      </c>
      <c r="Q1001" s="2" t="s">
        <v>47</v>
      </c>
    </row>
    <row r="1002" spans="1:17" x14ac:dyDescent="0.25">
      <c r="A1002" s="2" t="s">
        <v>2087</v>
      </c>
      <c r="B1002" s="7">
        <v>45804</v>
      </c>
      <c r="C1002" s="5" t="s">
        <v>76</v>
      </c>
      <c r="D1002" s="5" t="s">
        <v>33</v>
      </c>
      <c r="E1002" s="5" t="s">
        <v>295</v>
      </c>
      <c r="F1002" s="2" t="s">
        <v>126</v>
      </c>
      <c r="G1002" s="2">
        <v>8</v>
      </c>
      <c r="H1002" s="25">
        <v>3880</v>
      </c>
      <c r="I1002" s="8">
        <v>15</v>
      </c>
      <c r="J1002" s="25">
        <v>26384</v>
      </c>
      <c r="K1002" s="25">
        <f>G1002*H1002</f>
        <v>31040</v>
      </c>
      <c r="L1002" s="8">
        <f>K1002*I1002/100</f>
        <v>4656</v>
      </c>
      <c r="M1002" s="2" t="s">
        <v>53</v>
      </c>
      <c r="N1002" s="2" t="s">
        <v>176</v>
      </c>
      <c r="O1002" s="2">
        <v>2025</v>
      </c>
      <c r="P1002" s="2" t="str">
        <v>May</v>
      </c>
      <c r="Q1002" s="2" t="s">
        <v>21</v>
      </c>
    </row>
    <row r="1003" spans="1:17" x14ac:dyDescent="0.25">
      <c r="A1003" s="2" t="s">
        <v>2088</v>
      </c>
      <c r="B1003" s="7">
        <v>45849</v>
      </c>
      <c r="C1003" s="5" t="s">
        <v>24</v>
      </c>
      <c r="D1003" s="5" t="s">
        <v>16</v>
      </c>
      <c r="E1003" s="5" t="s">
        <v>25</v>
      </c>
      <c r="F1003" s="2" t="s">
        <v>93</v>
      </c>
      <c r="G1003" s="2">
        <v>6</v>
      </c>
      <c r="H1003" s="25">
        <v>8120</v>
      </c>
      <c r="I1003" s="8">
        <v>0</v>
      </c>
      <c r="J1003" s="25">
        <v>48720</v>
      </c>
      <c r="K1003" s="25">
        <f>G1003*H1003</f>
        <v>48720</v>
      </c>
      <c r="L1003" s="8">
        <f>K1003*I1003/100</f>
        <v>0</v>
      </c>
      <c r="M1003" s="2" t="s">
        <v>53</v>
      </c>
      <c r="N1003" s="2" t="s">
        <v>406</v>
      </c>
      <c r="O1003" s="2">
        <v>2025</v>
      </c>
      <c r="P1003" s="2" t="str">
        <v>July</v>
      </c>
      <c r="Q1003" s="2" t="s">
        <v>47</v>
      </c>
    </row>
    <row r="1004" spans="1:17" x14ac:dyDescent="0.25">
      <c r="A1004" s="2" t="s">
        <v>2089</v>
      </c>
      <c r="B1004" s="7">
        <v>45840</v>
      </c>
      <c r="C1004" s="5" t="s">
        <v>24</v>
      </c>
      <c r="D1004" s="5" t="s">
        <v>16</v>
      </c>
      <c r="E1004" s="5" t="s">
        <v>148</v>
      </c>
      <c r="F1004" s="2" t="s">
        <v>167</v>
      </c>
      <c r="G1004" s="2">
        <v>12</v>
      </c>
      <c r="H1004" s="25">
        <v>62100</v>
      </c>
      <c r="I1004" s="8">
        <v>10</v>
      </c>
      <c r="J1004" s="25">
        <v>670680</v>
      </c>
      <c r="K1004" s="25">
        <f>G1004*H1004</f>
        <v>745200</v>
      </c>
      <c r="L1004" s="8">
        <f>K1004*I1004/100</f>
        <v>74520</v>
      </c>
      <c r="M1004" s="2" t="s">
        <v>139</v>
      </c>
      <c r="N1004" s="2" t="s">
        <v>168</v>
      </c>
      <c r="O1004" s="2">
        <v>2025</v>
      </c>
      <c r="P1004" s="2" t="str">
        <v>July</v>
      </c>
      <c r="Q1004" s="2" t="s">
        <v>47</v>
      </c>
    </row>
    <row r="1005" spans="1:17" x14ac:dyDescent="0.25">
      <c r="A1005" s="2" t="s">
        <v>2091</v>
      </c>
      <c r="B1005" s="7">
        <v>46015</v>
      </c>
      <c r="C1005" s="5" t="s">
        <v>135</v>
      </c>
      <c r="D1005" s="5" t="s">
        <v>58</v>
      </c>
      <c r="E1005" s="5" t="s">
        <v>295</v>
      </c>
      <c r="F1005" s="2" t="s">
        <v>319</v>
      </c>
      <c r="G1005" s="2">
        <v>7</v>
      </c>
      <c r="H1005" s="25">
        <v>9680</v>
      </c>
      <c r="I1005" s="8">
        <v>15</v>
      </c>
      <c r="J1005" s="25">
        <v>57596</v>
      </c>
      <c r="K1005" s="25">
        <f>G1005*H1005</f>
        <v>67760</v>
      </c>
      <c r="L1005" s="8">
        <f>K1005*I1005/100</f>
        <v>10164</v>
      </c>
      <c r="M1005" s="2" t="s">
        <v>102</v>
      </c>
      <c r="N1005" s="2" t="s">
        <v>54</v>
      </c>
      <c r="O1005" s="2">
        <v>2025</v>
      </c>
      <c r="P1005" s="2" t="str">
        <v>December</v>
      </c>
      <c r="Q1005" s="2" t="s">
        <v>47</v>
      </c>
    </row>
    <row r="1006" spans="1:17" x14ac:dyDescent="0.25">
      <c r="A1006" s="2" t="s">
        <v>2093</v>
      </c>
      <c r="B1006" s="7">
        <v>45788</v>
      </c>
      <c r="C1006" s="5" t="s">
        <v>24</v>
      </c>
      <c r="D1006" s="5" t="s">
        <v>16</v>
      </c>
      <c r="E1006" s="5" t="s">
        <v>34</v>
      </c>
      <c r="F1006" s="2" t="s">
        <v>164</v>
      </c>
      <c r="G1006" s="2">
        <v>1</v>
      </c>
      <c r="H1006" s="25">
        <v>1350</v>
      </c>
      <c r="I1006" s="8">
        <v>0</v>
      </c>
      <c r="J1006" s="25">
        <v>1350</v>
      </c>
      <c r="K1006" s="25">
        <f>G1006*H1006</f>
        <v>1350</v>
      </c>
      <c r="L1006" s="8">
        <f>K1006*I1006/100</f>
        <v>0</v>
      </c>
      <c r="M1006" s="2" t="s">
        <v>102</v>
      </c>
      <c r="N1006" s="2" t="s">
        <v>188</v>
      </c>
      <c r="O1006" s="2">
        <v>2025</v>
      </c>
      <c r="P1006" s="2" t="str">
        <v>May</v>
      </c>
      <c r="Q1006" s="2" t="s">
        <v>47</v>
      </c>
    </row>
    <row r="1007" spans="1:17" x14ac:dyDescent="0.25">
      <c r="A1007" s="2" t="s">
        <v>2095</v>
      </c>
      <c r="B1007" s="7">
        <v>45723</v>
      </c>
      <c r="C1007" s="5" t="s">
        <v>238</v>
      </c>
      <c r="D1007" s="5" t="s">
        <v>51</v>
      </c>
      <c r="E1007" s="5" t="s">
        <v>295</v>
      </c>
      <c r="F1007" s="2" t="s">
        <v>314</v>
      </c>
      <c r="G1007" s="2">
        <v>7</v>
      </c>
      <c r="H1007" s="25">
        <v>42240</v>
      </c>
      <c r="I1007" s="8">
        <v>0</v>
      </c>
      <c r="J1007" s="25">
        <v>295680</v>
      </c>
      <c r="K1007" s="25">
        <f>G1007*H1007</f>
        <v>295680</v>
      </c>
      <c r="L1007" s="8">
        <f>K1007*I1007/100</f>
        <v>0</v>
      </c>
      <c r="M1007" s="2" t="s">
        <v>102</v>
      </c>
      <c r="N1007" s="2" t="s">
        <v>46</v>
      </c>
      <c r="O1007" s="2">
        <v>2025</v>
      </c>
      <c r="P1007" s="2" t="str">
        <v>March</v>
      </c>
      <c r="Q1007" s="2" t="s">
        <v>21</v>
      </c>
    </row>
    <row r="1008" spans="1:17" x14ac:dyDescent="0.25">
      <c r="A1008" s="2" t="s">
        <v>2097</v>
      </c>
      <c r="B1008" s="7">
        <v>45719</v>
      </c>
      <c r="C1008" s="5" t="s">
        <v>135</v>
      </c>
      <c r="D1008" s="5" t="s">
        <v>58</v>
      </c>
      <c r="E1008" s="5" t="s">
        <v>148</v>
      </c>
      <c r="F1008" s="2" t="s">
        <v>149</v>
      </c>
      <c r="G1008" s="2">
        <v>1</v>
      </c>
      <c r="H1008" s="25">
        <v>3170</v>
      </c>
      <c r="I1008" s="8">
        <v>10</v>
      </c>
      <c r="J1008" s="25">
        <v>2853</v>
      </c>
      <c r="K1008" s="25">
        <f>G1008*H1008</f>
        <v>3170</v>
      </c>
      <c r="L1008" s="8">
        <f>K1008*I1008/100</f>
        <v>317</v>
      </c>
      <c r="M1008" s="2" t="s">
        <v>102</v>
      </c>
      <c r="N1008" s="2" t="s">
        <v>54</v>
      </c>
      <c r="O1008" s="2">
        <v>2025</v>
      </c>
      <c r="P1008" s="2" t="str">
        <v>March</v>
      </c>
      <c r="Q1008" s="2" t="s">
        <v>21</v>
      </c>
    </row>
    <row r="1009" spans="1:17" x14ac:dyDescent="0.25">
      <c r="A1009" s="2" t="s">
        <v>2099</v>
      </c>
      <c r="B1009" s="7">
        <v>45958</v>
      </c>
      <c r="C1009" s="5" t="s">
        <v>41</v>
      </c>
      <c r="D1009" s="5" t="s">
        <v>42</v>
      </c>
      <c r="E1009" s="5" t="s">
        <v>34</v>
      </c>
      <c r="F1009" s="2" t="s">
        <v>374</v>
      </c>
      <c r="G1009" s="2">
        <v>7</v>
      </c>
      <c r="H1009" s="25">
        <v>520</v>
      </c>
      <c r="I1009" s="8">
        <v>0</v>
      </c>
      <c r="J1009" s="25">
        <v>3640</v>
      </c>
      <c r="K1009" s="25">
        <f>G1009*H1009</f>
        <v>3640</v>
      </c>
      <c r="L1009" s="8">
        <f>K1009*I1009/100</f>
        <v>0</v>
      </c>
      <c r="M1009" s="2" t="s">
        <v>102</v>
      </c>
      <c r="N1009" s="2" t="s">
        <v>54</v>
      </c>
      <c r="O1009" s="2">
        <v>2025</v>
      </c>
      <c r="P1009" s="2" t="str">
        <v>October</v>
      </c>
      <c r="Q1009" s="2" t="s">
        <v>21</v>
      </c>
    </row>
    <row r="1010" spans="1:17" x14ac:dyDescent="0.25">
      <c r="A1010" s="2" t="s">
        <v>2100</v>
      </c>
      <c r="B1010" s="7">
        <v>45967</v>
      </c>
      <c r="C1010" s="5" t="s">
        <v>41</v>
      </c>
      <c r="D1010" s="5" t="s">
        <v>42</v>
      </c>
      <c r="E1010" s="5" t="s">
        <v>34</v>
      </c>
      <c r="F1010" s="2" t="s">
        <v>290</v>
      </c>
      <c r="G1010" s="2">
        <v>8</v>
      </c>
      <c r="H1010" s="25">
        <v>5230</v>
      </c>
      <c r="I1010" s="8">
        <v>0</v>
      </c>
      <c r="J1010" s="25">
        <v>41840</v>
      </c>
      <c r="K1010" s="25">
        <f>G1010*H1010</f>
        <v>41840</v>
      </c>
      <c r="L1010" s="8">
        <f>K1010*I1010/100</f>
        <v>0</v>
      </c>
      <c r="M1010" s="2" t="s">
        <v>102</v>
      </c>
      <c r="N1010" s="2" t="s">
        <v>168</v>
      </c>
      <c r="O1010" s="2">
        <v>2025</v>
      </c>
      <c r="P1010" s="2" t="str">
        <v>November</v>
      </c>
      <c r="Q1010" s="2" t="s">
        <v>47</v>
      </c>
    </row>
    <row r="1011" spans="1:17" x14ac:dyDescent="0.25">
      <c r="A1011" s="2" t="s">
        <v>2102</v>
      </c>
      <c r="B1011" s="7">
        <v>45773</v>
      </c>
      <c r="C1011" s="5" t="s">
        <v>24</v>
      </c>
      <c r="D1011" s="5" t="s">
        <v>16</v>
      </c>
      <c r="E1011" s="5" t="s">
        <v>295</v>
      </c>
      <c r="F1011" s="2" t="s">
        <v>132</v>
      </c>
      <c r="G1011" s="2">
        <v>2</v>
      </c>
      <c r="H1011" s="25">
        <v>8540</v>
      </c>
      <c r="I1011" s="8">
        <v>0</v>
      </c>
      <c r="J1011" s="25">
        <v>17080</v>
      </c>
      <c r="K1011" s="25">
        <f>G1011*H1011</f>
        <v>17080</v>
      </c>
      <c r="L1011" s="8">
        <f>K1011*I1011/100</f>
        <v>0</v>
      </c>
      <c r="M1011" s="2" t="s">
        <v>139</v>
      </c>
      <c r="N1011" s="2" t="s">
        <v>68</v>
      </c>
      <c r="O1011" s="2">
        <v>2025</v>
      </c>
      <c r="P1011" s="2" t="str">
        <v>April</v>
      </c>
      <c r="Q1011" s="2" t="s">
        <v>21</v>
      </c>
    </row>
    <row r="1012" spans="1:17" x14ac:dyDescent="0.25">
      <c r="A1012" s="2" t="s">
        <v>2104</v>
      </c>
      <c r="B1012" s="7">
        <v>45902</v>
      </c>
      <c r="C1012" s="5" t="s">
        <v>238</v>
      </c>
      <c r="D1012" s="5" t="s">
        <v>33</v>
      </c>
      <c r="E1012" s="5" t="s">
        <v>25</v>
      </c>
      <c r="F1012" s="2" t="s">
        <v>106</v>
      </c>
      <c r="G1012" s="2">
        <v>5</v>
      </c>
      <c r="H1012" s="25">
        <v>3240</v>
      </c>
      <c r="I1012" s="8">
        <v>15</v>
      </c>
      <c r="J1012" s="25">
        <v>13770</v>
      </c>
      <c r="K1012" s="25">
        <f>G1012*H1012</f>
        <v>16200</v>
      </c>
      <c r="L1012" s="8">
        <f>K1012*I1012/100</f>
        <v>2430</v>
      </c>
      <c r="M1012" s="2" t="s">
        <v>102</v>
      </c>
      <c r="N1012" s="2" t="s">
        <v>266</v>
      </c>
      <c r="O1012" s="2">
        <v>2025</v>
      </c>
      <c r="P1012" s="2" t="str">
        <v>September</v>
      </c>
      <c r="Q1012" s="2" t="s">
        <v>47</v>
      </c>
    </row>
    <row r="1013" spans="1:17" x14ac:dyDescent="0.25">
      <c r="A1013" s="2" t="s">
        <v>2105</v>
      </c>
      <c r="B1013" s="7">
        <v>45837</v>
      </c>
      <c r="C1013" s="5" t="s">
        <v>238</v>
      </c>
      <c r="D1013" s="5" t="s">
        <v>51</v>
      </c>
      <c r="E1013" s="5" t="s">
        <v>179</v>
      </c>
      <c r="F1013" s="2" t="s">
        <v>543</v>
      </c>
      <c r="G1013" s="2">
        <v>2</v>
      </c>
      <c r="H1013" s="25">
        <v>8840</v>
      </c>
      <c r="I1013" s="8">
        <v>10</v>
      </c>
      <c r="J1013" s="25">
        <v>15912</v>
      </c>
      <c r="K1013" s="25">
        <f>G1013*H1013</f>
        <v>17680</v>
      </c>
      <c r="L1013" s="8">
        <f>K1013*I1013/100</f>
        <v>1768</v>
      </c>
      <c r="M1013" s="2" t="s">
        <v>53</v>
      </c>
      <c r="N1013" s="2" t="s">
        <v>37</v>
      </c>
      <c r="O1013" s="2">
        <v>2025</v>
      </c>
      <c r="P1013" s="2" t="str">
        <v>June</v>
      </c>
      <c r="Q1013" s="2" t="s">
        <v>21</v>
      </c>
    </row>
    <row r="1014" spans="1:17" x14ac:dyDescent="0.25">
      <c r="A1014" s="2" t="s">
        <v>2107</v>
      </c>
      <c r="B1014" s="7">
        <v>45818</v>
      </c>
      <c r="C1014" s="5" t="s">
        <v>76</v>
      </c>
      <c r="D1014" s="5" t="s">
        <v>33</v>
      </c>
      <c r="E1014" s="5" t="s">
        <v>179</v>
      </c>
      <c r="F1014" s="2" t="s">
        <v>224</v>
      </c>
      <c r="G1014" s="2">
        <v>12</v>
      </c>
      <c r="H1014" s="25">
        <v>510</v>
      </c>
      <c r="I1014" s="8">
        <v>0</v>
      </c>
      <c r="J1014" s="25">
        <v>6120</v>
      </c>
      <c r="K1014" s="25">
        <f>G1014*H1014</f>
        <v>6120</v>
      </c>
      <c r="L1014" s="8">
        <f>K1014*I1014/100</f>
        <v>0</v>
      </c>
      <c r="M1014" s="2" t="s">
        <v>102</v>
      </c>
      <c r="N1014" s="2" t="s">
        <v>411</v>
      </c>
      <c r="O1014" s="2">
        <v>2025</v>
      </c>
      <c r="P1014" s="2" t="str">
        <v>June</v>
      </c>
      <c r="Q1014" s="2" t="s">
        <v>21</v>
      </c>
    </row>
    <row r="1015" spans="1:17" x14ac:dyDescent="0.25">
      <c r="A1015" s="2" t="s">
        <v>2109</v>
      </c>
      <c r="B1015" s="7">
        <v>45739</v>
      </c>
      <c r="C1015" s="5" t="s">
        <v>238</v>
      </c>
      <c r="D1015" s="5" t="s">
        <v>51</v>
      </c>
      <c r="E1015" s="5" t="s">
        <v>179</v>
      </c>
      <c r="F1015" s="2" t="s">
        <v>184</v>
      </c>
      <c r="G1015" s="2">
        <v>7</v>
      </c>
      <c r="H1015" s="25">
        <v>5190</v>
      </c>
      <c r="I1015" s="8">
        <v>0</v>
      </c>
      <c r="J1015" s="25">
        <v>36330</v>
      </c>
      <c r="K1015" s="25">
        <f>G1015*H1015</f>
        <v>36330</v>
      </c>
      <c r="L1015" s="8">
        <f>K1015*I1015/100</f>
        <v>0</v>
      </c>
      <c r="M1015" s="2" t="s">
        <v>139</v>
      </c>
      <c r="N1015" s="2" t="s">
        <v>411</v>
      </c>
      <c r="O1015" s="2">
        <v>2025</v>
      </c>
      <c r="P1015" s="2" t="str">
        <v>March</v>
      </c>
      <c r="Q1015" s="2" t="s">
        <v>21</v>
      </c>
    </row>
    <row r="1016" spans="1:17" x14ac:dyDescent="0.25">
      <c r="A1016" s="2" t="s">
        <v>2111</v>
      </c>
      <c r="B1016" s="7">
        <v>46020</v>
      </c>
      <c r="C1016" s="5" t="s">
        <v>135</v>
      </c>
      <c r="D1016" s="5" t="s">
        <v>33</v>
      </c>
      <c r="E1016" s="5" t="s">
        <v>34</v>
      </c>
      <c r="F1016" s="2" t="s">
        <v>35</v>
      </c>
      <c r="G1016" s="2">
        <v>4</v>
      </c>
      <c r="H1016" s="25">
        <v>8920</v>
      </c>
      <c r="I1016" s="8">
        <v>0</v>
      </c>
      <c r="J1016" s="25">
        <v>35680</v>
      </c>
      <c r="K1016" s="25">
        <f>G1016*H1016</f>
        <v>35680</v>
      </c>
      <c r="L1016" s="8">
        <f>K1016*I1016/100</f>
        <v>0</v>
      </c>
      <c r="M1016" s="2" t="s">
        <v>53</v>
      </c>
      <c r="N1016" s="2" t="s">
        <v>168</v>
      </c>
      <c r="O1016" s="2">
        <v>2025</v>
      </c>
      <c r="P1016" s="2" t="str">
        <v>December</v>
      </c>
      <c r="Q1016" s="2" t="s">
        <v>21</v>
      </c>
    </row>
    <row r="1017" spans="1:17" x14ac:dyDescent="0.25">
      <c r="A1017" s="2" t="s">
        <v>2113</v>
      </c>
      <c r="B1017" s="7">
        <v>45696</v>
      </c>
      <c r="C1017" s="5" t="s">
        <v>135</v>
      </c>
      <c r="D1017" s="5" t="s">
        <v>33</v>
      </c>
      <c r="E1017" s="5" t="s">
        <v>295</v>
      </c>
      <c r="F1017" s="2" t="s">
        <v>126</v>
      </c>
      <c r="G1017" s="2">
        <v>7</v>
      </c>
      <c r="H1017" s="25">
        <v>1330</v>
      </c>
      <c r="I1017" s="8">
        <v>5</v>
      </c>
      <c r="J1017" s="25">
        <v>8844.5</v>
      </c>
      <c r="K1017" s="25">
        <f>G1017*H1017</f>
        <v>9310</v>
      </c>
      <c r="L1017" s="8">
        <f>K1017*I1017/100</f>
        <v>465.5</v>
      </c>
      <c r="M1017" s="2" t="s">
        <v>102</v>
      </c>
      <c r="N1017" s="2" t="s">
        <v>73</v>
      </c>
      <c r="O1017" s="2">
        <v>2025</v>
      </c>
      <c r="P1017" s="2" t="str">
        <v>February</v>
      </c>
      <c r="Q1017" s="2" t="s">
        <v>21</v>
      </c>
    </row>
    <row r="1018" spans="1:17" x14ac:dyDescent="0.25">
      <c r="A1018" s="2" t="s">
        <v>2114</v>
      </c>
      <c r="B1018" s="7">
        <v>45999</v>
      </c>
      <c r="C1018" s="5" t="s">
        <v>76</v>
      </c>
      <c r="D1018" s="5" t="s">
        <v>33</v>
      </c>
      <c r="E1018" s="5" t="s">
        <v>179</v>
      </c>
      <c r="F1018" s="2" t="s">
        <v>239</v>
      </c>
      <c r="G1018" s="2">
        <v>7</v>
      </c>
      <c r="H1018" s="25">
        <v>6850</v>
      </c>
      <c r="I1018" s="8">
        <v>0</v>
      </c>
      <c r="J1018" s="25">
        <v>47950</v>
      </c>
      <c r="K1018" s="25">
        <f>G1018*H1018</f>
        <v>47950</v>
      </c>
      <c r="L1018" s="8">
        <f>K1018*I1018/100</f>
        <v>0</v>
      </c>
      <c r="M1018" s="2" t="s">
        <v>94</v>
      </c>
      <c r="N1018" s="2" t="s">
        <v>341</v>
      </c>
      <c r="O1018" s="2">
        <v>2025</v>
      </c>
      <c r="P1018" s="2" t="str">
        <v>December</v>
      </c>
      <c r="Q1018" s="2" t="s">
        <v>47</v>
      </c>
    </row>
    <row r="1019" spans="1:17" x14ac:dyDescent="0.25">
      <c r="A1019" s="2" t="s">
        <v>2115</v>
      </c>
      <c r="B1019" s="7">
        <v>45786</v>
      </c>
      <c r="C1019" s="5" t="s">
        <v>76</v>
      </c>
      <c r="D1019" s="5" t="s">
        <v>33</v>
      </c>
      <c r="E1019" s="5" t="s">
        <v>25</v>
      </c>
      <c r="F1019" s="2" t="s">
        <v>44</v>
      </c>
      <c r="G1019" s="2">
        <v>3</v>
      </c>
      <c r="H1019" s="25">
        <v>1240</v>
      </c>
      <c r="I1019" s="8">
        <v>5</v>
      </c>
      <c r="J1019" s="25">
        <v>3534</v>
      </c>
      <c r="K1019" s="25">
        <f>G1019*H1019</f>
        <v>3720</v>
      </c>
      <c r="L1019" s="8">
        <f>K1019*I1019/100</f>
        <v>186</v>
      </c>
      <c r="M1019" s="2" t="s">
        <v>139</v>
      </c>
      <c r="N1019" s="2" t="s">
        <v>176</v>
      </c>
      <c r="O1019" s="2">
        <v>2025</v>
      </c>
      <c r="P1019" s="2" t="str">
        <v>May</v>
      </c>
      <c r="Q1019" s="2" t="s">
        <v>47</v>
      </c>
    </row>
    <row r="1020" spans="1:17" x14ac:dyDescent="0.25">
      <c r="A1020" s="2" t="s">
        <v>2117</v>
      </c>
      <c r="B1020" s="7">
        <v>45803</v>
      </c>
      <c r="C1020" s="5" t="s">
        <v>41</v>
      </c>
      <c r="D1020" s="5" t="s">
        <v>42</v>
      </c>
      <c r="E1020" s="5" t="s">
        <v>34</v>
      </c>
      <c r="F1020" s="2" t="s">
        <v>374</v>
      </c>
      <c r="G1020" s="2">
        <v>9</v>
      </c>
      <c r="H1020" s="25">
        <v>7930</v>
      </c>
      <c r="I1020" s="8">
        <v>5</v>
      </c>
      <c r="J1020" s="25">
        <v>67801.5</v>
      </c>
      <c r="K1020" s="25">
        <f>G1020*H1020</f>
        <v>71370</v>
      </c>
      <c r="L1020" s="8">
        <f>K1020*I1020/100</f>
        <v>3568.5</v>
      </c>
      <c r="M1020" s="2" t="s">
        <v>139</v>
      </c>
      <c r="N1020" s="2" t="s">
        <v>883</v>
      </c>
      <c r="O1020" s="2">
        <v>2025</v>
      </c>
      <c r="P1020" s="2" t="str">
        <v>May</v>
      </c>
      <c r="Q1020" s="2" t="s">
        <v>47</v>
      </c>
    </row>
    <row r="1021" spans="1:17" x14ac:dyDescent="0.25">
      <c r="A1021" s="2" t="s">
        <v>2118</v>
      </c>
      <c r="B1021" s="7">
        <v>45920</v>
      </c>
      <c r="C1021" s="5" t="s">
        <v>24</v>
      </c>
      <c r="D1021" s="5" t="s">
        <v>16</v>
      </c>
      <c r="E1021" s="5" t="s">
        <v>295</v>
      </c>
      <c r="F1021" s="2" t="s">
        <v>66</v>
      </c>
      <c r="G1021" s="2">
        <v>3</v>
      </c>
      <c r="H1021" s="25">
        <v>2280</v>
      </c>
      <c r="I1021" s="8">
        <v>5</v>
      </c>
      <c r="J1021" s="25">
        <v>6498</v>
      </c>
      <c r="K1021" s="25">
        <f>G1021*H1021</f>
        <v>6840</v>
      </c>
      <c r="L1021" s="8">
        <f>K1021*I1021/100</f>
        <v>342</v>
      </c>
      <c r="M1021" s="2" t="s">
        <v>139</v>
      </c>
      <c r="N1021" s="2" t="s">
        <v>79</v>
      </c>
      <c r="O1021" s="2">
        <v>2025</v>
      </c>
      <c r="P1021" s="2" t="str">
        <v>September</v>
      </c>
      <c r="Q1021" s="2" t="s">
        <v>47</v>
      </c>
    </row>
    <row r="1022" spans="1:17" x14ac:dyDescent="0.25">
      <c r="A1022" s="2" t="s">
        <v>2120</v>
      </c>
      <c r="B1022" s="7">
        <v>45938</v>
      </c>
      <c r="C1022" s="5" t="s">
        <v>135</v>
      </c>
      <c r="D1022" s="5" t="s">
        <v>58</v>
      </c>
      <c r="E1022" s="5" t="s">
        <v>148</v>
      </c>
      <c r="F1022" s="2" t="s">
        <v>209</v>
      </c>
      <c r="G1022" s="2">
        <v>5</v>
      </c>
      <c r="H1022" s="25">
        <v>5280</v>
      </c>
      <c r="I1022" s="8">
        <v>0</v>
      </c>
      <c r="J1022" s="25">
        <v>26400</v>
      </c>
      <c r="K1022" s="25">
        <f>G1022*H1022</f>
        <v>26400</v>
      </c>
      <c r="L1022" s="8">
        <f>K1022*I1022/100</f>
        <v>0</v>
      </c>
      <c r="M1022" s="2" t="s">
        <v>139</v>
      </c>
      <c r="N1022" s="2" t="s">
        <v>341</v>
      </c>
      <c r="O1022" s="2">
        <v>2025</v>
      </c>
      <c r="P1022" s="2" t="str">
        <v>October</v>
      </c>
      <c r="Q1022" s="2" t="s">
        <v>47</v>
      </c>
    </row>
    <row r="1023" spans="1:17" x14ac:dyDescent="0.25">
      <c r="A1023" s="2" t="s">
        <v>2121</v>
      </c>
      <c r="B1023" s="7">
        <v>45775</v>
      </c>
      <c r="C1023" s="5" t="s">
        <v>32</v>
      </c>
      <c r="D1023" s="5" t="s">
        <v>33</v>
      </c>
      <c r="E1023" s="5" t="s">
        <v>34</v>
      </c>
      <c r="F1023" s="2" t="s">
        <v>164</v>
      </c>
      <c r="G1023" s="2">
        <v>1</v>
      </c>
      <c r="H1023" s="25">
        <v>18090</v>
      </c>
      <c r="I1023" s="8">
        <v>0</v>
      </c>
      <c r="J1023" s="25">
        <v>18090</v>
      </c>
      <c r="K1023" s="25">
        <f>G1023*H1023</f>
        <v>18090</v>
      </c>
      <c r="L1023" s="8">
        <f>K1023*I1023/100</f>
        <v>0</v>
      </c>
      <c r="M1023" s="2" t="s">
        <v>102</v>
      </c>
      <c r="N1023" s="2" t="s">
        <v>341</v>
      </c>
      <c r="O1023" s="2">
        <v>2025</v>
      </c>
      <c r="P1023" s="2" t="str">
        <v>April</v>
      </c>
      <c r="Q1023" s="2" t="s">
        <v>47</v>
      </c>
    </row>
    <row r="1024" spans="1:17" x14ac:dyDescent="0.25">
      <c r="A1024" s="2" t="s">
        <v>2123</v>
      </c>
      <c r="B1024" s="7">
        <v>45692</v>
      </c>
      <c r="C1024" s="5" t="s">
        <v>135</v>
      </c>
      <c r="D1024" s="5" t="s">
        <v>58</v>
      </c>
      <c r="E1024" s="5" t="s">
        <v>25</v>
      </c>
      <c r="F1024" s="2" t="s">
        <v>26</v>
      </c>
      <c r="G1024" s="2">
        <v>3</v>
      </c>
      <c r="H1024" s="25">
        <v>43370</v>
      </c>
      <c r="I1024" s="8">
        <v>0</v>
      </c>
      <c r="J1024" s="25">
        <v>130110</v>
      </c>
      <c r="K1024" s="25">
        <f>G1024*H1024</f>
        <v>130110</v>
      </c>
      <c r="L1024" s="8">
        <f>K1024*I1024/100</f>
        <v>0</v>
      </c>
      <c r="M1024" s="2" t="s">
        <v>53</v>
      </c>
      <c r="N1024" s="2" t="s">
        <v>411</v>
      </c>
      <c r="O1024" s="2">
        <v>2025</v>
      </c>
      <c r="P1024" s="2" t="str">
        <v>February</v>
      </c>
      <c r="Q1024" s="2" t="s">
        <v>47</v>
      </c>
    </row>
    <row r="1025" spans="1:17" x14ac:dyDescent="0.25">
      <c r="A1025" s="2" t="s">
        <v>2124</v>
      </c>
      <c r="B1025" s="7">
        <v>45788</v>
      </c>
      <c r="C1025" s="5" t="s">
        <v>156</v>
      </c>
      <c r="D1025" s="5" t="s">
        <v>51</v>
      </c>
      <c r="E1025" s="5" t="s">
        <v>148</v>
      </c>
      <c r="F1025" s="2" t="s">
        <v>379</v>
      </c>
      <c r="G1025" s="2">
        <v>12</v>
      </c>
      <c r="H1025" s="25">
        <v>530</v>
      </c>
      <c r="I1025" s="8">
        <v>10</v>
      </c>
      <c r="J1025" s="25">
        <v>5724</v>
      </c>
      <c r="K1025" s="25">
        <f>G1025*H1025</f>
        <v>6360</v>
      </c>
      <c r="L1025" s="8">
        <f>K1025*I1025/100</f>
        <v>636</v>
      </c>
      <c r="M1025" s="2" t="s">
        <v>102</v>
      </c>
      <c r="N1025" s="2" t="s">
        <v>54</v>
      </c>
      <c r="O1025" s="2">
        <v>2025</v>
      </c>
      <c r="P1025" s="2" t="str">
        <v>May</v>
      </c>
      <c r="Q1025" s="2" t="s">
        <v>21</v>
      </c>
    </row>
    <row r="1026" spans="1:17" x14ac:dyDescent="0.25">
      <c r="A1026" s="2" t="s">
        <v>2126</v>
      </c>
      <c r="B1026" s="7">
        <v>45736</v>
      </c>
      <c r="C1026" s="5" t="s">
        <v>24</v>
      </c>
      <c r="D1026" s="5" t="s">
        <v>16</v>
      </c>
      <c r="E1026" s="5" t="s">
        <v>25</v>
      </c>
      <c r="F1026" s="2" t="s">
        <v>26</v>
      </c>
      <c r="G1026" s="2">
        <v>6</v>
      </c>
      <c r="H1026" s="25">
        <v>8890</v>
      </c>
      <c r="I1026" s="8">
        <v>0</v>
      </c>
      <c r="J1026" s="25">
        <v>53340</v>
      </c>
      <c r="K1026" s="25">
        <f>G1026*H1026</f>
        <v>53340</v>
      </c>
      <c r="L1026" s="8">
        <f>K1026*I1026/100</f>
        <v>0</v>
      </c>
      <c r="M1026" s="2" t="s">
        <v>102</v>
      </c>
      <c r="N1026" s="2" t="s">
        <v>73</v>
      </c>
      <c r="O1026" s="2">
        <v>2025</v>
      </c>
      <c r="P1026" s="2" t="str">
        <v>March</v>
      </c>
      <c r="Q1026" s="2" t="s">
        <v>47</v>
      </c>
    </row>
    <row r="1027" spans="1:17" x14ac:dyDescent="0.25">
      <c r="A1027" s="2" t="s">
        <v>2128</v>
      </c>
      <c r="B1027" s="7">
        <v>45972</v>
      </c>
      <c r="C1027" s="5" t="s">
        <v>238</v>
      </c>
      <c r="D1027" s="5" t="s">
        <v>51</v>
      </c>
      <c r="E1027" s="5" t="s">
        <v>34</v>
      </c>
      <c r="F1027" s="2" t="s">
        <v>290</v>
      </c>
      <c r="G1027" s="2">
        <v>12</v>
      </c>
      <c r="H1027" s="25">
        <v>25690</v>
      </c>
      <c r="I1027" s="8">
        <v>5</v>
      </c>
      <c r="J1027" s="25">
        <v>292866</v>
      </c>
      <c r="K1027" s="25">
        <f>G1027*H1027</f>
        <v>308280</v>
      </c>
      <c r="L1027" s="8">
        <f>K1027*I1027/100</f>
        <v>15414</v>
      </c>
      <c r="M1027" s="2" t="s">
        <v>139</v>
      </c>
      <c r="N1027" s="2" t="s">
        <v>176</v>
      </c>
      <c r="O1027" s="2">
        <v>2025</v>
      </c>
      <c r="P1027" s="2" t="str">
        <v>November</v>
      </c>
      <c r="Q1027" s="2" t="s">
        <v>21</v>
      </c>
    </row>
    <row r="1028" spans="1:17" x14ac:dyDescent="0.25">
      <c r="A1028" s="2" t="s">
        <v>2130</v>
      </c>
      <c r="B1028" s="7">
        <v>45801</v>
      </c>
      <c r="C1028" s="5" t="s">
        <v>238</v>
      </c>
      <c r="D1028" s="5" t="s">
        <v>51</v>
      </c>
      <c r="E1028" s="5" t="s">
        <v>34</v>
      </c>
      <c r="F1028" s="2" t="s">
        <v>290</v>
      </c>
      <c r="G1028" s="2">
        <v>6</v>
      </c>
      <c r="H1028" s="25">
        <v>4010</v>
      </c>
      <c r="I1028" s="8">
        <v>0</v>
      </c>
      <c r="J1028" s="25">
        <v>24060</v>
      </c>
      <c r="K1028" s="25">
        <f>G1028*H1028</f>
        <v>24060</v>
      </c>
      <c r="L1028" s="8">
        <f>K1028*I1028/100</f>
        <v>0</v>
      </c>
      <c r="M1028" s="2" t="s">
        <v>102</v>
      </c>
      <c r="N1028" s="2" t="s">
        <v>176</v>
      </c>
      <c r="O1028" s="2">
        <v>2025</v>
      </c>
      <c r="P1028" s="2" t="str">
        <v>May</v>
      </c>
      <c r="Q1028" s="2" t="s">
        <v>21</v>
      </c>
    </row>
    <row r="1029" spans="1:17" x14ac:dyDescent="0.25">
      <c r="A1029" s="2" t="s">
        <v>2131</v>
      </c>
      <c r="B1029" s="7">
        <v>45754</v>
      </c>
      <c r="C1029" s="5" t="s">
        <v>135</v>
      </c>
      <c r="D1029" s="5" t="s">
        <v>58</v>
      </c>
      <c r="E1029" s="5" t="s">
        <v>25</v>
      </c>
      <c r="F1029" s="2" t="s">
        <v>115</v>
      </c>
      <c r="G1029" s="2">
        <v>2</v>
      </c>
      <c r="H1029" s="25">
        <v>10260</v>
      </c>
      <c r="I1029" s="8">
        <v>15</v>
      </c>
      <c r="J1029" s="25">
        <v>17442</v>
      </c>
      <c r="K1029" s="25">
        <f>G1029*H1029</f>
        <v>20520</v>
      </c>
      <c r="L1029" s="8">
        <f>K1029*I1029/100</f>
        <v>3078</v>
      </c>
      <c r="M1029" s="2" t="s">
        <v>53</v>
      </c>
      <c r="N1029" s="2" t="s">
        <v>411</v>
      </c>
      <c r="O1029" s="2">
        <v>2025</v>
      </c>
      <c r="P1029" s="2" t="str">
        <v>April</v>
      </c>
      <c r="Q1029" s="2" t="s">
        <v>47</v>
      </c>
    </row>
    <row r="1030" spans="1:17" x14ac:dyDescent="0.25">
      <c r="A1030" s="2" t="s">
        <v>2132</v>
      </c>
      <c r="B1030" s="7">
        <v>45671</v>
      </c>
      <c r="C1030" s="5" t="s">
        <v>24</v>
      </c>
      <c r="D1030" s="5" t="s">
        <v>16</v>
      </c>
      <c r="E1030" s="5" t="s">
        <v>34</v>
      </c>
      <c r="F1030" s="2" t="s">
        <v>18</v>
      </c>
      <c r="G1030" s="2">
        <v>10</v>
      </c>
      <c r="H1030" s="25">
        <v>62800</v>
      </c>
      <c r="I1030" s="8">
        <v>0</v>
      </c>
      <c r="J1030" s="25">
        <v>628000</v>
      </c>
      <c r="K1030" s="25">
        <f>G1030*H1030</f>
        <v>628000</v>
      </c>
      <c r="L1030" s="8">
        <f>K1030*I1030/100</f>
        <v>0</v>
      </c>
      <c r="M1030" s="2" t="s">
        <v>102</v>
      </c>
      <c r="N1030" s="2" t="s">
        <v>411</v>
      </c>
      <c r="O1030" s="2">
        <v>2025</v>
      </c>
      <c r="P1030" s="2" t="str">
        <v>January</v>
      </c>
      <c r="Q1030" s="2" t="s">
        <v>21</v>
      </c>
    </row>
    <row r="1031" spans="1:17" x14ac:dyDescent="0.25">
      <c r="A1031" s="2" t="s">
        <v>2134</v>
      </c>
      <c r="B1031" s="7">
        <v>45842</v>
      </c>
      <c r="C1031" s="5" t="s">
        <v>41</v>
      </c>
      <c r="D1031" s="2" t="s">
        <v>42</v>
      </c>
      <c r="E1031" s="2" t="s">
        <v>179</v>
      </c>
      <c r="F1031" s="2" t="s">
        <v>184</v>
      </c>
      <c r="G1031" s="2">
        <v>10</v>
      </c>
      <c r="H1031" s="25">
        <v>1180</v>
      </c>
      <c r="I1031" s="8">
        <v>5</v>
      </c>
      <c r="J1031" s="25">
        <v>11210</v>
      </c>
      <c r="K1031" s="25">
        <f>G1031*H1031</f>
        <v>11800</v>
      </c>
      <c r="L1031" s="8">
        <f>K1031*I1031/100</f>
        <v>590</v>
      </c>
      <c r="M1031" s="2" t="s">
        <v>102</v>
      </c>
      <c r="N1031" s="2" t="s">
        <v>54</v>
      </c>
      <c r="O1031" s="2">
        <v>2025</v>
      </c>
      <c r="P1031" s="2" t="str">
        <v>July</v>
      </c>
      <c r="Q1031" s="2" t="s">
        <v>21</v>
      </c>
    </row>
    <row r="1032" spans="1:17" x14ac:dyDescent="0.25">
      <c r="A1032" s="2" t="s">
        <v>2136</v>
      </c>
      <c r="B1032" s="7">
        <v>45905</v>
      </c>
      <c r="C1032" s="5" t="s">
        <v>156</v>
      </c>
      <c r="D1032" s="5" t="s">
        <v>51</v>
      </c>
      <c r="E1032" s="5" t="s">
        <v>295</v>
      </c>
      <c r="F1032" s="2" t="s">
        <v>314</v>
      </c>
      <c r="G1032" s="2">
        <v>1</v>
      </c>
      <c r="H1032" s="25">
        <v>7990</v>
      </c>
      <c r="I1032" s="8">
        <v>0</v>
      </c>
      <c r="J1032" s="25">
        <v>7990</v>
      </c>
      <c r="K1032" s="25">
        <f>G1032*H1032</f>
        <v>7990</v>
      </c>
      <c r="L1032" s="8">
        <f>K1032*I1032/100</f>
        <v>0</v>
      </c>
      <c r="M1032" s="2" t="s">
        <v>139</v>
      </c>
      <c r="N1032" s="2" t="s">
        <v>37</v>
      </c>
      <c r="O1032" s="2">
        <v>2025</v>
      </c>
      <c r="P1032" s="2" t="str">
        <v>September</v>
      </c>
      <c r="Q1032" s="2" t="s">
        <v>47</v>
      </c>
    </row>
    <row r="1033" spans="1:17" x14ac:dyDescent="0.25">
      <c r="A1033" s="2" t="s">
        <v>2138</v>
      </c>
      <c r="B1033" s="7">
        <v>45718</v>
      </c>
      <c r="C1033" s="5" t="s">
        <v>24</v>
      </c>
      <c r="D1033" s="5" t="s">
        <v>16</v>
      </c>
      <c r="E1033" s="5" t="s">
        <v>34</v>
      </c>
      <c r="F1033" s="2" t="s">
        <v>199</v>
      </c>
      <c r="G1033" s="2">
        <v>6</v>
      </c>
      <c r="H1033" s="25">
        <v>3660</v>
      </c>
      <c r="I1033" s="8">
        <v>15</v>
      </c>
      <c r="J1033" s="25">
        <v>18666</v>
      </c>
      <c r="K1033" s="25">
        <f>G1033*H1033</f>
        <v>21960</v>
      </c>
      <c r="L1033" s="8">
        <f>K1033*I1033/100</f>
        <v>3294</v>
      </c>
      <c r="M1033" s="2" t="s">
        <v>139</v>
      </c>
      <c r="N1033" s="2" t="s">
        <v>54</v>
      </c>
      <c r="O1033" s="2">
        <v>2025</v>
      </c>
      <c r="P1033" s="2" t="str">
        <v>March</v>
      </c>
      <c r="Q1033" s="2" t="s">
        <v>21</v>
      </c>
    </row>
    <row r="1034" spans="1:17" x14ac:dyDescent="0.25">
      <c r="A1034" s="2" t="s">
        <v>2139</v>
      </c>
      <c r="B1034" s="7">
        <v>45877</v>
      </c>
      <c r="C1034" s="5" t="s">
        <v>76</v>
      </c>
      <c r="D1034" s="2" t="s">
        <v>33</v>
      </c>
      <c r="E1034" s="2" t="s">
        <v>179</v>
      </c>
      <c r="F1034" s="2" t="s">
        <v>78</v>
      </c>
      <c r="G1034" s="2">
        <v>11</v>
      </c>
      <c r="H1034" s="25">
        <v>2850</v>
      </c>
      <c r="I1034" s="8">
        <v>0</v>
      </c>
      <c r="J1034" s="25">
        <v>31350</v>
      </c>
      <c r="K1034" s="25">
        <f>G1034*H1034</f>
        <v>31350</v>
      </c>
      <c r="L1034" s="8">
        <f>K1034*I1034/100</f>
        <v>0</v>
      </c>
      <c r="M1034" s="2" t="s">
        <v>139</v>
      </c>
      <c r="N1034" s="2" t="s">
        <v>341</v>
      </c>
      <c r="O1034" s="2">
        <v>2025</v>
      </c>
      <c r="P1034" s="2" t="str">
        <v>August</v>
      </c>
      <c r="Q1034" s="2" t="s">
        <v>47</v>
      </c>
    </row>
    <row r="1035" spans="1:17" x14ac:dyDescent="0.25">
      <c r="A1035" s="2" t="s">
        <v>2140</v>
      </c>
      <c r="B1035" s="7">
        <v>45962</v>
      </c>
      <c r="C1035" s="5" t="s">
        <v>156</v>
      </c>
      <c r="D1035" s="5" t="s">
        <v>51</v>
      </c>
      <c r="E1035" s="5" t="s">
        <v>25</v>
      </c>
      <c r="F1035" s="2" t="s">
        <v>44</v>
      </c>
      <c r="G1035" s="2">
        <v>9</v>
      </c>
      <c r="H1035" s="25">
        <v>65880</v>
      </c>
      <c r="I1035" s="8">
        <v>0</v>
      </c>
      <c r="J1035" s="25">
        <v>592920</v>
      </c>
      <c r="K1035" s="25">
        <f>G1035*H1035</f>
        <v>592920</v>
      </c>
      <c r="L1035" s="8">
        <f>K1035*I1035/100</f>
        <v>0</v>
      </c>
      <c r="M1035" s="2" t="s">
        <v>102</v>
      </c>
      <c r="N1035" s="2" t="s">
        <v>68</v>
      </c>
      <c r="O1035" s="2">
        <v>2025</v>
      </c>
      <c r="P1035" s="2" t="str">
        <v>November</v>
      </c>
      <c r="Q1035" s="2" t="s">
        <v>21</v>
      </c>
    </row>
    <row r="1036" spans="1:17" x14ac:dyDescent="0.25">
      <c r="A1036" s="2" t="s">
        <v>2142</v>
      </c>
      <c r="B1036" s="7">
        <v>45668</v>
      </c>
      <c r="C1036" s="5" t="s">
        <v>32</v>
      </c>
      <c r="D1036" s="5" t="s">
        <v>33</v>
      </c>
      <c r="E1036" s="5" t="s">
        <v>25</v>
      </c>
      <c r="F1036" s="2" t="s">
        <v>26</v>
      </c>
      <c r="G1036" s="2">
        <v>5</v>
      </c>
      <c r="H1036" s="25">
        <v>2250</v>
      </c>
      <c r="I1036" s="8">
        <v>0</v>
      </c>
      <c r="J1036" s="25">
        <v>11250</v>
      </c>
      <c r="K1036" s="25">
        <f>G1036*H1036</f>
        <v>11250</v>
      </c>
      <c r="L1036" s="8">
        <f>K1036*I1036/100</f>
        <v>0</v>
      </c>
      <c r="M1036" s="2" t="s">
        <v>53</v>
      </c>
      <c r="N1036" s="2" t="s">
        <v>79</v>
      </c>
      <c r="O1036" s="2">
        <v>2025</v>
      </c>
      <c r="P1036" s="2" t="str">
        <v>January</v>
      </c>
      <c r="Q1036" s="2" t="s">
        <v>47</v>
      </c>
    </row>
    <row r="1037" spans="1:17" x14ac:dyDescent="0.25">
      <c r="A1037" s="2" t="s">
        <v>2143</v>
      </c>
      <c r="B1037" s="7">
        <v>45913</v>
      </c>
      <c r="C1037" s="5" t="s">
        <v>32</v>
      </c>
      <c r="D1037" s="5" t="s">
        <v>33</v>
      </c>
      <c r="E1037" s="5" t="s">
        <v>295</v>
      </c>
      <c r="F1037" s="2" t="s">
        <v>296</v>
      </c>
      <c r="G1037" s="2">
        <v>8</v>
      </c>
      <c r="H1037" s="25">
        <v>1260</v>
      </c>
      <c r="I1037" s="8">
        <v>0</v>
      </c>
      <c r="J1037" s="25">
        <v>10080</v>
      </c>
      <c r="K1037" s="25">
        <f>G1037*H1037</f>
        <v>10080</v>
      </c>
      <c r="L1037" s="8">
        <f>K1037*I1037/100</f>
        <v>0</v>
      </c>
      <c r="M1037" s="2" t="s">
        <v>94</v>
      </c>
      <c r="N1037" s="2" t="s">
        <v>68</v>
      </c>
      <c r="O1037" s="2">
        <v>2025</v>
      </c>
      <c r="P1037" s="2" t="str">
        <v>September</v>
      </c>
      <c r="Q1037" s="2" t="s">
        <v>47</v>
      </c>
    </row>
    <row r="1038" spans="1:17" x14ac:dyDescent="0.25">
      <c r="A1038" s="2" t="s">
        <v>2144</v>
      </c>
      <c r="B1038" s="7">
        <v>45816</v>
      </c>
      <c r="C1038" s="5" t="s">
        <v>135</v>
      </c>
      <c r="D1038" s="5" t="s">
        <v>58</v>
      </c>
      <c r="E1038" s="5" t="s">
        <v>295</v>
      </c>
      <c r="F1038" s="2" t="s">
        <v>296</v>
      </c>
      <c r="G1038" s="2">
        <v>10</v>
      </c>
      <c r="H1038" s="25">
        <v>69090</v>
      </c>
      <c r="I1038" s="8">
        <v>0</v>
      </c>
      <c r="J1038" s="25">
        <v>690900</v>
      </c>
      <c r="K1038" s="25">
        <f>G1038*H1038</f>
        <v>690900</v>
      </c>
      <c r="L1038" s="8">
        <f>K1038*I1038/100</f>
        <v>0</v>
      </c>
      <c r="M1038" s="2" t="s">
        <v>53</v>
      </c>
      <c r="N1038" s="2" t="s">
        <v>176</v>
      </c>
      <c r="O1038" s="2">
        <v>2025</v>
      </c>
      <c r="P1038" s="2" t="str">
        <v>June</v>
      </c>
      <c r="Q1038" s="2" t="s">
        <v>21</v>
      </c>
    </row>
    <row r="1039" spans="1:17" x14ac:dyDescent="0.25">
      <c r="A1039" s="2" t="s">
        <v>2146</v>
      </c>
      <c r="B1039" s="7">
        <v>45887</v>
      </c>
      <c r="C1039" s="5" t="s">
        <v>238</v>
      </c>
      <c r="D1039" s="5" t="s">
        <v>51</v>
      </c>
      <c r="E1039" s="5" t="s">
        <v>179</v>
      </c>
      <c r="F1039" s="2" t="s">
        <v>232</v>
      </c>
      <c r="G1039" s="2">
        <v>3</v>
      </c>
      <c r="H1039" s="25">
        <v>12890</v>
      </c>
      <c r="I1039" s="8">
        <v>0</v>
      </c>
      <c r="J1039" s="25">
        <v>38670</v>
      </c>
      <c r="K1039" s="25">
        <f>G1039*H1039</f>
        <v>38670</v>
      </c>
      <c r="L1039" s="8">
        <f>K1039*I1039/100</f>
        <v>0</v>
      </c>
      <c r="M1039" s="2" t="s">
        <v>139</v>
      </c>
      <c r="N1039" s="2" t="s">
        <v>176</v>
      </c>
      <c r="O1039" s="2">
        <v>2025</v>
      </c>
      <c r="P1039" s="2" t="str">
        <v>August</v>
      </c>
      <c r="Q1039" s="2" t="s">
        <v>47</v>
      </c>
    </row>
    <row r="1040" spans="1:17" x14ac:dyDescent="0.25">
      <c r="A1040" s="2" t="s">
        <v>2147</v>
      </c>
      <c r="B1040" s="7">
        <v>45816</v>
      </c>
      <c r="C1040" s="5" t="s">
        <v>24</v>
      </c>
      <c r="D1040" s="5" t="s">
        <v>16</v>
      </c>
      <c r="E1040" s="5" t="s">
        <v>34</v>
      </c>
      <c r="F1040" s="2" t="s">
        <v>374</v>
      </c>
      <c r="G1040" s="2">
        <v>10</v>
      </c>
      <c r="H1040" s="25">
        <v>8460</v>
      </c>
      <c r="I1040" s="8">
        <v>0</v>
      </c>
      <c r="J1040" s="25">
        <v>84600</v>
      </c>
      <c r="K1040" s="25">
        <f>G1040*H1040</f>
        <v>84600</v>
      </c>
      <c r="L1040" s="8">
        <f>K1040*I1040/100</f>
        <v>0</v>
      </c>
      <c r="M1040" s="2" t="s">
        <v>139</v>
      </c>
      <c r="N1040" s="2" t="s">
        <v>54</v>
      </c>
      <c r="O1040" s="2">
        <v>2025</v>
      </c>
      <c r="P1040" s="2" t="str">
        <v>June</v>
      </c>
      <c r="Q1040" s="2" t="s">
        <v>47</v>
      </c>
    </row>
    <row r="1041" spans="1:17" x14ac:dyDescent="0.25">
      <c r="A1041" s="2" t="s">
        <v>2148</v>
      </c>
      <c r="B1041" s="7">
        <v>45951</v>
      </c>
      <c r="C1041" s="5" t="s">
        <v>135</v>
      </c>
      <c r="D1041" s="5" t="s">
        <v>16</v>
      </c>
      <c r="E1041" s="5" t="s">
        <v>295</v>
      </c>
      <c r="F1041" s="2" t="s">
        <v>132</v>
      </c>
      <c r="G1041" s="2">
        <v>11</v>
      </c>
      <c r="H1041" s="25">
        <v>24510</v>
      </c>
      <c r="I1041" s="8">
        <v>5</v>
      </c>
      <c r="J1041" s="25">
        <v>256129.5</v>
      </c>
      <c r="K1041" s="25">
        <f>G1041*H1041</f>
        <v>269610</v>
      </c>
      <c r="L1041" s="8">
        <f>K1041*I1041/100</f>
        <v>13480.5</v>
      </c>
      <c r="M1041" s="2" t="s">
        <v>102</v>
      </c>
      <c r="N1041" s="2" t="s">
        <v>188</v>
      </c>
      <c r="O1041" s="2">
        <v>2025</v>
      </c>
      <c r="P1041" s="2" t="str">
        <v>October</v>
      </c>
      <c r="Q1041" s="2" t="s">
        <v>21</v>
      </c>
    </row>
    <row r="1042" spans="1:17" x14ac:dyDescent="0.25">
      <c r="A1042" s="2" t="s">
        <v>2150</v>
      </c>
      <c r="B1042" s="7">
        <v>45819</v>
      </c>
      <c r="C1042" s="5" t="s">
        <v>24</v>
      </c>
      <c r="D1042" s="5" t="s">
        <v>16</v>
      </c>
      <c r="E1042" s="5" t="s">
        <v>34</v>
      </c>
      <c r="F1042" s="2" t="s">
        <v>164</v>
      </c>
      <c r="G1042" s="2">
        <v>4</v>
      </c>
      <c r="H1042" s="25">
        <v>4510</v>
      </c>
      <c r="I1042" s="8">
        <v>5</v>
      </c>
      <c r="J1042" s="25">
        <v>17138</v>
      </c>
      <c r="K1042" s="25">
        <f>G1042*H1042</f>
        <v>18040</v>
      </c>
      <c r="L1042" s="8">
        <f>K1042*I1042/100</f>
        <v>902</v>
      </c>
      <c r="M1042" s="2" t="s">
        <v>139</v>
      </c>
      <c r="N1042" s="2" t="s">
        <v>54</v>
      </c>
      <c r="O1042" s="2">
        <v>2025</v>
      </c>
      <c r="P1042" s="2" t="str">
        <v>June</v>
      </c>
      <c r="Q1042" s="2" t="s">
        <v>21</v>
      </c>
    </row>
    <row r="1043" spans="1:17" x14ac:dyDescent="0.25">
      <c r="A1043" s="2" t="s">
        <v>2151</v>
      </c>
      <c r="B1043" s="7">
        <v>45763</v>
      </c>
      <c r="C1043" s="5" t="s">
        <v>135</v>
      </c>
      <c r="D1043" s="5" t="s">
        <v>58</v>
      </c>
      <c r="E1043" s="5" t="s">
        <v>179</v>
      </c>
      <c r="F1043" s="2" t="s">
        <v>232</v>
      </c>
      <c r="G1043" s="2">
        <v>9</v>
      </c>
      <c r="H1043" s="25">
        <v>24560</v>
      </c>
      <c r="I1043" s="8">
        <v>0</v>
      </c>
      <c r="J1043" s="25">
        <v>221040</v>
      </c>
      <c r="K1043" s="25">
        <f>G1043*H1043</f>
        <v>221040</v>
      </c>
      <c r="L1043" s="8">
        <f>K1043*I1043/100</f>
        <v>0</v>
      </c>
      <c r="M1043" s="2" t="s">
        <v>139</v>
      </c>
      <c r="N1043" s="2" t="s">
        <v>411</v>
      </c>
      <c r="O1043" s="2">
        <v>2025</v>
      </c>
      <c r="P1043" s="2" t="str">
        <v>April</v>
      </c>
      <c r="Q1043" s="2" t="s">
        <v>47</v>
      </c>
    </row>
    <row r="1044" spans="1:17" x14ac:dyDescent="0.25">
      <c r="A1044" s="2" t="s">
        <v>2153</v>
      </c>
      <c r="B1044" s="7">
        <v>45946</v>
      </c>
      <c r="C1044" s="5" t="s">
        <v>156</v>
      </c>
      <c r="D1044" s="5" t="s">
        <v>51</v>
      </c>
      <c r="E1044" s="5" t="s">
        <v>25</v>
      </c>
      <c r="F1044" s="2" t="s">
        <v>44</v>
      </c>
      <c r="G1044" s="2">
        <v>9</v>
      </c>
      <c r="H1044" s="25">
        <v>19660</v>
      </c>
      <c r="I1044" s="8">
        <v>0</v>
      </c>
      <c r="J1044" s="25">
        <v>176940</v>
      </c>
      <c r="K1044" s="25">
        <f>G1044*H1044</f>
        <v>176940</v>
      </c>
      <c r="L1044" s="8">
        <f>K1044*I1044/100</f>
        <v>0</v>
      </c>
      <c r="M1044" s="2" t="s">
        <v>102</v>
      </c>
      <c r="N1044" s="2" t="s">
        <v>406</v>
      </c>
      <c r="O1044" s="2">
        <v>2025</v>
      </c>
      <c r="P1044" s="2" t="str">
        <v>October</v>
      </c>
      <c r="Q1044" s="2" t="s">
        <v>21</v>
      </c>
    </row>
    <row r="1045" spans="1:17" x14ac:dyDescent="0.25">
      <c r="A1045" s="2" t="s">
        <v>2155</v>
      </c>
      <c r="B1045" s="7">
        <v>45896</v>
      </c>
      <c r="C1045" s="5" t="s">
        <v>135</v>
      </c>
      <c r="D1045" s="5" t="s">
        <v>58</v>
      </c>
      <c r="E1045" s="5" t="s">
        <v>179</v>
      </c>
      <c r="F1045" s="2" t="s">
        <v>239</v>
      </c>
      <c r="G1045" s="2">
        <v>7</v>
      </c>
      <c r="H1045" s="25">
        <v>4860</v>
      </c>
      <c r="I1045" s="8">
        <v>15</v>
      </c>
      <c r="J1045" s="25">
        <v>28917</v>
      </c>
      <c r="K1045" s="25">
        <f>G1045*H1045</f>
        <v>34020</v>
      </c>
      <c r="L1045" s="8">
        <f>K1045*I1045/100</f>
        <v>5103</v>
      </c>
      <c r="M1045" s="2" t="s">
        <v>139</v>
      </c>
      <c r="N1045" s="2" t="s">
        <v>411</v>
      </c>
      <c r="O1045" s="2">
        <v>2025</v>
      </c>
      <c r="P1045" s="2" t="str">
        <v>August</v>
      </c>
      <c r="Q1045" s="2" t="s">
        <v>21</v>
      </c>
    </row>
    <row r="1046" spans="1:17" x14ac:dyDescent="0.25">
      <c r="A1046" s="2" t="s">
        <v>2157</v>
      </c>
      <c r="B1046" s="7">
        <v>46020</v>
      </c>
      <c r="C1046" s="5" t="s">
        <v>76</v>
      </c>
      <c r="D1046" s="5" t="s">
        <v>33</v>
      </c>
      <c r="E1046" s="5" t="s">
        <v>179</v>
      </c>
      <c r="F1046" s="2" t="s">
        <v>543</v>
      </c>
      <c r="G1046" s="2">
        <v>5</v>
      </c>
      <c r="H1046" s="25">
        <v>3870</v>
      </c>
      <c r="I1046" s="8">
        <v>15</v>
      </c>
      <c r="J1046" s="25">
        <v>16447.5</v>
      </c>
      <c r="K1046" s="25">
        <f>G1046*H1046</f>
        <v>19350</v>
      </c>
      <c r="L1046" s="8">
        <f>K1046*I1046/100</f>
        <v>2902.5</v>
      </c>
      <c r="M1046" s="2" t="s">
        <v>102</v>
      </c>
      <c r="N1046" s="2" t="s">
        <v>46</v>
      </c>
      <c r="O1046" s="2">
        <v>2025</v>
      </c>
      <c r="P1046" s="2" t="str">
        <v>December</v>
      </c>
      <c r="Q1046" s="2" t="s">
        <v>47</v>
      </c>
    </row>
    <row r="1047" spans="1:17" x14ac:dyDescent="0.25">
      <c r="A1047" s="2" t="s">
        <v>2158</v>
      </c>
      <c r="B1047" s="7">
        <v>45763</v>
      </c>
      <c r="C1047" s="5" t="s">
        <v>156</v>
      </c>
      <c r="D1047" s="5" t="s">
        <v>51</v>
      </c>
      <c r="E1047" s="5" t="s">
        <v>179</v>
      </c>
      <c r="F1047" s="2" t="s">
        <v>543</v>
      </c>
      <c r="G1047" s="2">
        <v>6</v>
      </c>
      <c r="H1047" s="25">
        <v>3570</v>
      </c>
      <c r="I1047" s="8">
        <v>0</v>
      </c>
      <c r="J1047" s="25">
        <v>21420</v>
      </c>
      <c r="K1047" s="25">
        <f>G1047*H1047</f>
        <v>21420</v>
      </c>
      <c r="L1047" s="8">
        <f>K1047*I1047/100</f>
        <v>0</v>
      </c>
      <c r="M1047" s="2" t="s">
        <v>102</v>
      </c>
      <c r="N1047" s="2" t="s">
        <v>79</v>
      </c>
      <c r="O1047" s="2">
        <v>2025</v>
      </c>
      <c r="P1047" s="2" t="str">
        <v>April</v>
      </c>
      <c r="Q1047" s="2" t="s">
        <v>47</v>
      </c>
    </row>
    <row r="1048" spans="1:17" x14ac:dyDescent="0.25">
      <c r="A1048" s="2" t="s">
        <v>2160</v>
      </c>
      <c r="B1048" s="7">
        <v>45830</v>
      </c>
      <c r="C1048" s="5" t="s">
        <v>238</v>
      </c>
      <c r="D1048" s="5" t="s">
        <v>51</v>
      </c>
      <c r="E1048" s="5" t="s">
        <v>295</v>
      </c>
      <c r="F1048" s="2" t="s">
        <v>101</v>
      </c>
      <c r="G1048" s="2">
        <v>1</v>
      </c>
      <c r="H1048" s="25">
        <v>5040</v>
      </c>
      <c r="I1048" s="8">
        <v>0</v>
      </c>
      <c r="J1048" s="25">
        <v>5040</v>
      </c>
      <c r="K1048" s="25">
        <f>G1048*H1048</f>
        <v>5040</v>
      </c>
      <c r="L1048" s="8">
        <f>K1048*I1048/100</f>
        <v>0</v>
      </c>
      <c r="M1048" s="2" t="s">
        <v>94</v>
      </c>
      <c r="N1048" s="2" t="s">
        <v>79</v>
      </c>
      <c r="O1048" s="2">
        <v>2025</v>
      </c>
      <c r="P1048" s="2" t="str">
        <v>June</v>
      </c>
      <c r="Q1048" s="2" t="s">
        <v>21</v>
      </c>
    </row>
    <row r="1049" spans="1:17" x14ac:dyDescent="0.25">
      <c r="A1049" s="2" t="s">
        <v>2161</v>
      </c>
      <c r="B1049" s="7">
        <v>46020</v>
      </c>
      <c r="C1049" s="5" t="s">
        <v>76</v>
      </c>
      <c r="D1049" s="5" t="s">
        <v>33</v>
      </c>
      <c r="E1049" s="5" t="s">
        <v>295</v>
      </c>
      <c r="F1049" s="2" t="s">
        <v>314</v>
      </c>
      <c r="G1049" s="2">
        <v>9</v>
      </c>
      <c r="H1049" s="25">
        <v>19930</v>
      </c>
      <c r="I1049" s="8">
        <v>0</v>
      </c>
      <c r="J1049" s="25">
        <v>179370</v>
      </c>
      <c r="K1049" s="25">
        <f>G1049*H1049</f>
        <v>179370</v>
      </c>
      <c r="L1049" s="8">
        <f>K1049*I1049/100</f>
        <v>0</v>
      </c>
      <c r="M1049" s="2" t="s">
        <v>53</v>
      </c>
      <c r="N1049" s="2" t="s">
        <v>406</v>
      </c>
      <c r="O1049" s="2">
        <v>2025</v>
      </c>
      <c r="P1049" s="2" t="str">
        <v>December</v>
      </c>
      <c r="Q1049" s="2" t="s">
        <v>47</v>
      </c>
    </row>
    <row r="1050" spans="1:17" x14ac:dyDescent="0.25">
      <c r="A1050" s="2" t="s">
        <v>2163</v>
      </c>
      <c r="B1050" s="7">
        <v>45917</v>
      </c>
      <c r="C1050" s="5" t="s">
        <v>41</v>
      </c>
      <c r="D1050" s="5" t="s">
        <v>42</v>
      </c>
      <c r="E1050" s="5" t="s">
        <v>25</v>
      </c>
      <c r="F1050" s="2" t="s">
        <v>255</v>
      </c>
      <c r="G1050" s="2">
        <v>10</v>
      </c>
      <c r="H1050" s="25">
        <v>8030</v>
      </c>
      <c r="I1050" s="8">
        <v>0</v>
      </c>
      <c r="J1050" s="25">
        <v>80300</v>
      </c>
      <c r="K1050" s="25">
        <f>G1050*H1050</f>
        <v>80300</v>
      </c>
      <c r="L1050" s="8">
        <f>K1050*I1050/100</f>
        <v>0</v>
      </c>
      <c r="M1050" s="2" t="s">
        <v>94</v>
      </c>
      <c r="N1050" s="2" t="s">
        <v>341</v>
      </c>
      <c r="O1050" s="2">
        <v>2025</v>
      </c>
      <c r="P1050" s="2" t="str">
        <v>September</v>
      </c>
      <c r="Q1050" s="2" t="s">
        <v>21</v>
      </c>
    </row>
    <row r="1051" spans="1:17" x14ac:dyDescent="0.25">
      <c r="A1051" s="2" t="s">
        <v>2164</v>
      </c>
      <c r="B1051" s="7">
        <v>45749</v>
      </c>
      <c r="C1051" s="5" t="s">
        <v>76</v>
      </c>
      <c r="D1051" s="5" t="s">
        <v>33</v>
      </c>
      <c r="E1051" s="5" t="s">
        <v>34</v>
      </c>
      <c r="F1051" s="2" t="s">
        <v>18</v>
      </c>
      <c r="G1051" s="2">
        <v>8</v>
      </c>
      <c r="H1051" s="25">
        <v>3900</v>
      </c>
      <c r="I1051" s="8">
        <v>15</v>
      </c>
      <c r="J1051" s="25">
        <v>26520</v>
      </c>
      <c r="K1051" s="25">
        <f>G1051*H1051</f>
        <v>31200</v>
      </c>
      <c r="L1051" s="8">
        <f>K1051*I1051/100</f>
        <v>4680</v>
      </c>
      <c r="M1051" s="2" t="s">
        <v>94</v>
      </c>
      <c r="N1051" s="2" t="s">
        <v>188</v>
      </c>
      <c r="O1051" s="2">
        <v>2025</v>
      </c>
      <c r="P1051" s="2" t="str">
        <v>April</v>
      </c>
      <c r="Q1051" s="2" t="s">
        <v>47</v>
      </c>
    </row>
    <row r="1052" spans="1:17" x14ac:dyDescent="0.25">
      <c r="A1052" s="2" t="s">
        <v>2165</v>
      </c>
      <c r="B1052" s="7">
        <v>45808</v>
      </c>
      <c r="C1052" s="5" t="s">
        <v>156</v>
      </c>
      <c r="D1052" s="5" t="s">
        <v>51</v>
      </c>
      <c r="E1052" s="5" t="s">
        <v>25</v>
      </c>
      <c r="F1052" s="2" t="s">
        <v>255</v>
      </c>
      <c r="G1052" s="2">
        <v>3</v>
      </c>
      <c r="H1052" s="25">
        <v>3820</v>
      </c>
      <c r="I1052" s="8">
        <v>10</v>
      </c>
      <c r="J1052" s="25">
        <v>10314</v>
      </c>
      <c r="K1052" s="25">
        <f>G1052*H1052</f>
        <v>11460</v>
      </c>
      <c r="L1052" s="8">
        <f>K1052*I1052/100</f>
        <v>1146</v>
      </c>
      <c r="M1052" s="2" t="s">
        <v>102</v>
      </c>
      <c r="N1052" s="2" t="s">
        <v>406</v>
      </c>
      <c r="O1052" s="2">
        <v>2025</v>
      </c>
      <c r="P1052" s="2" t="str">
        <v>May</v>
      </c>
      <c r="Q1052" s="2" t="s">
        <v>21</v>
      </c>
    </row>
    <row r="1053" spans="1:17" x14ac:dyDescent="0.25">
      <c r="A1053" s="2" t="s">
        <v>2166</v>
      </c>
      <c r="B1053" s="7">
        <v>45820</v>
      </c>
      <c r="C1053" s="5" t="s">
        <v>135</v>
      </c>
      <c r="D1053" s="5" t="s">
        <v>58</v>
      </c>
      <c r="E1053" s="5" t="s">
        <v>148</v>
      </c>
      <c r="F1053" s="2" t="s">
        <v>83</v>
      </c>
      <c r="G1053" s="2">
        <v>10</v>
      </c>
      <c r="H1053" s="25">
        <v>6770</v>
      </c>
      <c r="I1053" s="8">
        <v>0</v>
      </c>
      <c r="J1053" s="25">
        <v>67700</v>
      </c>
      <c r="K1053" s="25">
        <f>G1053*H1053</f>
        <v>67700</v>
      </c>
      <c r="L1053" s="8">
        <f>K1053*I1053/100</f>
        <v>0</v>
      </c>
      <c r="M1053" s="2" t="s">
        <v>53</v>
      </c>
      <c r="N1053" s="2" t="s">
        <v>176</v>
      </c>
      <c r="O1053" s="2">
        <v>2025</v>
      </c>
      <c r="P1053" s="2" t="str">
        <v>June</v>
      </c>
      <c r="Q1053" s="2" t="s">
        <v>47</v>
      </c>
    </row>
    <row r="1054" spans="1:17" x14ac:dyDescent="0.25">
      <c r="A1054" s="2" t="s">
        <v>2168</v>
      </c>
      <c r="B1054" s="7">
        <v>45880</v>
      </c>
      <c r="C1054" s="5" t="s">
        <v>24</v>
      </c>
      <c r="D1054" s="5" t="s">
        <v>16</v>
      </c>
      <c r="E1054" s="5" t="s">
        <v>34</v>
      </c>
      <c r="F1054" s="2" t="s">
        <v>199</v>
      </c>
      <c r="G1054" s="2">
        <v>7</v>
      </c>
      <c r="H1054" s="25">
        <v>9820</v>
      </c>
      <c r="I1054" s="8">
        <v>15</v>
      </c>
      <c r="J1054" s="25">
        <v>58429</v>
      </c>
      <c r="K1054" s="25">
        <f>G1054*H1054</f>
        <v>68740</v>
      </c>
      <c r="L1054" s="8">
        <f>K1054*I1054/100</f>
        <v>10311</v>
      </c>
      <c r="M1054" s="2" t="s">
        <v>53</v>
      </c>
      <c r="N1054" s="2" t="s">
        <v>168</v>
      </c>
      <c r="O1054" s="2">
        <v>2025</v>
      </c>
      <c r="P1054" s="2" t="str">
        <v>August</v>
      </c>
      <c r="Q1054" s="2" t="s">
        <v>47</v>
      </c>
    </row>
    <row r="1055" spans="1:17" x14ac:dyDescent="0.25">
      <c r="A1055" s="2" t="s">
        <v>2169</v>
      </c>
      <c r="B1055" s="7">
        <v>45711</v>
      </c>
      <c r="C1055" s="5" t="s">
        <v>41</v>
      </c>
      <c r="D1055" s="5" t="s">
        <v>42</v>
      </c>
      <c r="E1055" s="5" t="s">
        <v>25</v>
      </c>
      <c r="F1055" s="2" t="s">
        <v>115</v>
      </c>
      <c r="G1055" s="2">
        <v>1</v>
      </c>
      <c r="H1055" s="25">
        <v>71850</v>
      </c>
      <c r="I1055" s="8">
        <v>0</v>
      </c>
      <c r="J1055" s="25">
        <v>71850</v>
      </c>
      <c r="K1055" s="25">
        <f>G1055*H1055</f>
        <v>71850</v>
      </c>
      <c r="L1055" s="8">
        <f>K1055*I1055/100</f>
        <v>0</v>
      </c>
      <c r="M1055" s="2" t="s">
        <v>139</v>
      </c>
      <c r="N1055" s="2" t="s">
        <v>883</v>
      </c>
      <c r="O1055" s="2">
        <v>2025</v>
      </c>
      <c r="P1055" s="2" t="str">
        <v>February</v>
      </c>
      <c r="Q1055" s="2" t="s">
        <v>21</v>
      </c>
    </row>
    <row r="1056" spans="1:17" x14ac:dyDescent="0.25">
      <c r="A1056" s="2" t="s">
        <v>2171</v>
      </c>
      <c r="B1056" s="7">
        <v>45871</v>
      </c>
      <c r="C1056" s="5" t="s">
        <v>24</v>
      </c>
      <c r="D1056" s="5" t="s">
        <v>16</v>
      </c>
      <c r="E1056" s="5" t="s">
        <v>25</v>
      </c>
      <c r="F1056" s="2" t="s">
        <v>248</v>
      </c>
      <c r="G1056" s="2">
        <v>10</v>
      </c>
      <c r="H1056" s="25">
        <v>1310</v>
      </c>
      <c r="I1056" s="8">
        <v>0</v>
      </c>
      <c r="J1056" s="25">
        <v>13100</v>
      </c>
      <c r="K1056" s="25">
        <f>G1056*H1056</f>
        <v>13100</v>
      </c>
      <c r="L1056" s="8">
        <f>K1056*I1056/100</f>
        <v>0</v>
      </c>
      <c r="M1056" s="2" t="s">
        <v>139</v>
      </c>
      <c r="N1056" s="2" t="s">
        <v>46</v>
      </c>
      <c r="O1056" s="2">
        <v>2025</v>
      </c>
      <c r="P1056" s="2" t="str">
        <v>August</v>
      </c>
      <c r="Q1056" s="2" t="s">
        <v>47</v>
      </c>
    </row>
    <row r="1057" spans="1:17" x14ac:dyDescent="0.25">
      <c r="A1057" s="2" t="s">
        <v>2172</v>
      </c>
      <c r="B1057" s="7">
        <v>45835</v>
      </c>
      <c r="C1057" s="5" t="s">
        <v>32</v>
      </c>
      <c r="D1057" s="5" t="s">
        <v>33</v>
      </c>
      <c r="E1057" s="5" t="s">
        <v>179</v>
      </c>
      <c r="F1057" s="2" t="s">
        <v>180</v>
      </c>
      <c r="G1057" s="2">
        <v>12</v>
      </c>
      <c r="H1057" s="25">
        <v>1240</v>
      </c>
      <c r="I1057" s="8">
        <v>15</v>
      </c>
      <c r="J1057" s="25">
        <v>12648</v>
      </c>
      <c r="K1057" s="25">
        <f>G1057*H1057</f>
        <v>14880</v>
      </c>
      <c r="L1057" s="8">
        <f>K1057*I1057/100</f>
        <v>2232</v>
      </c>
      <c r="M1057" s="2" t="s">
        <v>94</v>
      </c>
      <c r="N1057" s="2" t="s">
        <v>883</v>
      </c>
      <c r="O1057" s="2">
        <v>2025</v>
      </c>
      <c r="P1057" s="2" t="str">
        <v>June</v>
      </c>
      <c r="Q1057" s="2" t="s">
        <v>21</v>
      </c>
    </row>
    <row r="1058" spans="1:17" x14ac:dyDescent="0.25">
      <c r="A1058" s="2" t="s">
        <v>2174</v>
      </c>
      <c r="B1058" s="7">
        <v>45809</v>
      </c>
      <c r="C1058" s="5" t="s">
        <v>156</v>
      </c>
      <c r="D1058" s="5" t="s">
        <v>51</v>
      </c>
      <c r="E1058" s="5" t="s">
        <v>148</v>
      </c>
      <c r="F1058" s="2" t="s">
        <v>60</v>
      </c>
      <c r="G1058" s="2">
        <v>1</v>
      </c>
      <c r="H1058" s="25">
        <v>480</v>
      </c>
      <c r="I1058" s="8">
        <v>0</v>
      </c>
      <c r="J1058" s="25">
        <v>480</v>
      </c>
      <c r="K1058" s="25">
        <f>G1058*H1058</f>
        <v>480</v>
      </c>
      <c r="L1058" s="8">
        <f>K1058*I1058/100</f>
        <v>0</v>
      </c>
      <c r="M1058" s="2" t="s">
        <v>102</v>
      </c>
      <c r="N1058" s="2" t="s">
        <v>176</v>
      </c>
      <c r="O1058" s="2">
        <v>2025</v>
      </c>
      <c r="P1058" s="2" t="str">
        <v>June</v>
      </c>
      <c r="Q1058" s="2" t="s">
        <v>47</v>
      </c>
    </row>
    <row r="1059" spans="1:17" x14ac:dyDescent="0.25">
      <c r="A1059" s="2" t="s">
        <v>2175</v>
      </c>
      <c r="B1059" s="7">
        <v>45930</v>
      </c>
      <c r="C1059" s="5" t="s">
        <v>24</v>
      </c>
      <c r="D1059" s="5" t="s">
        <v>16</v>
      </c>
      <c r="E1059" s="5" t="s">
        <v>148</v>
      </c>
      <c r="F1059" s="2" t="s">
        <v>209</v>
      </c>
      <c r="G1059" s="2">
        <v>3</v>
      </c>
      <c r="H1059" s="25">
        <v>65500</v>
      </c>
      <c r="I1059" s="8">
        <v>0</v>
      </c>
      <c r="J1059" s="25">
        <v>196500</v>
      </c>
      <c r="K1059" s="25">
        <f>G1059*H1059</f>
        <v>196500</v>
      </c>
      <c r="L1059" s="8">
        <f>K1059*I1059/100</f>
        <v>0</v>
      </c>
      <c r="M1059" s="2" t="s">
        <v>102</v>
      </c>
      <c r="N1059" s="2" t="s">
        <v>37</v>
      </c>
      <c r="O1059" s="2">
        <v>2025</v>
      </c>
      <c r="P1059" s="2" t="str">
        <v>September</v>
      </c>
      <c r="Q1059" s="2" t="s">
        <v>47</v>
      </c>
    </row>
    <row r="1060" spans="1:17" x14ac:dyDescent="0.25">
      <c r="A1060" s="2" t="s">
        <v>2176</v>
      </c>
      <c r="B1060" s="7">
        <v>45673</v>
      </c>
      <c r="C1060" s="5" t="s">
        <v>135</v>
      </c>
      <c r="D1060" s="5" t="s">
        <v>58</v>
      </c>
      <c r="E1060" s="5" t="s">
        <v>148</v>
      </c>
      <c r="F1060" s="2" t="s">
        <v>379</v>
      </c>
      <c r="G1060" s="2">
        <v>10</v>
      </c>
      <c r="H1060" s="25">
        <v>2270</v>
      </c>
      <c r="I1060" s="8">
        <v>5</v>
      </c>
      <c r="J1060" s="25">
        <v>21565</v>
      </c>
      <c r="K1060" s="25">
        <f>G1060*H1060</f>
        <v>22700</v>
      </c>
      <c r="L1060" s="8">
        <f>K1060*I1060/100</f>
        <v>1135</v>
      </c>
      <c r="M1060" s="2" t="s">
        <v>53</v>
      </c>
      <c r="N1060" s="2" t="s">
        <v>411</v>
      </c>
      <c r="O1060" s="2">
        <v>2025</v>
      </c>
      <c r="P1060" s="2" t="str">
        <v>January</v>
      </c>
      <c r="Q1060" s="2" t="s">
        <v>47</v>
      </c>
    </row>
    <row r="1061" spans="1:17" x14ac:dyDescent="0.25">
      <c r="A1061" s="2" t="s">
        <v>2178</v>
      </c>
      <c r="B1061" s="7">
        <v>45841</v>
      </c>
      <c r="C1061" s="5" t="s">
        <v>76</v>
      </c>
      <c r="D1061" s="5" t="s">
        <v>33</v>
      </c>
      <c r="E1061" s="5" t="s">
        <v>148</v>
      </c>
      <c r="F1061" s="2" t="s">
        <v>60</v>
      </c>
      <c r="G1061" s="2">
        <v>6</v>
      </c>
      <c r="H1061" s="25">
        <v>17730</v>
      </c>
      <c r="I1061" s="8">
        <v>5</v>
      </c>
      <c r="J1061" s="25">
        <v>101061</v>
      </c>
      <c r="K1061" s="25">
        <f>G1061*H1061</f>
        <v>106380</v>
      </c>
      <c r="L1061" s="8">
        <f>K1061*I1061/100</f>
        <v>5319</v>
      </c>
      <c r="M1061" s="2" t="s">
        <v>139</v>
      </c>
      <c r="N1061" s="2" t="s">
        <v>176</v>
      </c>
      <c r="O1061" s="2">
        <v>2025</v>
      </c>
      <c r="P1061" s="2" t="str">
        <v>July</v>
      </c>
      <c r="Q1061" s="2" t="s">
        <v>47</v>
      </c>
    </row>
    <row r="1062" spans="1:17" x14ac:dyDescent="0.25">
      <c r="A1062" s="2" t="s">
        <v>2179</v>
      </c>
      <c r="B1062" s="7">
        <v>45814</v>
      </c>
      <c r="C1062" s="5" t="s">
        <v>32</v>
      </c>
      <c r="D1062" s="5" t="s">
        <v>33</v>
      </c>
      <c r="E1062" s="5" t="s">
        <v>295</v>
      </c>
      <c r="F1062" s="2" t="s">
        <v>101</v>
      </c>
      <c r="G1062" s="2">
        <v>5</v>
      </c>
      <c r="H1062" s="25">
        <v>13530</v>
      </c>
      <c r="I1062" s="8">
        <v>0</v>
      </c>
      <c r="J1062" s="25">
        <v>67650</v>
      </c>
      <c r="K1062" s="25">
        <f>G1062*H1062</f>
        <v>67650</v>
      </c>
      <c r="L1062" s="8">
        <f>K1062*I1062/100</f>
        <v>0</v>
      </c>
      <c r="M1062" s="2" t="s">
        <v>139</v>
      </c>
      <c r="N1062" s="2" t="s">
        <v>176</v>
      </c>
      <c r="O1062" s="2">
        <v>2025</v>
      </c>
      <c r="P1062" s="2" t="str">
        <v>June</v>
      </c>
      <c r="Q1062" s="2" t="s">
        <v>47</v>
      </c>
    </row>
    <row r="1063" spans="1:17" x14ac:dyDescent="0.25">
      <c r="A1063" s="2" t="s">
        <v>2181</v>
      </c>
      <c r="B1063" s="7">
        <v>45882</v>
      </c>
      <c r="C1063" s="5" t="s">
        <v>76</v>
      </c>
      <c r="D1063" s="5" t="s">
        <v>33</v>
      </c>
      <c r="E1063" s="5" t="s">
        <v>25</v>
      </c>
      <c r="F1063" s="2" t="s">
        <v>115</v>
      </c>
      <c r="G1063" s="2">
        <v>10</v>
      </c>
      <c r="H1063" s="25">
        <v>27180</v>
      </c>
      <c r="I1063" s="8">
        <v>10</v>
      </c>
      <c r="J1063" s="25">
        <v>244620</v>
      </c>
      <c r="K1063" s="25">
        <f>G1063*H1063</f>
        <v>271800</v>
      </c>
      <c r="L1063" s="8">
        <f>K1063*I1063/100</f>
        <v>27180</v>
      </c>
      <c r="M1063" s="2" t="s">
        <v>102</v>
      </c>
      <c r="N1063" s="2" t="s">
        <v>266</v>
      </c>
      <c r="O1063" s="2">
        <v>2025</v>
      </c>
      <c r="P1063" s="2" t="str">
        <v>August</v>
      </c>
      <c r="Q1063" s="2" t="s">
        <v>47</v>
      </c>
    </row>
    <row r="1064" spans="1:17" x14ac:dyDescent="0.25">
      <c r="A1064" s="2" t="s">
        <v>2182</v>
      </c>
      <c r="B1064" s="7">
        <v>45707</v>
      </c>
      <c r="C1064" s="5" t="s">
        <v>41</v>
      </c>
      <c r="D1064" s="5" t="s">
        <v>42</v>
      </c>
      <c r="E1064" s="5" t="s">
        <v>148</v>
      </c>
      <c r="F1064" s="2" t="s">
        <v>167</v>
      </c>
      <c r="G1064" s="2">
        <v>3</v>
      </c>
      <c r="H1064" s="25">
        <v>50360</v>
      </c>
      <c r="I1064" s="8">
        <v>10</v>
      </c>
      <c r="J1064" s="25">
        <v>135972</v>
      </c>
      <c r="K1064" s="25">
        <f>G1064*H1064</f>
        <v>151080</v>
      </c>
      <c r="L1064" s="8">
        <f>K1064*I1064/100</f>
        <v>15108</v>
      </c>
      <c r="M1064" s="2" t="s">
        <v>139</v>
      </c>
      <c r="N1064" s="2" t="s">
        <v>168</v>
      </c>
      <c r="O1064" s="2">
        <v>2025</v>
      </c>
      <c r="P1064" s="2" t="str">
        <v>February</v>
      </c>
      <c r="Q1064" s="2" t="s">
        <v>21</v>
      </c>
    </row>
    <row r="1065" spans="1:17" x14ac:dyDescent="0.25">
      <c r="A1065" s="2" t="s">
        <v>2183</v>
      </c>
      <c r="B1065" s="7">
        <v>45912</v>
      </c>
      <c r="C1065" s="5" t="s">
        <v>24</v>
      </c>
      <c r="D1065" s="5" t="s">
        <v>16</v>
      </c>
      <c r="E1065" s="5" t="s">
        <v>34</v>
      </c>
      <c r="F1065" s="2" t="s">
        <v>18</v>
      </c>
      <c r="G1065" s="2">
        <v>9</v>
      </c>
      <c r="H1065" s="25">
        <v>8490</v>
      </c>
      <c r="I1065" s="8">
        <v>0</v>
      </c>
      <c r="J1065" s="25">
        <v>76410</v>
      </c>
      <c r="K1065" s="25">
        <f>G1065*H1065</f>
        <v>76410</v>
      </c>
      <c r="L1065" s="8">
        <f>K1065*I1065/100</f>
        <v>0</v>
      </c>
      <c r="M1065" s="2" t="s">
        <v>102</v>
      </c>
      <c r="N1065" s="2" t="s">
        <v>168</v>
      </c>
      <c r="O1065" s="2">
        <v>2025</v>
      </c>
      <c r="P1065" s="2" t="str">
        <v>September</v>
      </c>
      <c r="Q1065" s="2" t="s">
        <v>21</v>
      </c>
    </row>
    <row r="1066" spans="1:17" x14ac:dyDescent="0.25">
      <c r="A1066" s="2" t="s">
        <v>2185</v>
      </c>
      <c r="B1066" s="7">
        <v>45727</v>
      </c>
      <c r="C1066" s="5" t="s">
        <v>76</v>
      </c>
      <c r="D1066" s="5" t="s">
        <v>33</v>
      </c>
      <c r="E1066" s="5" t="s">
        <v>179</v>
      </c>
      <c r="F1066" s="2" t="s">
        <v>224</v>
      </c>
      <c r="G1066" s="2">
        <v>7</v>
      </c>
      <c r="H1066" s="25">
        <v>13610</v>
      </c>
      <c r="I1066" s="8">
        <v>15</v>
      </c>
      <c r="J1066" s="25">
        <v>80979.5</v>
      </c>
      <c r="K1066" s="25">
        <f>G1066*H1066</f>
        <v>95270</v>
      </c>
      <c r="L1066" s="8">
        <f>K1066*I1066/100</f>
        <v>14290.5</v>
      </c>
      <c r="M1066" s="2" t="s">
        <v>102</v>
      </c>
      <c r="N1066" s="2" t="s">
        <v>344</v>
      </c>
      <c r="O1066" s="2">
        <v>2025</v>
      </c>
      <c r="P1066" s="2" t="str">
        <v>March</v>
      </c>
      <c r="Q1066" s="2" t="s">
        <v>21</v>
      </c>
    </row>
    <row r="1067" spans="1:17" x14ac:dyDescent="0.25">
      <c r="A1067" s="2" t="s">
        <v>2187</v>
      </c>
      <c r="B1067" s="7">
        <v>45897</v>
      </c>
      <c r="C1067" s="5" t="s">
        <v>41</v>
      </c>
      <c r="D1067" s="5" t="s">
        <v>42</v>
      </c>
      <c r="E1067" s="5" t="s">
        <v>148</v>
      </c>
      <c r="F1067" s="2" t="s">
        <v>379</v>
      </c>
      <c r="G1067" s="2">
        <v>3</v>
      </c>
      <c r="H1067" s="25">
        <v>72870</v>
      </c>
      <c r="I1067" s="8">
        <v>15</v>
      </c>
      <c r="J1067" s="25">
        <v>185818.5</v>
      </c>
      <c r="K1067" s="25">
        <f>G1067*H1067</f>
        <v>218610</v>
      </c>
      <c r="L1067" s="8">
        <f>K1067*I1067/100</f>
        <v>32791.5</v>
      </c>
      <c r="M1067" s="2" t="s">
        <v>53</v>
      </c>
      <c r="N1067" s="2" t="s">
        <v>341</v>
      </c>
      <c r="O1067" s="2">
        <v>2025</v>
      </c>
      <c r="P1067" s="2" t="str">
        <v>August</v>
      </c>
      <c r="Q1067" s="2" t="s">
        <v>47</v>
      </c>
    </row>
    <row r="1068" spans="1:17" x14ac:dyDescent="0.25">
      <c r="A1068" s="2" t="s">
        <v>2188</v>
      </c>
      <c r="B1068" s="7">
        <v>46000</v>
      </c>
      <c r="C1068" s="5" t="s">
        <v>24</v>
      </c>
      <c r="D1068" s="5" t="s">
        <v>16</v>
      </c>
      <c r="E1068" s="5" t="s">
        <v>25</v>
      </c>
      <c r="F1068" s="2" t="s">
        <v>106</v>
      </c>
      <c r="G1068" s="2">
        <v>2</v>
      </c>
      <c r="H1068" s="25">
        <v>22900</v>
      </c>
      <c r="I1068" s="8">
        <v>0</v>
      </c>
      <c r="J1068" s="25">
        <v>45800</v>
      </c>
      <c r="K1068" s="25">
        <f>G1068*H1068</f>
        <v>45800</v>
      </c>
      <c r="L1068" s="8">
        <f>K1068*I1068/100</f>
        <v>0</v>
      </c>
      <c r="M1068" s="2" t="s">
        <v>94</v>
      </c>
      <c r="N1068" s="2" t="s">
        <v>406</v>
      </c>
      <c r="O1068" s="2">
        <v>2025</v>
      </c>
      <c r="P1068" s="2" t="str">
        <v>December</v>
      </c>
      <c r="Q1068" s="2" t="s">
        <v>21</v>
      </c>
    </row>
    <row r="1069" spans="1:17" x14ac:dyDescent="0.25">
      <c r="A1069" s="2" t="s">
        <v>2190</v>
      </c>
      <c r="B1069" s="7">
        <v>45794</v>
      </c>
      <c r="C1069" s="5" t="s">
        <v>135</v>
      </c>
      <c r="D1069" s="5" t="s">
        <v>58</v>
      </c>
      <c r="E1069" s="5" t="s">
        <v>295</v>
      </c>
      <c r="F1069" s="2" t="s">
        <v>314</v>
      </c>
      <c r="G1069" s="2">
        <v>4</v>
      </c>
      <c r="H1069" s="25">
        <v>20050</v>
      </c>
      <c r="I1069" s="8">
        <v>10</v>
      </c>
      <c r="J1069" s="25">
        <v>72180</v>
      </c>
      <c r="K1069" s="25">
        <f>G1069*H1069</f>
        <v>80200</v>
      </c>
      <c r="L1069" s="8">
        <f>K1069*I1069/100</f>
        <v>8020</v>
      </c>
      <c r="M1069" s="2" t="s">
        <v>139</v>
      </c>
      <c r="N1069" s="2" t="s">
        <v>37</v>
      </c>
      <c r="O1069" s="2">
        <v>2025</v>
      </c>
      <c r="P1069" s="2" t="str">
        <v>May</v>
      </c>
      <c r="Q1069" s="2" t="s">
        <v>47</v>
      </c>
    </row>
    <row r="1070" spans="1:17" x14ac:dyDescent="0.25">
      <c r="A1070" s="2" t="s">
        <v>2191</v>
      </c>
      <c r="B1070" s="7">
        <v>45686</v>
      </c>
      <c r="C1070" s="5" t="s">
        <v>156</v>
      </c>
      <c r="D1070" s="5" t="s">
        <v>33</v>
      </c>
      <c r="E1070" s="5" t="s">
        <v>295</v>
      </c>
      <c r="F1070" s="2" t="s">
        <v>132</v>
      </c>
      <c r="G1070" s="2">
        <v>1</v>
      </c>
      <c r="H1070" s="25">
        <v>26160</v>
      </c>
      <c r="I1070" s="8">
        <v>0</v>
      </c>
      <c r="J1070" s="25">
        <v>26160</v>
      </c>
      <c r="K1070" s="25">
        <f>G1070*H1070</f>
        <v>26160</v>
      </c>
      <c r="L1070" s="8">
        <f>K1070*I1070/100</f>
        <v>0</v>
      </c>
      <c r="M1070" s="2" t="s">
        <v>102</v>
      </c>
      <c r="N1070" s="2" t="s">
        <v>46</v>
      </c>
      <c r="O1070" s="2">
        <v>2025</v>
      </c>
      <c r="P1070" s="2" t="str">
        <v>January</v>
      </c>
      <c r="Q1070" s="2" t="s">
        <v>47</v>
      </c>
    </row>
    <row r="1071" spans="1:17" x14ac:dyDescent="0.25">
      <c r="A1071" s="2" t="s">
        <v>2193</v>
      </c>
      <c r="B1071" s="7">
        <v>45888</v>
      </c>
      <c r="C1071" s="5" t="s">
        <v>24</v>
      </c>
      <c r="D1071" s="5" t="s">
        <v>16</v>
      </c>
      <c r="E1071" s="5" t="s">
        <v>295</v>
      </c>
      <c r="F1071" s="2" t="s">
        <v>219</v>
      </c>
      <c r="G1071" s="2">
        <v>7</v>
      </c>
      <c r="H1071" s="25">
        <v>12770</v>
      </c>
      <c r="I1071" s="8">
        <v>15</v>
      </c>
      <c r="J1071" s="25">
        <v>75981.5</v>
      </c>
      <c r="K1071" s="25">
        <f>G1071*H1071</f>
        <v>89390</v>
      </c>
      <c r="L1071" s="8">
        <f>K1071*I1071/100</f>
        <v>13408.5</v>
      </c>
      <c r="M1071" s="2" t="s">
        <v>53</v>
      </c>
      <c r="N1071" s="2" t="s">
        <v>168</v>
      </c>
      <c r="O1071" s="2">
        <v>2025</v>
      </c>
      <c r="P1071" s="2" t="str">
        <v>August</v>
      </c>
      <c r="Q1071" s="2" t="s">
        <v>47</v>
      </c>
    </row>
    <row r="1072" spans="1:17" x14ac:dyDescent="0.25">
      <c r="A1072" s="2" t="s">
        <v>2195</v>
      </c>
      <c r="B1072" s="7">
        <v>45954</v>
      </c>
      <c r="C1072" s="5" t="s">
        <v>156</v>
      </c>
      <c r="D1072" s="5" t="s">
        <v>51</v>
      </c>
      <c r="E1072" s="5" t="s">
        <v>148</v>
      </c>
      <c r="F1072" s="2" t="s">
        <v>149</v>
      </c>
      <c r="G1072" s="2">
        <v>8</v>
      </c>
      <c r="H1072" s="25">
        <v>69740</v>
      </c>
      <c r="I1072" s="8">
        <v>15</v>
      </c>
      <c r="J1072" s="25">
        <v>474232</v>
      </c>
      <c r="K1072" s="25">
        <f>G1072*H1072</f>
        <v>557920</v>
      </c>
      <c r="L1072" s="8">
        <f>K1072*I1072/100</f>
        <v>83688</v>
      </c>
      <c r="M1072" s="2" t="s">
        <v>53</v>
      </c>
      <c r="N1072" s="2" t="s">
        <v>344</v>
      </c>
      <c r="O1072" s="2">
        <v>2025</v>
      </c>
      <c r="P1072" s="2" t="str">
        <v>October</v>
      </c>
      <c r="Q1072" s="2" t="s">
        <v>47</v>
      </c>
    </row>
    <row r="1073" spans="1:17" x14ac:dyDescent="0.25">
      <c r="A1073" s="2" t="s">
        <v>2196</v>
      </c>
      <c r="B1073" s="7">
        <v>45745</v>
      </c>
      <c r="C1073" s="5" t="s">
        <v>76</v>
      </c>
      <c r="D1073" s="5" t="s">
        <v>33</v>
      </c>
      <c r="E1073" s="5" t="s">
        <v>25</v>
      </c>
      <c r="F1073" s="2" t="s">
        <v>106</v>
      </c>
      <c r="G1073" s="2">
        <v>5</v>
      </c>
      <c r="H1073" s="25">
        <v>1270</v>
      </c>
      <c r="I1073" s="8">
        <v>0</v>
      </c>
      <c r="J1073" s="25">
        <v>6350</v>
      </c>
      <c r="K1073" s="25">
        <f>G1073*H1073</f>
        <v>6350</v>
      </c>
      <c r="L1073" s="8">
        <f>K1073*I1073/100</f>
        <v>0</v>
      </c>
      <c r="M1073" s="2" t="s">
        <v>94</v>
      </c>
      <c r="N1073" s="2" t="s">
        <v>341</v>
      </c>
      <c r="O1073" s="2">
        <v>2025</v>
      </c>
      <c r="P1073" s="2" t="str">
        <v>March</v>
      </c>
      <c r="Q1073" s="2" t="s">
        <v>21</v>
      </c>
    </row>
    <row r="1074" spans="1:17" x14ac:dyDescent="0.25">
      <c r="A1074" s="2" t="s">
        <v>2198</v>
      </c>
      <c r="B1074" s="7">
        <v>45667</v>
      </c>
      <c r="C1074" s="5" t="s">
        <v>24</v>
      </c>
      <c r="D1074" s="5" t="s">
        <v>16</v>
      </c>
      <c r="E1074" s="5" t="s">
        <v>34</v>
      </c>
      <c r="F1074" s="2" t="s">
        <v>199</v>
      </c>
      <c r="G1074" s="2">
        <v>9</v>
      </c>
      <c r="H1074" s="25">
        <v>1280</v>
      </c>
      <c r="I1074" s="8">
        <v>0</v>
      </c>
      <c r="J1074" s="25">
        <v>11520</v>
      </c>
      <c r="K1074" s="25">
        <f>G1074*H1074</f>
        <v>11520</v>
      </c>
      <c r="L1074" s="8">
        <f>K1074*I1074/100</f>
        <v>0</v>
      </c>
      <c r="M1074" s="2" t="s">
        <v>102</v>
      </c>
      <c r="N1074" s="2" t="s">
        <v>188</v>
      </c>
      <c r="O1074" s="2">
        <v>2025</v>
      </c>
      <c r="P1074" s="2" t="str">
        <v>January</v>
      </c>
      <c r="Q1074" s="2" t="s">
        <v>21</v>
      </c>
    </row>
    <row r="1075" spans="1:17" x14ac:dyDescent="0.25">
      <c r="A1075" s="2" t="s">
        <v>2200</v>
      </c>
      <c r="B1075" s="7">
        <v>45805</v>
      </c>
      <c r="C1075" s="5" t="s">
        <v>32</v>
      </c>
      <c r="D1075" s="5" t="s">
        <v>33</v>
      </c>
      <c r="E1075" s="5" t="s">
        <v>295</v>
      </c>
      <c r="F1075" s="2" t="s">
        <v>126</v>
      </c>
      <c r="G1075" s="2">
        <v>7</v>
      </c>
      <c r="H1075" s="25">
        <v>59110</v>
      </c>
      <c r="I1075" s="8">
        <v>15</v>
      </c>
      <c r="J1075" s="25">
        <v>351704.5</v>
      </c>
      <c r="K1075" s="25">
        <f>G1075*H1075</f>
        <v>413770</v>
      </c>
      <c r="L1075" s="8">
        <f>K1075*I1075/100</f>
        <v>62065.5</v>
      </c>
      <c r="M1075" s="2" t="s">
        <v>94</v>
      </c>
      <c r="N1075" s="2" t="s">
        <v>341</v>
      </c>
      <c r="O1075" s="2">
        <v>2025</v>
      </c>
      <c r="P1075" s="2" t="str">
        <v>May</v>
      </c>
      <c r="Q1075" s="2" t="s">
        <v>47</v>
      </c>
    </row>
    <row r="1076" spans="1:17" x14ac:dyDescent="0.25">
      <c r="A1076" s="2" t="s">
        <v>2202</v>
      </c>
      <c r="B1076" s="7">
        <v>45681</v>
      </c>
      <c r="C1076" s="5" t="s">
        <v>238</v>
      </c>
      <c r="D1076" s="5" t="s">
        <v>51</v>
      </c>
      <c r="E1076" s="5" t="s">
        <v>295</v>
      </c>
      <c r="F1076" s="2" t="s">
        <v>132</v>
      </c>
      <c r="G1076" s="2">
        <v>8</v>
      </c>
      <c r="H1076" s="25">
        <v>3850</v>
      </c>
      <c r="I1076" s="8">
        <v>15</v>
      </c>
      <c r="J1076" s="25">
        <v>26180</v>
      </c>
      <c r="K1076" s="25">
        <f>G1076*H1076</f>
        <v>30800</v>
      </c>
      <c r="L1076" s="8">
        <f>K1076*I1076/100</f>
        <v>4620</v>
      </c>
      <c r="M1076" s="2" t="s">
        <v>102</v>
      </c>
      <c r="N1076" s="2" t="s">
        <v>883</v>
      </c>
      <c r="O1076" s="2">
        <v>2025</v>
      </c>
      <c r="P1076" s="2" t="str">
        <v>January</v>
      </c>
      <c r="Q1076" s="2" t="s">
        <v>21</v>
      </c>
    </row>
    <row r="1077" spans="1:17" x14ac:dyDescent="0.25">
      <c r="A1077" s="2" t="s">
        <v>2204</v>
      </c>
      <c r="B1077" s="7">
        <v>45951</v>
      </c>
      <c r="C1077" s="5" t="s">
        <v>32</v>
      </c>
      <c r="D1077" s="5" t="s">
        <v>33</v>
      </c>
      <c r="E1077" s="5" t="s">
        <v>148</v>
      </c>
      <c r="F1077" s="2" t="s">
        <v>167</v>
      </c>
      <c r="G1077" s="2">
        <v>5</v>
      </c>
      <c r="H1077" s="25">
        <v>8590</v>
      </c>
      <c r="I1077" s="8">
        <v>10</v>
      </c>
      <c r="J1077" s="25">
        <v>38655</v>
      </c>
      <c r="K1077" s="25">
        <f>G1077*H1077</f>
        <v>42950</v>
      </c>
      <c r="L1077" s="8">
        <f>K1077*I1077/100</f>
        <v>4295</v>
      </c>
      <c r="M1077" s="2" t="s">
        <v>139</v>
      </c>
      <c r="N1077" s="2" t="s">
        <v>406</v>
      </c>
      <c r="O1077" s="2">
        <v>2025</v>
      </c>
      <c r="P1077" s="2" t="str">
        <v>October</v>
      </c>
      <c r="Q1077" s="2" t="s">
        <v>21</v>
      </c>
    </row>
    <row r="1078" spans="1:17" x14ac:dyDescent="0.25">
      <c r="A1078" s="2" t="s">
        <v>2205</v>
      </c>
      <c r="B1078" s="7">
        <v>45718</v>
      </c>
      <c r="C1078" s="5" t="s">
        <v>156</v>
      </c>
      <c r="D1078" s="5" t="s">
        <v>51</v>
      </c>
      <c r="E1078" s="5" t="s">
        <v>25</v>
      </c>
      <c r="F1078" s="2" t="s">
        <v>26</v>
      </c>
      <c r="G1078" s="2">
        <v>3</v>
      </c>
      <c r="H1078" s="25">
        <v>480</v>
      </c>
      <c r="I1078" s="8">
        <v>0</v>
      </c>
      <c r="J1078" s="25">
        <v>1440</v>
      </c>
      <c r="K1078" s="25">
        <f>G1078*H1078</f>
        <v>1440</v>
      </c>
      <c r="L1078" s="8">
        <f>K1078*I1078/100</f>
        <v>0</v>
      </c>
      <c r="M1078" s="2" t="s">
        <v>139</v>
      </c>
      <c r="N1078" s="2" t="s">
        <v>406</v>
      </c>
      <c r="O1078" s="2">
        <v>2025</v>
      </c>
      <c r="P1078" s="2" t="str">
        <v>March</v>
      </c>
      <c r="Q1078" s="2" t="s">
        <v>47</v>
      </c>
    </row>
    <row r="1079" spans="1:17" x14ac:dyDescent="0.25">
      <c r="A1079" s="2" t="s">
        <v>2206</v>
      </c>
      <c r="B1079" s="7">
        <v>45816</v>
      </c>
      <c r="C1079" s="5" t="s">
        <v>32</v>
      </c>
      <c r="D1079" s="5" t="s">
        <v>33</v>
      </c>
      <c r="E1079" s="5" t="s">
        <v>25</v>
      </c>
      <c r="F1079" s="2" t="s">
        <v>106</v>
      </c>
      <c r="G1079" s="2">
        <v>4</v>
      </c>
      <c r="H1079" s="25">
        <v>19090</v>
      </c>
      <c r="I1079" s="8">
        <v>15</v>
      </c>
      <c r="J1079" s="25">
        <v>64906</v>
      </c>
      <c r="K1079" s="25">
        <f>G1079*H1079</f>
        <v>76360</v>
      </c>
      <c r="L1079" s="8">
        <f>K1079*I1079/100</f>
        <v>11454</v>
      </c>
      <c r="M1079" s="2" t="s">
        <v>102</v>
      </c>
      <c r="N1079" s="2" t="s">
        <v>188</v>
      </c>
      <c r="O1079" s="2">
        <v>2025</v>
      </c>
      <c r="P1079" s="2" t="str">
        <v>June</v>
      </c>
      <c r="Q1079" s="2" t="s">
        <v>47</v>
      </c>
    </row>
    <row r="1080" spans="1:17" x14ac:dyDescent="0.25">
      <c r="A1080" s="2" t="s">
        <v>2208</v>
      </c>
      <c r="B1080" s="7">
        <v>45919</v>
      </c>
      <c r="C1080" s="5" t="s">
        <v>76</v>
      </c>
      <c r="D1080" s="5" t="s">
        <v>33</v>
      </c>
      <c r="E1080" s="5" t="s">
        <v>25</v>
      </c>
      <c r="F1080" s="2" t="s">
        <v>93</v>
      </c>
      <c r="G1080" s="2">
        <v>9</v>
      </c>
      <c r="H1080" s="25">
        <v>44580</v>
      </c>
      <c r="I1080" s="8">
        <v>0</v>
      </c>
      <c r="J1080" s="25">
        <v>401220</v>
      </c>
      <c r="K1080" s="25">
        <f>G1080*H1080</f>
        <v>401220</v>
      </c>
      <c r="L1080" s="8">
        <f>K1080*I1080/100</f>
        <v>0</v>
      </c>
      <c r="M1080" s="2" t="s">
        <v>102</v>
      </c>
      <c r="N1080" s="2" t="s">
        <v>73</v>
      </c>
      <c r="O1080" s="2">
        <v>2025</v>
      </c>
      <c r="P1080" s="2" t="str">
        <v>September</v>
      </c>
      <c r="Q1080" s="2" t="s">
        <v>47</v>
      </c>
    </row>
    <row r="1081" spans="1:17" x14ac:dyDescent="0.25">
      <c r="A1081" s="2" t="s">
        <v>2210</v>
      </c>
      <c r="B1081" s="7">
        <v>46021</v>
      </c>
      <c r="C1081" s="5" t="s">
        <v>76</v>
      </c>
      <c r="D1081" s="5" t="s">
        <v>33</v>
      </c>
      <c r="E1081" s="5" t="s">
        <v>25</v>
      </c>
      <c r="F1081" s="2" t="s">
        <v>248</v>
      </c>
      <c r="G1081" s="2">
        <v>10</v>
      </c>
      <c r="H1081" s="25">
        <v>1230</v>
      </c>
      <c r="I1081" s="8">
        <v>5</v>
      </c>
      <c r="J1081" s="25">
        <v>11685</v>
      </c>
      <c r="K1081" s="25">
        <f>G1081*H1081</f>
        <v>12300</v>
      </c>
      <c r="L1081" s="8">
        <f>K1081*I1081/100</f>
        <v>615</v>
      </c>
      <c r="M1081" s="2" t="s">
        <v>94</v>
      </c>
      <c r="N1081" s="2" t="s">
        <v>37</v>
      </c>
      <c r="O1081" s="2">
        <v>2025</v>
      </c>
      <c r="P1081" s="2" t="str">
        <v>December</v>
      </c>
      <c r="Q1081" s="2" t="s">
        <v>47</v>
      </c>
    </row>
    <row r="1082" spans="1:17" x14ac:dyDescent="0.25">
      <c r="A1082" s="2" t="s">
        <v>2212</v>
      </c>
      <c r="B1082" s="7">
        <v>45992</v>
      </c>
      <c r="C1082" s="5" t="s">
        <v>238</v>
      </c>
      <c r="D1082" s="5" t="s">
        <v>51</v>
      </c>
      <c r="E1082" s="5" t="s">
        <v>179</v>
      </c>
      <c r="F1082" s="2" t="s">
        <v>143</v>
      </c>
      <c r="G1082" s="2">
        <v>8</v>
      </c>
      <c r="H1082" s="25">
        <v>72210</v>
      </c>
      <c r="I1082" s="8">
        <v>15</v>
      </c>
      <c r="J1082" s="25">
        <v>491028</v>
      </c>
      <c r="K1082" s="25">
        <f>G1082*H1082</f>
        <v>577680</v>
      </c>
      <c r="L1082" s="8">
        <f>K1082*I1082/100</f>
        <v>86652</v>
      </c>
      <c r="M1082" s="2" t="s">
        <v>102</v>
      </c>
      <c r="N1082" s="2" t="s">
        <v>411</v>
      </c>
      <c r="O1082" s="2">
        <v>2025</v>
      </c>
      <c r="P1082" s="2" t="str">
        <v>December</v>
      </c>
      <c r="Q1082" s="2" t="s">
        <v>21</v>
      </c>
    </row>
    <row r="1083" spans="1:17" x14ac:dyDescent="0.25">
      <c r="A1083" s="2" t="s">
        <v>2214</v>
      </c>
      <c r="B1083" s="7">
        <v>45712</v>
      </c>
      <c r="C1083" s="5" t="s">
        <v>32</v>
      </c>
      <c r="D1083" s="5" t="s">
        <v>33</v>
      </c>
      <c r="E1083" s="5" t="s">
        <v>148</v>
      </c>
      <c r="F1083" s="2" t="s">
        <v>379</v>
      </c>
      <c r="G1083" s="2">
        <v>5</v>
      </c>
      <c r="H1083" s="25">
        <v>2840</v>
      </c>
      <c r="I1083" s="8">
        <v>0</v>
      </c>
      <c r="J1083" s="25">
        <v>14200</v>
      </c>
      <c r="K1083" s="25">
        <f>G1083*H1083</f>
        <v>14200</v>
      </c>
      <c r="L1083" s="8">
        <f>K1083*I1083/100</f>
        <v>0</v>
      </c>
      <c r="M1083" s="2" t="s">
        <v>102</v>
      </c>
      <c r="N1083" s="2" t="s">
        <v>188</v>
      </c>
      <c r="O1083" s="2">
        <v>2025</v>
      </c>
      <c r="P1083" s="2" t="str">
        <v>February</v>
      </c>
      <c r="Q1083" s="2" t="s">
        <v>47</v>
      </c>
    </row>
    <row r="1084" spans="1:17" x14ac:dyDescent="0.25">
      <c r="A1084" s="2" t="s">
        <v>2216</v>
      </c>
      <c r="B1084" s="7">
        <v>45757</v>
      </c>
      <c r="C1084" s="5" t="s">
        <v>238</v>
      </c>
      <c r="D1084" s="5" t="s">
        <v>51</v>
      </c>
      <c r="E1084" s="5" t="s">
        <v>295</v>
      </c>
      <c r="F1084" s="2" t="s">
        <v>219</v>
      </c>
      <c r="G1084" s="2">
        <v>4</v>
      </c>
      <c r="H1084" s="25">
        <v>12100</v>
      </c>
      <c r="I1084" s="8">
        <v>0</v>
      </c>
      <c r="J1084" s="25">
        <v>48400</v>
      </c>
      <c r="K1084" s="25">
        <f>G1084*H1084</f>
        <v>48400</v>
      </c>
      <c r="L1084" s="8">
        <f>K1084*I1084/100</f>
        <v>0</v>
      </c>
      <c r="M1084" s="2" t="s">
        <v>53</v>
      </c>
      <c r="N1084" s="2" t="s">
        <v>406</v>
      </c>
      <c r="O1084" s="2">
        <v>2025</v>
      </c>
      <c r="P1084" s="2" t="str">
        <v>April</v>
      </c>
      <c r="Q1084" s="2" t="s">
        <v>47</v>
      </c>
    </row>
    <row r="1085" spans="1:17" x14ac:dyDescent="0.25">
      <c r="A1085" s="2" t="s">
        <v>2218</v>
      </c>
      <c r="B1085" s="7">
        <v>45702</v>
      </c>
      <c r="C1085" s="5" t="s">
        <v>135</v>
      </c>
      <c r="D1085" s="5" t="s">
        <v>58</v>
      </c>
      <c r="E1085" s="5" t="s">
        <v>25</v>
      </c>
      <c r="F1085" s="2" t="s">
        <v>106</v>
      </c>
      <c r="G1085" s="2">
        <v>8</v>
      </c>
      <c r="H1085" s="25">
        <v>1230</v>
      </c>
      <c r="I1085" s="8">
        <v>0</v>
      </c>
      <c r="J1085" s="25">
        <v>9840</v>
      </c>
      <c r="K1085" s="25">
        <f>G1085*H1085</f>
        <v>9840</v>
      </c>
      <c r="L1085" s="8">
        <f>K1085*I1085/100</f>
        <v>0</v>
      </c>
      <c r="M1085" s="2" t="s">
        <v>53</v>
      </c>
      <c r="N1085" s="2" t="s">
        <v>68</v>
      </c>
      <c r="O1085" s="2">
        <v>2025</v>
      </c>
      <c r="P1085" s="2" t="str">
        <v>February</v>
      </c>
      <c r="Q1085" s="2" t="s">
        <v>47</v>
      </c>
    </row>
    <row r="1086" spans="1:17" x14ac:dyDescent="0.25">
      <c r="A1086" s="2" t="s">
        <v>2219</v>
      </c>
      <c r="B1086" s="7">
        <v>45678</v>
      </c>
      <c r="C1086" s="5" t="s">
        <v>32</v>
      </c>
      <c r="D1086" s="5" t="s">
        <v>33</v>
      </c>
      <c r="E1086" s="5" t="s">
        <v>34</v>
      </c>
      <c r="F1086" s="2" t="s">
        <v>374</v>
      </c>
      <c r="G1086" s="2">
        <v>9</v>
      </c>
      <c r="H1086" s="25">
        <v>20550</v>
      </c>
      <c r="I1086" s="8">
        <v>0</v>
      </c>
      <c r="J1086" s="25">
        <v>184950</v>
      </c>
      <c r="K1086" s="25">
        <f>G1086*H1086</f>
        <v>184950</v>
      </c>
      <c r="L1086" s="8">
        <f>K1086*I1086/100</f>
        <v>0</v>
      </c>
      <c r="M1086" s="2" t="s">
        <v>94</v>
      </c>
      <c r="N1086" s="2" t="s">
        <v>266</v>
      </c>
      <c r="O1086" s="2">
        <v>2025</v>
      </c>
      <c r="P1086" s="2" t="str">
        <v>January</v>
      </c>
      <c r="Q1086" s="2" t="s">
        <v>21</v>
      </c>
    </row>
    <row r="1087" spans="1:17" x14ac:dyDescent="0.25">
      <c r="A1087" s="2" t="s">
        <v>2221</v>
      </c>
      <c r="B1087" s="7">
        <v>45689</v>
      </c>
      <c r="C1087" s="5" t="s">
        <v>41</v>
      </c>
      <c r="D1087" s="5" t="s">
        <v>42</v>
      </c>
      <c r="E1087" s="5" t="s">
        <v>179</v>
      </c>
      <c r="F1087" s="2" t="s">
        <v>180</v>
      </c>
      <c r="G1087" s="2">
        <v>4</v>
      </c>
      <c r="H1087" s="25">
        <v>560</v>
      </c>
      <c r="I1087" s="8">
        <v>0</v>
      </c>
      <c r="J1087" s="25">
        <v>2240</v>
      </c>
      <c r="K1087" s="25">
        <f>G1087*H1087</f>
        <v>2240</v>
      </c>
      <c r="L1087" s="8">
        <f>K1087*I1087/100</f>
        <v>0</v>
      </c>
      <c r="M1087" s="2" t="s">
        <v>53</v>
      </c>
      <c r="N1087" s="2" t="s">
        <v>68</v>
      </c>
      <c r="O1087" s="2">
        <v>2025</v>
      </c>
      <c r="P1087" s="2" t="str">
        <v>February</v>
      </c>
      <c r="Q1087" s="2" t="s">
        <v>47</v>
      </c>
    </row>
    <row r="1088" spans="1:17" x14ac:dyDescent="0.25">
      <c r="A1088" s="2" t="s">
        <v>2223</v>
      </c>
      <c r="B1088" s="7">
        <v>45914</v>
      </c>
      <c r="C1088" s="5" t="s">
        <v>32</v>
      </c>
      <c r="D1088" s="5" t="s">
        <v>33</v>
      </c>
      <c r="E1088" s="5" t="s">
        <v>179</v>
      </c>
      <c r="F1088" s="2" t="s">
        <v>379</v>
      </c>
      <c r="G1088" s="2">
        <v>1</v>
      </c>
      <c r="H1088" s="25">
        <v>8460</v>
      </c>
      <c r="I1088" s="8">
        <v>10</v>
      </c>
      <c r="J1088" s="25">
        <v>7614</v>
      </c>
      <c r="K1088" s="25">
        <f>G1088*H1088</f>
        <v>8460</v>
      </c>
      <c r="L1088" s="8">
        <f>K1088*I1088/100</f>
        <v>846</v>
      </c>
      <c r="M1088" s="2" t="s">
        <v>139</v>
      </c>
      <c r="N1088" s="2" t="s">
        <v>73</v>
      </c>
      <c r="O1088" s="2">
        <v>2025</v>
      </c>
      <c r="P1088" s="2" t="str">
        <v>September</v>
      </c>
      <c r="Q1088" s="2" t="s">
        <v>47</v>
      </c>
    </row>
    <row r="1089" spans="1:17" x14ac:dyDescent="0.25">
      <c r="A1089" s="2" t="s">
        <v>2225</v>
      </c>
      <c r="B1089" s="7">
        <v>45792</v>
      </c>
      <c r="C1089" s="5" t="s">
        <v>238</v>
      </c>
      <c r="D1089" s="5" t="s">
        <v>51</v>
      </c>
      <c r="E1089" s="5" t="s">
        <v>148</v>
      </c>
      <c r="F1089" s="2" t="s">
        <v>149</v>
      </c>
      <c r="G1089" s="2">
        <v>1</v>
      </c>
      <c r="H1089" s="25">
        <v>9880</v>
      </c>
      <c r="I1089" s="8">
        <v>10</v>
      </c>
      <c r="J1089" s="25">
        <v>8892</v>
      </c>
      <c r="K1089" s="25">
        <f>G1089*H1089</f>
        <v>9880</v>
      </c>
      <c r="L1089" s="8">
        <f>K1089*I1089/100</f>
        <v>988</v>
      </c>
      <c r="M1089" s="2" t="s">
        <v>94</v>
      </c>
      <c r="N1089" s="2" t="s">
        <v>411</v>
      </c>
      <c r="O1089" s="2">
        <v>2025</v>
      </c>
      <c r="P1089" s="2" t="str">
        <v>May</v>
      </c>
      <c r="Q1089" s="2" t="s">
        <v>21</v>
      </c>
    </row>
    <row r="1090" spans="1:17" x14ac:dyDescent="0.25">
      <c r="A1090" s="2" t="s">
        <v>2227</v>
      </c>
      <c r="B1090" s="7">
        <v>45810</v>
      </c>
      <c r="C1090" s="5" t="s">
        <v>135</v>
      </c>
      <c r="D1090" s="5" t="s">
        <v>42</v>
      </c>
      <c r="E1090" s="5" t="s">
        <v>34</v>
      </c>
      <c r="F1090" s="2" t="s">
        <v>290</v>
      </c>
      <c r="G1090" s="2">
        <v>12</v>
      </c>
      <c r="H1090" s="25">
        <v>12540</v>
      </c>
      <c r="I1090" s="8">
        <v>10</v>
      </c>
      <c r="J1090" s="25">
        <v>135432</v>
      </c>
      <c r="K1090" s="25">
        <f>G1090*H1090</f>
        <v>150480</v>
      </c>
      <c r="L1090" s="8">
        <f>K1090*I1090/100</f>
        <v>15048</v>
      </c>
      <c r="M1090" s="2" t="s">
        <v>53</v>
      </c>
      <c r="N1090" s="2" t="s">
        <v>176</v>
      </c>
      <c r="O1090" s="2">
        <v>2025</v>
      </c>
      <c r="P1090" s="2" t="str">
        <v>June</v>
      </c>
      <c r="Q1090" s="2" t="s">
        <v>47</v>
      </c>
    </row>
    <row r="1091" spans="1:17" x14ac:dyDescent="0.25">
      <c r="A1091" s="2" t="s">
        <v>2229</v>
      </c>
      <c r="B1091" s="7">
        <v>45861</v>
      </c>
      <c r="C1091" s="5" t="s">
        <v>156</v>
      </c>
      <c r="D1091" s="5" t="s">
        <v>51</v>
      </c>
      <c r="E1091" s="5" t="s">
        <v>179</v>
      </c>
      <c r="F1091" s="2" t="s">
        <v>184</v>
      </c>
      <c r="G1091" s="2">
        <v>10</v>
      </c>
      <c r="H1091" s="25">
        <v>4770</v>
      </c>
      <c r="I1091" s="8">
        <v>15</v>
      </c>
      <c r="J1091" s="25">
        <v>40545</v>
      </c>
      <c r="K1091" s="25">
        <f>G1091*H1091</f>
        <v>47700</v>
      </c>
      <c r="L1091" s="8">
        <f>K1091*I1091/100</f>
        <v>7155</v>
      </c>
      <c r="M1091" s="2" t="s">
        <v>102</v>
      </c>
      <c r="N1091" s="2" t="s">
        <v>266</v>
      </c>
      <c r="O1091" s="2">
        <v>2025</v>
      </c>
      <c r="P1091" s="2" t="str">
        <v>July</v>
      </c>
      <c r="Q1091" s="2" t="s">
        <v>47</v>
      </c>
    </row>
    <row r="1092" spans="1:17" x14ac:dyDescent="0.25">
      <c r="A1092" s="2" t="s">
        <v>2231</v>
      </c>
      <c r="B1092" s="7">
        <v>45849</v>
      </c>
      <c r="C1092" s="5" t="s">
        <v>135</v>
      </c>
      <c r="D1092" s="5" t="s">
        <v>58</v>
      </c>
      <c r="E1092" s="5" t="s">
        <v>295</v>
      </c>
      <c r="F1092" s="2" t="s">
        <v>101</v>
      </c>
      <c r="G1092" s="2">
        <v>7</v>
      </c>
      <c r="H1092" s="25">
        <v>17300</v>
      </c>
      <c r="I1092" s="8">
        <v>0</v>
      </c>
      <c r="J1092" s="25">
        <v>121100</v>
      </c>
      <c r="K1092" s="25">
        <f>G1092*H1092</f>
        <v>121100</v>
      </c>
      <c r="L1092" s="8">
        <f>K1092*I1092/100</f>
        <v>0</v>
      </c>
      <c r="M1092" s="2" t="s">
        <v>102</v>
      </c>
      <c r="N1092" s="2" t="s">
        <v>406</v>
      </c>
      <c r="O1092" s="2">
        <v>2025</v>
      </c>
      <c r="P1092" s="2" t="str">
        <v>July</v>
      </c>
      <c r="Q1092" s="2" t="s">
        <v>21</v>
      </c>
    </row>
    <row r="1093" spans="1:17" x14ac:dyDescent="0.25">
      <c r="A1093" s="2" t="s">
        <v>2233</v>
      </c>
      <c r="B1093" s="7">
        <v>45830</v>
      </c>
      <c r="C1093" s="5" t="s">
        <v>135</v>
      </c>
      <c r="D1093" s="5" t="s">
        <v>58</v>
      </c>
      <c r="E1093" s="5" t="s">
        <v>295</v>
      </c>
      <c r="F1093" s="2" t="s">
        <v>126</v>
      </c>
      <c r="G1093" s="2">
        <v>8</v>
      </c>
      <c r="H1093" s="25">
        <v>13660</v>
      </c>
      <c r="I1093" s="8">
        <v>15</v>
      </c>
      <c r="J1093" s="25">
        <v>92888</v>
      </c>
      <c r="K1093" s="25">
        <f>G1093*H1093</f>
        <v>109280</v>
      </c>
      <c r="L1093" s="8">
        <f>K1093*I1093/100</f>
        <v>16392</v>
      </c>
      <c r="M1093" s="2" t="s">
        <v>139</v>
      </c>
      <c r="N1093" s="2" t="s">
        <v>79</v>
      </c>
      <c r="O1093" s="2">
        <v>2025</v>
      </c>
      <c r="P1093" s="2" t="str">
        <v>June</v>
      </c>
      <c r="Q1093" s="2" t="s">
        <v>47</v>
      </c>
    </row>
    <row r="1094" spans="1:17" x14ac:dyDescent="0.25">
      <c r="A1094" s="2" t="s">
        <v>2235</v>
      </c>
      <c r="B1094" s="7">
        <v>45956</v>
      </c>
      <c r="C1094" s="5" t="s">
        <v>156</v>
      </c>
      <c r="D1094" s="5" t="s">
        <v>51</v>
      </c>
      <c r="E1094" s="5" t="s">
        <v>148</v>
      </c>
      <c r="F1094" s="2" t="s">
        <v>209</v>
      </c>
      <c r="G1094" s="2">
        <v>3</v>
      </c>
      <c r="H1094" s="25">
        <v>510</v>
      </c>
      <c r="I1094" s="8">
        <v>5</v>
      </c>
      <c r="J1094" s="25">
        <v>1453.5</v>
      </c>
      <c r="K1094" s="25">
        <f>G1094*H1094</f>
        <v>1530</v>
      </c>
      <c r="L1094" s="8">
        <f>K1094*I1094/100</f>
        <v>76.5</v>
      </c>
      <c r="M1094" s="2" t="s">
        <v>53</v>
      </c>
      <c r="N1094" s="2" t="s">
        <v>168</v>
      </c>
      <c r="O1094" s="2">
        <v>2025</v>
      </c>
      <c r="P1094" s="2" t="str">
        <v>October</v>
      </c>
      <c r="Q1094" s="2" t="s">
        <v>47</v>
      </c>
    </row>
    <row r="1095" spans="1:17" x14ac:dyDescent="0.25">
      <c r="A1095" s="2" t="s">
        <v>2237</v>
      </c>
      <c r="B1095" s="7">
        <v>45777</v>
      </c>
      <c r="C1095" s="5" t="s">
        <v>135</v>
      </c>
      <c r="D1095" s="5" t="s">
        <v>42</v>
      </c>
      <c r="E1095" s="5" t="s">
        <v>148</v>
      </c>
      <c r="F1095" s="2" t="s">
        <v>435</v>
      </c>
      <c r="G1095" s="2">
        <v>9</v>
      </c>
      <c r="H1095" s="25">
        <v>47720</v>
      </c>
      <c r="I1095" s="8">
        <v>0</v>
      </c>
      <c r="J1095" s="25">
        <v>429480</v>
      </c>
      <c r="K1095" s="25">
        <f>G1095*H1095</f>
        <v>429480</v>
      </c>
      <c r="L1095" s="8">
        <f>K1095*I1095/100</f>
        <v>0</v>
      </c>
      <c r="M1095" s="2" t="s">
        <v>102</v>
      </c>
      <c r="N1095" s="2" t="s">
        <v>341</v>
      </c>
      <c r="O1095" s="2">
        <v>2025</v>
      </c>
      <c r="P1095" s="2" t="str">
        <v>April</v>
      </c>
      <c r="Q1095" s="2" t="s">
        <v>47</v>
      </c>
    </row>
    <row r="1096" spans="1:17" x14ac:dyDescent="0.25">
      <c r="A1096" s="2" t="s">
        <v>2238</v>
      </c>
      <c r="B1096" s="7">
        <v>45769</v>
      </c>
      <c r="C1096" s="5" t="s">
        <v>135</v>
      </c>
      <c r="D1096" s="5" t="s">
        <v>58</v>
      </c>
      <c r="E1096" s="5" t="s">
        <v>25</v>
      </c>
      <c r="F1096" s="2" t="s">
        <v>106</v>
      </c>
      <c r="G1096" s="2">
        <v>4</v>
      </c>
      <c r="H1096" s="25">
        <v>12860</v>
      </c>
      <c r="I1096" s="8">
        <v>0</v>
      </c>
      <c r="J1096" s="25">
        <v>51440</v>
      </c>
      <c r="K1096" s="25">
        <f>G1096*H1096</f>
        <v>51440</v>
      </c>
      <c r="L1096" s="8">
        <f>K1096*I1096/100</f>
        <v>0</v>
      </c>
      <c r="M1096" s="2" t="s">
        <v>53</v>
      </c>
      <c r="N1096" s="2" t="s">
        <v>266</v>
      </c>
      <c r="O1096" s="2">
        <v>2025</v>
      </c>
      <c r="P1096" s="2" t="str">
        <v>April</v>
      </c>
      <c r="Q1096" s="2" t="s">
        <v>21</v>
      </c>
    </row>
    <row r="1097" spans="1:17" x14ac:dyDescent="0.25">
      <c r="A1097" s="2" t="s">
        <v>2239</v>
      </c>
      <c r="B1097" s="7">
        <v>45888</v>
      </c>
      <c r="C1097" s="5" t="s">
        <v>76</v>
      </c>
      <c r="D1097" s="5" t="s">
        <v>33</v>
      </c>
      <c r="E1097" s="5" t="s">
        <v>179</v>
      </c>
      <c r="F1097" s="2" t="s">
        <v>78</v>
      </c>
      <c r="G1097" s="2">
        <v>8</v>
      </c>
      <c r="H1097" s="25">
        <v>9350</v>
      </c>
      <c r="I1097" s="8">
        <v>0</v>
      </c>
      <c r="J1097" s="25">
        <v>74800</v>
      </c>
      <c r="K1097" s="25">
        <f>G1097*H1097</f>
        <v>74800</v>
      </c>
      <c r="L1097" s="8">
        <f>K1097*I1097/100</f>
        <v>0</v>
      </c>
      <c r="M1097" s="2" t="s">
        <v>102</v>
      </c>
      <c r="N1097" s="2" t="s">
        <v>176</v>
      </c>
      <c r="O1097" s="2">
        <v>2025</v>
      </c>
      <c r="P1097" s="2" t="str">
        <v>August</v>
      </c>
      <c r="Q1097" s="2" t="s">
        <v>47</v>
      </c>
    </row>
    <row r="1098" spans="1:17" x14ac:dyDescent="0.25">
      <c r="A1098" s="2" t="s">
        <v>2241</v>
      </c>
      <c r="B1098" s="7">
        <v>45961</v>
      </c>
      <c r="C1098" s="5" t="s">
        <v>24</v>
      </c>
      <c r="D1098" s="5" t="s">
        <v>16</v>
      </c>
      <c r="E1098" s="5" t="s">
        <v>25</v>
      </c>
      <c r="F1098" s="2" t="s">
        <v>93</v>
      </c>
      <c r="G1098" s="2">
        <v>7</v>
      </c>
      <c r="H1098" s="25">
        <v>42320</v>
      </c>
      <c r="I1098" s="8">
        <v>0</v>
      </c>
      <c r="J1098" s="25">
        <v>296240</v>
      </c>
      <c r="K1098" s="25">
        <f>G1098*H1098</f>
        <v>296240</v>
      </c>
      <c r="L1098" s="8">
        <f>K1098*I1098/100</f>
        <v>0</v>
      </c>
      <c r="M1098" s="2" t="s">
        <v>102</v>
      </c>
      <c r="N1098" s="2" t="s">
        <v>883</v>
      </c>
      <c r="O1098" s="2">
        <v>2025</v>
      </c>
      <c r="P1098" s="2" t="str">
        <v>October</v>
      </c>
      <c r="Q1098" s="2" t="s">
        <v>47</v>
      </c>
    </row>
    <row r="1099" spans="1:17" x14ac:dyDescent="0.25">
      <c r="A1099" s="2" t="s">
        <v>2243</v>
      </c>
      <c r="B1099" s="7">
        <v>45837</v>
      </c>
      <c r="C1099" s="5" t="s">
        <v>41</v>
      </c>
      <c r="D1099" s="5" t="s">
        <v>42</v>
      </c>
      <c r="E1099" s="5" t="s">
        <v>179</v>
      </c>
      <c r="F1099" s="2" t="s">
        <v>180</v>
      </c>
      <c r="G1099" s="2">
        <v>11</v>
      </c>
      <c r="H1099" s="25">
        <v>5250</v>
      </c>
      <c r="I1099" s="8">
        <v>0</v>
      </c>
      <c r="J1099" s="25">
        <v>57750</v>
      </c>
      <c r="K1099" s="25">
        <f>G1099*H1099</f>
        <v>57750</v>
      </c>
      <c r="L1099" s="8">
        <f>K1099*I1099/100</f>
        <v>0</v>
      </c>
      <c r="M1099" s="2" t="s">
        <v>102</v>
      </c>
      <c r="N1099" s="2" t="s">
        <v>37</v>
      </c>
      <c r="O1099" s="2">
        <v>2025</v>
      </c>
      <c r="P1099" s="2" t="str">
        <v>June</v>
      </c>
      <c r="Q1099" s="2" t="s">
        <v>47</v>
      </c>
    </row>
    <row r="1100" spans="1:17" x14ac:dyDescent="0.25">
      <c r="A1100" s="2" t="s">
        <v>2244</v>
      </c>
      <c r="B1100" s="7">
        <v>46005</v>
      </c>
      <c r="C1100" s="5" t="s">
        <v>135</v>
      </c>
      <c r="D1100" s="5" t="s">
        <v>58</v>
      </c>
      <c r="E1100" s="5" t="s">
        <v>148</v>
      </c>
      <c r="F1100" s="2" t="s">
        <v>83</v>
      </c>
      <c r="G1100" s="2">
        <v>6</v>
      </c>
      <c r="H1100" s="25">
        <v>3190</v>
      </c>
      <c r="I1100" s="8">
        <v>0</v>
      </c>
      <c r="J1100" s="25">
        <v>19140</v>
      </c>
      <c r="K1100" s="25">
        <f>G1100*H1100</f>
        <v>19140</v>
      </c>
      <c r="L1100" s="8">
        <f>K1100*I1100/100</f>
        <v>0</v>
      </c>
      <c r="M1100" s="2" t="s">
        <v>53</v>
      </c>
      <c r="N1100" s="2" t="s">
        <v>176</v>
      </c>
      <c r="O1100" s="2">
        <v>2025</v>
      </c>
      <c r="P1100" s="2" t="str">
        <v>December</v>
      </c>
      <c r="Q1100" s="2" t="s">
        <v>21</v>
      </c>
    </row>
    <row r="1101" spans="1:17" x14ac:dyDescent="0.25">
      <c r="A1101" s="2" t="s">
        <v>2246</v>
      </c>
      <c r="B1101" s="7">
        <v>46001</v>
      </c>
      <c r="C1101" s="5" t="s">
        <v>135</v>
      </c>
      <c r="D1101" s="5" t="s">
        <v>58</v>
      </c>
      <c r="E1101" s="5" t="s">
        <v>179</v>
      </c>
      <c r="F1101" s="2" t="s">
        <v>239</v>
      </c>
      <c r="G1101" s="2">
        <v>10</v>
      </c>
      <c r="H1101" s="25">
        <v>7360</v>
      </c>
      <c r="I1101" s="8">
        <v>10</v>
      </c>
      <c r="J1101" s="25">
        <v>66240</v>
      </c>
      <c r="K1101" s="25">
        <f>G1101*H1101</f>
        <v>73600</v>
      </c>
      <c r="L1101" s="8">
        <f>K1101*I1101/100</f>
        <v>7360</v>
      </c>
      <c r="M1101" s="2" t="s">
        <v>53</v>
      </c>
      <c r="N1101" s="2" t="s">
        <v>406</v>
      </c>
      <c r="O1101" s="2">
        <v>2025</v>
      </c>
      <c r="P1101" s="2" t="str">
        <v>December</v>
      </c>
      <c r="Q1101" s="2" t="s">
        <v>21</v>
      </c>
    </row>
    <row r="1102" spans="1:17" x14ac:dyDescent="0.25">
      <c r="A1102" s="2" t="s">
        <v>2247</v>
      </c>
      <c r="B1102" s="7">
        <v>45843</v>
      </c>
      <c r="C1102" s="5" t="s">
        <v>32</v>
      </c>
      <c r="D1102" s="5" t="s">
        <v>33</v>
      </c>
      <c r="E1102" s="5" t="s">
        <v>295</v>
      </c>
      <c r="F1102" s="2" t="s">
        <v>66</v>
      </c>
      <c r="G1102" s="2">
        <v>7</v>
      </c>
      <c r="H1102" s="25">
        <v>8260</v>
      </c>
      <c r="I1102" s="8">
        <v>0</v>
      </c>
      <c r="J1102" s="25">
        <v>57820</v>
      </c>
      <c r="K1102" s="25">
        <f>G1102*H1102</f>
        <v>57820</v>
      </c>
      <c r="L1102" s="8">
        <f>K1102*I1102/100</f>
        <v>0</v>
      </c>
      <c r="M1102" s="2" t="s">
        <v>102</v>
      </c>
      <c r="N1102" s="2" t="s">
        <v>68</v>
      </c>
      <c r="O1102" s="2">
        <v>2025</v>
      </c>
      <c r="P1102" s="2" t="str">
        <v>July</v>
      </c>
      <c r="Q1102" s="2" t="s">
        <v>21</v>
      </c>
    </row>
    <row r="1103" spans="1:17" x14ac:dyDescent="0.25">
      <c r="A1103" s="2" t="s">
        <v>2248</v>
      </c>
      <c r="B1103" s="7">
        <v>45857</v>
      </c>
      <c r="C1103" s="5" t="s">
        <v>24</v>
      </c>
      <c r="D1103" s="5" t="s">
        <v>16</v>
      </c>
      <c r="E1103" s="5" t="s">
        <v>179</v>
      </c>
      <c r="F1103" s="2" t="s">
        <v>184</v>
      </c>
      <c r="G1103" s="2">
        <v>2</v>
      </c>
      <c r="H1103" s="25">
        <v>20590</v>
      </c>
      <c r="I1103" s="8">
        <v>0</v>
      </c>
      <c r="J1103" s="25">
        <v>41180</v>
      </c>
      <c r="K1103" s="25">
        <f>G1103*H1103</f>
        <v>41180</v>
      </c>
      <c r="L1103" s="8">
        <f>K1103*I1103/100</f>
        <v>0</v>
      </c>
      <c r="M1103" s="2" t="s">
        <v>53</v>
      </c>
      <c r="N1103" s="2" t="s">
        <v>266</v>
      </c>
      <c r="O1103" s="2">
        <v>2025</v>
      </c>
      <c r="P1103" s="2" t="str">
        <v>July</v>
      </c>
      <c r="Q1103" s="2" t="s">
        <v>21</v>
      </c>
    </row>
    <row r="1104" spans="1:17" x14ac:dyDescent="0.25">
      <c r="A1104" s="2" t="s">
        <v>2249</v>
      </c>
      <c r="B1104" s="7">
        <v>45898</v>
      </c>
      <c r="C1104" s="5" t="s">
        <v>156</v>
      </c>
      <c r="D1104" s="5" t="s">
        <v>51</v>
      </c>
      <c r="E1104" s="5" t="s">
        <v>295</v>
      </c>
      <c r="F1104" s="2" t="s">
        <v>126</v>
      </c>
      <c r="G1104" s="2">
        <v>11</v>
      </c>
      <c r="H1104" s="25">
        <v>1090</v>
      </c>
      <c r="I1104" s="8">
        <v>0</v>
      </c>
      <c r="J1104" s="25">
        <v>11990</v>
      </c>
      <c r="K1104" s="25">
        <f>G1104*H1104</f>
        <v>11990</v>
      </c>
      <c r="L1104" s="8">
        <f>K1104*I1104/100</f>
        <v>0</v>
      </c>
      <c r="M1104" s="2" t="s">
        <v>102</v>
      </c>
      <c r="N1104" s="2" t="s">
        <v>37</v>
      </c>
      <c r="O1104" s="2">
        <v>2025</v>
      </c>
      <c r="P1104" s="2" t="str">
        <v>August</v>
      </c>
      <c r="Q1104" s="2" t="s">
        <v>21</v>
      </c>
    </row>
    <row r="1105" spans="1:17" x14ac:dyDescent="0.25">
      <c r="A1105" s="2" t="s">
        <v>2251</v>
      </c>
      <c r="B1105" s="7">
        <v>45663</v>
      </c>
      <c r="C1105" s="5" t="s">
        <v>32</v>
      </c>
      <c r="D1105" s="2" t="s">
        <v>33</v>
      </c>
      <c r="E1105" s="2" t="s">
        <v>295</v>
      </c>
      <c r="F1105" s="2" t="s">
        <v>101</v>
      </c>
      <c r="G1105" s="2">
        <v>5</v>
      </c>
      <c r="H1105" s="25">
        <v>9870</v>
      </c>
      <c r="I1105" s="8">
        <v>0</v>
      </c>
      <c r="J1105" s="25">
        <v>49350</v>
      </c>
      <c r="K1105" s="25">
        <f>G1105*H1105</f>
        <v>49350</v>
      </c>
      <c r="L1105" s="8">
        <f>K1105*I1105/100</f>
        <v>0</v>
      </c>
      <c r="M1105" s="2" t="s">
        <v>102</v>
      </c>
      <c r="N1105" s="2" t="s">
        <v>344</v>
      </c>
      <c r="O1105" s="2">
        <v>2025</v>
      </c>
      <c r="P1105" s="2" t="str">
        <v>January</v>
      </c>
      <c r="Q1105" s="2" t="s">
        <v>21</v>
      </c>
    </row>
    <row r="1106" spans="1:17" x14ac:dyDescent="0.25">
      <c r="A1106" s="2" t="s">
        <v>2253</v>
      </c>
      <c r="B1106" s="7">
        <v>45676</v>
      </c>
      <c r="C1106" s="5" t="s">
        <v>32</v>
      </c>
      <c r="D1106" s="5" t="s">
        <v>33</v>
      </c>
      <c r="E1106" s="5" t="s">
        <v>179</v>
      </c>
      <c r="F1106" s="2" t="s">
        <v>239</v>
      </c>
      <c r="G1106" s="2">
        <v>5</v>
      </c>
      <c r="H1106" s="25">
        <v>8340</v>
      </c>
      <c r="I1106" s="8">
        <v>0</v>
      </c>
      <c r="J1106" s="25">
        <v>41700</v>
      </c>
      <c r="K1106" s="25">
        <f>G1106*H1106</f>
        <v>41700</v>
      </c>
      <c r="L1106" s="8">
        <f>K1106*I1106/100</f>
        <v>0</v>
      </c>
      <c r="M1106" s="2" t="s">
        <v>102</v>
      </c>
      <c r="N1106" s="2" t="s">
        <v>406</v>
      </c>
      <c r="O1106" s="2">
        <v>2025</v>
      </c>
      <c r="P1106" s="2" t="str">
        <v>January</v>
      </c>
      <c r="Q1106" s="2" t="s">
        <v>21</v>
      </c>
    </row>
    <row r="1107" spans="1:17" x14ac:dyDescent="0.25">
      <c r="A1107" s="2" t="s">
        <v>2254</v>
      </c>
      <c r="B1107" s="7">
        <v>45753</v>
      </c>
      <c r="C1107" s="5" t="s">
        <v>41</v>
      </c>
      <c r="D1107" s="5" t="s">
        <v>42</v>
      </c>
      <c r="E1107" s="5" t="s">
        <v>179</v>
      </c>
      <c r="F1107" s="2" t="s">
        <v>543</v>
      </c>
      <c r="G1107" s="2">
        <v>10</v>
      </c>
      <c r="H1107" s="25">
        <v>42610</v>
      </c>
      <c r="I1107" s="8">
        <v>0</v>
      </c>
      <c r="J1107" s="25">
        <v>426100</v>
      </c>
      <c r="K1107" s="25">
        <f>G1107*H1107</f>
        <v>426100</v>
      </c>
      <c r="L1107" s="8">
        <f>K1107*I1107/100</f>
        <v>0</v>
      </c>
      <c r="M1107" s="2" t="s">
        <v>102</v>
      </c>
      <c r="N1107" s="2" t="s">
        <v>79</v>
      </c>
      <c r="O1107" s="2">
        <v>2025</v>
      </c>
      <c r="P1107" s="2" t="str">
        <v>April</v>
      </c>
      <c r="Q1107" s="2" t="s">
        <v>21</v>
      </c>
    </row>
    <row r="1108" spans="1:17" x14ac:dyDescent="0.25">
      <c r="A1108" s="2" t="s">
        <v>2255</v>
      </c>
      <c r="B1108" s="7">
        <v>45901</v>
      </c>
      <c r="C1108" s="5" t="s">
        <v>76</v>
      </c>
      <c r="D1108" s="5" t="s">
        <v>33</v>
      </c>
      <c r="E1108" s="5" t="s">
        <v>25</v>
      </c>
      <c r="F1108" s="2" t="s">
        <v>106</v>
      </c>
      <c r="G1108" s="2">
        <v>3</v>
      </c>
      <c r="H1108" s="25">
        <v>20090</v>
      </c>
      <c r="I1108" s="8">
        <v>0</v>
      </c>
      <c r="J1108" s="25">
        <v>60270</v>
      </c>
      <c r="K1108" s="25">
        <f>G1108*H1108</f>
        <v>60270</v>
      </c>
      <c r="L1108" s="8">
        <f>K1108*I1108/100</f>
        <v>0</v>
      </c>
      <c r="M1108" s="2" t="s">
        <v>102</v>
      </c>
      <c r="N1108" s="2" t="s">
        <v>176</v>
      </c>
      <c r="O1108" s="2">
        <v>2025</v>
      </c>
      <c r="P1108" s="2" t="str">
        <v>September</v>
      </c>
      <c r="Q1108" s="2" t="s">
        <v>21</v>
      </c>
    </row>
    <row r="1109" spans="1:17" x14ac:dyDescent="0.25">
      <c r="A1109" s="2" t="s">
        <v>2257</v>
      </c>
      <c r="B1109" s="7">
        <v>46012</v>
      </c>
      <c r="C1109" s="5" t="s">
        <v>32</v>
      </c>
      <c r="D1109" s="5" t="s">
        <v>33</v>
      </c>
      <c r="E1109" s="5" t="s">
        <v>25</v>
      </c>
      <c r="F1109" s="2" t="s">
        <v>248</v>
      </c>
      <c r="G1109" s="2">
        <v>10</v>
      </c>
      <c r="H1109" s="25">
        <v>74360</v>
      </c>
      <c r="I1109" s="8">
        <v>0</v>
      </c>
      <c r="J1109" s="25">
        <v>743600</v>
      </c>
      <c r="K1109" s="25">
        <f>G1109*H1109</f>
        <v>743600</v>
      </c>
      <c r="L1109" s="8">
        <f>K1109*I1109/100</f>
        <v>0</v>
      </c>
      <c r="M1109" s="2" t="s">
        <v>94</v>
      </c>
      <c r="N1109" s="2" t="s">
        <v>411</v>
      </c>
      <c r="O1109" s="2">
        <v>2025</v>
      </c>
      <c r="P1109" s="2" t="str">
        <v>December</v>
      </c>
      <c r="Q1109" s="2" t="s">
        <v>21</v>
      </c>
    </row>
    <row r="1110" spans="1:17" x14ac:dyDescent="0.25">
      <c r="A1110" s="2" t="s">
        <v>2258</v>
      </c>
      <c r="B1110" s="7">
        <v>46005</v>
      </c>
      <c r="C1110" s="5" t="s">
        <v>32</v>
      </c>
      <c r="D1110" s="5" t="s">
        <v>33</v>
      </c>
      <c r="E1110" s="5" t="s">
        <v>179</v>
      </c>
      <c r="F1110" s="2" t="s">
        <v>143</v>
      </c>
      <c r="G1110" s="2">
        <v>1</v>
      </c>
      <c r="H1110" s="25">
        <v>66280</v>
      </c>
      <c r="I1110" s="8">
        <v>0</v>
      </c>
      <c r="J1110" s="25">
        <v>66280</v>
      </c>
      <c r="K1110" s="25">
        <f>G1110*H1110</f>
        <v>66280</v>
      </c>
      <c r="L1110" s="8">
        <f>K1110*I1110/100</f>
        <v>0</v>
      </c>
      <c r="M1110" s="2" t="s">
        <v>139</v>
      </c>
      <c r="N1110" s="2" t="s">
        <v>68</v>
      </c>
      <c r="O1110" s="2">
        <v>2025</v>
      </c>
      <c r="P1110" s="2" t="str">
        <v>December</v>
      </c>
      <c r="Q1110" s="2" t="s">
        <v>21</v>
      </c>
    </row>
    <row r="1111" spans="1:17" x14ac:dyDescent="0.25">
      <c r="A1111" s="2" t="s">
        <v>2259</v>
      </c>
      <c r="B1111" s="7">
        <v>45741</v>
      </c>
      <c r="C1111" s="5" t="s">
        <v>135</v>
      </c>
      <c r="D1111" s="5" t="s">
        <v>58</v>
      </c>
      <c r="E1111" s="5" t="s">
        <v>34</v>
      </c>
      <c r="F1111" s="2" t="s">
        <v>290</v>
      </c>
      <c r="G1111" s="2">
        <v>4</v>
      </c>
      <c r="H1111" s="25">
        <v>23710</v>
      </c>
      <c r="I1111" s="8">
        <v>5</v>
      </c>
      <c r="J1111" s="25">
        <v>90098</v>
      </c>
      <c r="K1111" s="25">
        <f>G1111*H1111</f>
        <v>94840</v>
      </c>
      <c r="L1111" s="8">
        <f>K1111*I1111/100</f>
        <v>4742</v>
      </c>
      <c r="M1111" s="2" t="s">
        <v>102</v>
      </c>
      <c r="N1111" s="2" t="s">
        <v>883</v>
      </c>
      <c r="O1111" s="2">
        <v>2025</v>
      </c>
      <c r="P1111" s="2" t="str">
        <v>March</v>
      </c>
      <c r="Q1111" s="2" t="s">
        <v>21</v>
      </c>
    </row>
    <row r="1112" spans="1:17" x14ac:dyDescent="0.25">
      <c r="A1112" s="2" t="s">
        <v>2261</v>
      </c>
      <c r="B1112" s="7">
        <v>45764</v>
      </c>
      <c r="C1112" s="5" t="s">
        <v>135</v>
      </c>
      <c r="D1112" s="5" t="s">
        <v>58</v>
      </c>
      <c r="E1112" s="5" t="s">
        <v>179</v>
      </c>
      <c r="F1112" s="2" t="s">
        <v>314</v>
      </c>
      <c r="G1112" s="2">
        <v>1</v>
      </c>
      <c r="H1112" s="25">
        <v>4740</v>
      </c>
      <c r="I1112" s="8">
        <v>10</v>
      </c>
      <c r="J1112" s="25">
        <v>4266</v>
      </c>
      <c r="K1112" s="25">
        <f>G1112*H1112</f>
        <v>4740</v>
      </c>
      <c r="L1112" s="8">
        <f>K1112*I1112/100</f>
        <v>474</v>
      </c>
      <c r="M1112" s="2" t="s">
        <v>102</v>
      </c>
      <c r="N1112" s="2" t="s">
        <v>73</v>
      </c>
      <c r="O1112" s="2">
        <v>2025</v>
      </c>
      <c r="P1112" s="2" t="str">
        <v>April</v>
      </c>
      <c r="Q1112" s="2" t="s">
        <v>47</v>
      </c>
    </row>
    <row r="1113" spans="1:17" x14ac:dyDescent="0.25">
      <c r="A1113" s="2" t="s">
        <v>2263</v>
      </c>
      <c r="B1113" s="7">
        <v>45927</v>
      </c>
      <c r="C1113" s="5" t="s">
        <v>24</v>
      </c>
      <c r="D1113" s="5" t="s">
        <v>16</v>
      </c>
      <c r="E1113" s="5" t="s">
        <v>179</v>
      </c>
      <c r="F1113" s="2" t="s">
        <v>224</v>
      </c>
      <c r="G1113" s="2">
        <v>11</v>
      </c>
      <c r="H1113" s="25">
        <v>1160</v>
      </c>
      <c r="I1113" s="8">
        <v>0</v>
      </c>
      <c r="J1113" s="25">
        <v>12760</v>
      </c>
      <c r="K1113" s="25">
        <f>G1113*H1113</f>
        <v>12760</v>
      </c>
      <c r="L1113" s="8">
        <f>K1113*I1113/100</f>
        <v>0</v>
      </c>
      <c r="M1113" s="2" t="s">
        <v>102</v>
      </c>
      <c r="N1113" s="2" t="s">
        <v>68</v>
      </c>
      <c r="O1113" s="2">
        <v>2025</v>
      </c>
      <c r="P1113" s="2" t="str">
        <v>September</v>
      </c>
      <c r="Q1113" s="2" t="s">
        <v>47</v>
      </c>
    </row>
    <row r="1114" spans="1:17" x14ac:dyDescent="0.25">
      <c r="A1114" s="2" t="s">
        <v>2265</v>
      </c>
      <c r="B1114" s="7">
        <v>45789</v>
      </c>
      <c r="C1114" s="5" t="s">
        <v>135</v>
      </c>
      <c r="D1114" s="5" t="s">
        <v>58</v>
      </c>
      <c r="E1114" s="5" t="s">
        <v>179</v>
      </c>
      <c r="F1114" s="2" t="s">
        <v>239</v>
      </c>
      <c r="G1114" s="2">
        <v>5</v>
      </c>
      <c r="H1114" s="25">
        <v>8390</v>
      </c>
      <c r="I1114" s="8">
        <v>0</v>
      </c>
      <c r="J1114" s="25">
        <v>41950</v>
      </c>
      <c r="K1114" s="25">
        <f>G1114*H1114</f>
        <v>41950</v>
      </c>
      <c r="L1114" s="8">
        <f>K1114*I1114/100</f>
        <v>0</v>
      </c>
      <c r="M1114" s="2" t="s">
        <v>102</v>
      </c>
      <c r="N1114" s="2" t="s">
        <v>406</v>
      </c>
      <c r="O1114" s="2">
        <v>2025</v>
      </c>
      <c r="P1114" s="2" t="str">
        <v>May</v>
      </c>
      <c r="Q1114" s="2" t="s">
        <v>47</v>
      </c>
    </row>
    <row r="1115" spans="1:17" x14ac:dyDescent="0.25">
      <c r="A1115" s="2" t="s">
        <v>2266</v>
      </c>
      <c r="B1115" s="7">
        <v>45731</v>
      </c>
      <c r="C1115" s="5" t="s">
        <v>156</v>
      </c>
      <c r="D1115" s="5" t="s">
        <v>51</v>
      </c>
      <c r="E1115" s="5" t="s">
        <v>295</v>
      </c>
      <c r="F1115" s="2" t="s">
        <v>319</v>
      </c>
      <c r="G1115" s="2">
        <v>4</v>
      </c>
      <c r="H1115" s="25">
        <v>26260</v>
      </c>
      <c r="I1115" s="8">
        <v>10</v>
      </c>
      <c r="J1115" s="25">
        <v>94536</v>
      </c>
      <c r="K1115" s="25">
        <f>G1115*H1115</f>
        <v>105040</v>
      </c>
      <c r="L1115" s="8">
        <f>K1115*I1115/100</f>
        <v>10504</v>
      </c>
      <c r="M1115" s="2" t="s">
        <v>53</v>
      </c>
      <c r="N1115" s="2" t="s">
        <v>883</v>
      </c>
      <c r="O1115" s="2">
        <v>2025</v>
      </c>
      <c r="P1115" s="2" t="str">
        <v>March</v>
      </c>
      <c r="Q1115" s="2" t="s">
        <v>21</v>
      </c>
    </row>
    <row r="1116" spans="1:17" x14ac:dyDescent="0.25">
      <c r="A1116" s="2" t="s">
        <v>2267</v>
      </c>
      <c r="B1116" s="7">
        <v>45729</v>
      </c>
      <c r="C1116" s="5" t="s">
        <v>238</v>
      </c>
      <c r="D1116" s="5" t="s">
        <v>51</v>
      </c>
      <c r="E1116" s="5" t="s">
        <v>295</v>
      </c>
      <c r="F1116" s="2" t="s">
        <v>132</v>
      </c>
      <c r="G1116" s="2">
        <v>7</v>
      </c>
      <c r="H1116" s="25">
        <v>70700</v>
      </c>
      <c r="I1116" s="8">
        <v>0</v>
      </c>
      <c r="J1116" s="25">
        <v>494900</v>
      </c>
      <c r="K1116" s="25">
        <f>G1116*H1116</f>
        <v>494900</v>
      </c>
      <c r="L1116" s="8">
        <f>K1116*I1116/100</f>
        <v>0</v>
      </c>
      <c r="M1116" s="2" t="s">
        <v>94</v>
      </c>
      <c r="N1116" s="2" t="s">
        <v>266</v>
      </c>
      <c r="O1116" s="2">
        <v>2025</v>
      </c>
      <c r="P1116" s="2" t="str">
        <v>March</v>
      </c>
      <c r="Q1116" s="2" t="s">
        <v>21</v>
      </c>
    </row>
    <row r="1117" spans="1:17" x14ac:dyDescent="0.25">
      <c r="A1117" s="2" t="s">
        <v>2269</v>
      </c>
      <c r="B1117" s="7">
        <v>46021</v>
      </c>
      <c r="C1117" s="5" t="s">
        <v>156</v>
      </c>
      <c r="D1117" s="5" t="s">
        <v>51</v>
      </c>
      <c r="E1117" s="5" t="s">
        <v>295</v>
      </c>
      <c r="F1117" s="2" t="s">
        <v>219</v>
      </c>
      <c r="G1117" s="2">
        <v>6</v>
      </c>
      <c r="H1117" s="25">
        <v>1320</v>
      </c>
      <c r="I1117" s="8">
        <v>15</v>
      </c>
      <c r="J1117" s="25">
        <v>6732</v>
      </c>
      <c r="K1117" s="25">
        <f>G1117*H1117</f>
        <v>7920</v>
      </c>
      <c r="L1117" s="8">
        <f>K1117*I1117/100</f>
        <v>1188</v>
      </c>
      <c r="M1117" s="2" t="s">
        <v>139</v>
      </c>
      <c r="N1117" s="2" t="s">
        <v>341</v>
      </c>
      <c r="O1117" s="2">
        <v>2025</v>
      </c>
      <c r="P1117" s="2" t="str">
        <v>December</v>
      </c>
      <c r="Q1117" s="2" t="s">
        <v>47</v>
      </c>
    </row>
    <row r="1118" spans="1:17" x14ac:dyDescent="0.25">
      <c r="A1118" s="2" t="s">
        <v>2271</v>
      </c>
      <c r="B1118" s="7">
        <v>45870</v>
      </c>
      <c r="C1118" s="5" t="s">
        <v>76</v>
      </c>
      <c r="D1118" s="5" t="s">
        <v>33</v>
      </c>
      <c r="E1118" s="5" t="s">
        <v>179</v>
      </c>
      <c r="F1118" s="2" t="s">
        <v>239</v>
      </c>
      <c r="G1118" s="2">
        <v>2</v>
      </c>
      <c r="H1118" s="25">
        <v>2480</v>
      </c>
      <c r="I1118" s="8">
        <v>0</v>
      </c>
      <c r="J1118" s="25">
        <v>4960</v>
      </c>
      <c r="K1118" s="25">
        <f>G1118*H1118</f>
        <v>4960</v>
      </c>
      <c r="L1118" s="8">
        <f>K1118*I1118/100</f>
        <v>0</v>
      </c>
      <c r="M1118" s="2" t="s">
        <v>53</v>
      </c>
      <c r="N1118" s="2" t="s">
        <v>188</v>
      </c>
      <c r="O1118" s="2">
        <v>2025</v>
      </c>
      <c r="P1118" s="2" t="str">
        <v>August</v>
      </c>
      <c r="Q1118" s="2" t="s">
        <v>21</v>
      </c>
    </row>
    <row r="1119" spans="1:17" x14ac:dyDescent="0.25">
      <c r="A1119" s="2" t="s">
        <v>2273</v>
      </c>
      <c r="B1119" s="7">
        <v>45906</v>
      </c>
      <c r="C1119" s="5" t="s">
        <v>24</v>
      </c>
      <c r="D1119" s="5" t="s">
        <v>16</v>
      </c>
      <c r="E1119" s="5" t="s">
        <v>148</v>
      </c>
      <c r="F1119" s="2" t="s">
        <v>252</v>
      </c>
      <c r="G1119" s="2">
        <v>2</v>
      </c>
      <c r="H1119" s="25">
        <v>2850</v>
      </c>
      <c r="I1119" s="8">
        <v>0</v>
      </c>
      <c r="J1119" s="25">
        <v>5700</v>
      </c>
      <c r="K1119" s="25">
        <f>G1119*H1119</f>
        <v>5700</v>
      </c>
      <c r="L1119" s="8">
        <f>K1119*I1119/100</f>
        <v>0</v>
      </c>
      <c r="M1119" s="2" t="s">
        <v>139</v>
      </c>
      <c r="N1119" s="2" t="s">
        <v>406</v>
      </c>
      <c r="O1119" s="2">
        <v>2025</v>
      </c>
      <c r="P1119" s="2" t="str">
        <v>September</v>
      </c>
      <c r="Q1119" s="2" t="s">
        <v>21</v>
      </c>
    </row>
    <row r="1120" spans="1:17" x14ac:dyDescent="0.25">
      <c r="A1120" s="2" t="s">
        <v>2274</v>
      </c>
      <c r="B1120" s="7">
        <v>45838</v>
      </c>
      <c r="C1120" s="5" t="s">
        <v>156</v>
      </c>
      <c r="D1120" s="5" t="s">
        <v>51</v>
      </c>
      <c r="E1120" s="5" t="s">
        <v>295</v>
      </c>
      <c r="F1120" s="2" t="s">
        <v>296</v>
      </c>
      <c r="G1120" s="2">
        <v>5</v>
      </c>
      <c r="H1120" s="25">
        <v>59340</v>
      </c>
      <c r="I1120" s="8">
        <v>10</v>
      </c>
      <c r="J1120" s="25">
        <v>267030</v>
      </c>
      <c r="K1120" s="25">
        <f>G1120*H1120</f>
        <v>296700</v>
      </c>
      <c r="L1120" s="8">
        <f>K1120*I1120/100</f>
        <v>29670</v>
      </c>
      <c r="M1120" s="2" t="s">
        <v>139</v>
      </c>
      <c r="N1120" s="2" t="s">
        <v>168</v>
      </c>
      <c r="O1120" s="2">
        <v>2025</v>
      </c>
      <c r="P1120" s="2" t="str">
        <v>June</v>
      </c>
      <c r="Q1120" s="2" t="s">
        <v>47</v>
      </c>
    </row>
    <row r="1121" spans="1:17" x14ac:dyDescent="0.25">
      <c r="A1121" s="2" t="s">
        <v>2276</v>
      </c>
      <c r="B1121" s="7">
        <v>45831</v>
      </c>
      <c r="C1121" s="5" t="s">
        <v>238</v>
      </c>
      <c r="D1121" s="5" t="s">
        <v>51</v>
      </c>
      <c r="E1121" s="5" t="s">
        <v>34</v>
      </c>
      <c r="F1121" s="2" t="s">
        <v>164</v>
      </c>
      <c r="G1121" s="2">
        <v>10</v>
      </c>
      <c r="H1121" s="25">
        <v>13190</v>
      </c>
      <c r="I1121" s="8">
        <v>0</v>
      </c>
      <c r="J1121" s="25">
        <v>131900</v>
      </c>
      <c r="K1121" s="25">
        <f>G1121*H1121</f>
        <v>131900</v>
      </c>
      <c r="L1121" s="8">
        <f>K1121*I1121/100</f>
        <v>0</v>
      </c>
      <c r="M1121" s="2" t="s">
        <v>53</v>
      </c>
      <c r="N1121" s="2" t="s">
        <v>79</v>
      </c>
      <c r="O1121" s="2">
        <v>2025</v>
      </c>
      <c r="P1121" s="2" t="str">
        <v>June</v>
      </c>
      <c r="Q1121" s="2" t="s">
        <v>47</v>
      </c>
    </row>
    <row r="1122" spans="1:17" x14ac:dyDescent="0.25">
      <c r="A1122" s="2" t="s">
        <v>2278</v>
      </c>
      <c r="B1122" s="7">
        <v>45718</v>
      </c>
      <c r="C1122" s="5" t="s">
        <v>32</v>
      </c>
      <c r="D1122" s="5" t="s">
        <v>33</v>
      </c>
      <c r="E1122" s="5" t="s">
        <v>295</v>
      </c>
      <c r="F1122" s="2" t="s">
        <v>219</v>
      </c>
      <c r="G1122" s="2">
        <v>11</v>
      </c>
      <c r="H1122" s="25">
        <v>48810</v>
      </c>
      <c r="I1122" s="8">
        <v>0</v>
      </c>
      <c r="J1122" s="25">
        <v>536910</v>
      </c>
      <c r="K1122" s="25">
        <f>G1122*H1122</f>
        <v>536910</v>
      </c>
      <c r="L1122" s="8">
        <f>K1122*I1122/100</f>
        <v>0</v>
      </c>
      <c r="M1122" s="2" t="s">
        <v>139</v>
      </c>
      <c r="N1122" s="2" t="s">
        <v>54</v>
      </c>
      <c r="O1122" s="2">
        <v>2025</v>
      </c>
      <c r="P1122" s="2" t="str">
        <v>March</v>
      </c>
      <c r="Q1122" s="2" t="s">
        <v>21</v>
      </c>
    </row>
    <row r="1123" spans="1:17" x14ac:dyDescent="0.25">
      <c r="A1123" s="2" t="s">
        <v>2279</v>
      </c>
      <c r="B1123" s="7">
        <v>45879</v>
      </c>
      <c r="C1123" s="5" t="s">
        <v>135</v>
      </c>
      <c r="D1123" s="5" t="s">
        <v>33</v>
      </c>
      <c r="E1123" s="5" t="s">
        <v>295</v>
      </c>
      <c r="F1123" s="2" t="s">
        <v>319</v>
      </c>
      <c r="G1123" s="2">
        <v>7</v>
      </c>
      <c r="H1123" s="25">
        <v>67980</v>
      </c>
      <c r="I1123" s="8">
        <v>0</v>
      </c>
      <c r="J1123" s="25">
        <v>475860</v>
      </c>
      <c r="K1123" s="25">
        <f>G1123*H1123</f>
        <v>475860</v>
      </c>
      <c r="L1123" s="8">
        <f>K1123*I1123/100</f>
        <v>0</v>
      </c>
      <c r="M1123" s="2" t="s">
        <v>139</v>
      </c>
      <c r="N1123" s="2" t="s">
        <v>188</v>
      </c>
      <c r="O1123" s="2">
        <v>2025</v>
      </c>
      <c r="P1123" s="2" t="str">
        <v>August</v>
      </c>
      <c r="Q1123" s="2" t="s">
        <v>47</v>
      </c>
    </row>
    <row r="1124" spans="1:17" x14ac:dyDescent="0.25">
      <c r="A1124" s="2" t="s">
        <v>2281</v>
      </c>
      <c r="B1124" s="7">
        <v>45691</v>
      </c>
      <c r="C1124" s="5" t="s">
        <v>32</v>
      </c>
      <c r="D1124" s="5" t="s">
        <v>33</v>
      </c>
      <c r="E1124" s="5" t="s">
        <v>295</v>
      </c>
      <c r="F1124" s="2" t="s">
        <v>126</v>
      </c>
      <c r="G1124" s="2">
        <v>4</v>
      </c>
      <c r="H1124" s="25">
        <v>9670</v>
      </c>
      <c r="I1124" s="8">
        <v>10</v>
      </c>
      <c r="J1124" s="25">
        <v>34812</v>
      </c>
      <c r="K1124" s="25">
        <f>G1124*H1124</f>
        <v>38680</v>
      </c>
      <c r="L1124" s="8">
        <f>K1124*I1124/100</f>
        <v>3868</v>
      </c>
      <c r="M1124" s="2" t="s">
        <v>102</v>
      </c>
      <c r="N1124" s="2" t="s">
        <v>68</v>
      </c>
      <c r="O1124" s="2">
        <v>2025</v>
      </c>
      <c r="P1124" s="2" t="str">
        <v>February</v>
      </c>
      <c r="Q1124" s="2" t="s">
        <v>21</v>
      </c>
    </row>
    <row r="1125" spans="1:17" x14ac:dyDescent="0.25">
      <c r="A1125" s="2" t="s">
        <v>2282</v>
      </c>
      <c r="B1125" s="7">
        <v>45685</v>
      </c>
      <c r="C1125" s="5" t="s">
        <v>41</v>
      </c>
      <c r="D1125" s="5" t="s">
        <v>33</v>
      </c>
      <c r="E1125" s="5" t="s">
        <v>34</v>
      </c>
      <c r="F1125" s="2" t="s">
        <v>18</v>
      </c>
      <c r="G1125" s="2">
        <v>12</v>
      </c>
      <c r="H1125" s="25">
        <v>11230</v>
      </c>
      <c r="I1125" s="8">
        <v>0</v>
      </c>
      <c r="J1125" s="25">
        <v>134760</v>
      </c>
      <c r="K1125" s="25">
        <f>G1125*H1125</f>
        <v>134760</v>
      </c>
      <c r="L1125" s="8">
        <f>K1125*I1125/100</f>
        <v>0</v>
      </c>
      <c r="M1125" s="2" t="s">
        <v>102</v>
      </c>
      <c r="N1125" s="2" t="s">
        <v>37</v>
      </c>
      <c r="O1125" s="2">
        <v>2025</v>
      </c>
      <c r="P1125" s="2" t="str">
        <v>January</v>
      </c>
      <c r="Q1125" s="2" t="s">
        <v>21</v>
      </c>
    </row>
    <row r="1126" spans="1:17" x14ac:dyDescent="0.25">
      <c r="A1126" s="2" t="s">
        <v>2283</v>
      </c>
      <c r="B1126" s="7">
        <v>45670</v>
      </c>
      <c r="C1126" s="5" t="s">
        <v>24</v>
      </c>
      <c r="D1126" s="5" t="s">
        <v>16</v>
      </c>
      <c r="E1126" s="5" t="s">
        <v>179</v>
      </c>
      <c r="F1126" s="2" t="s">
        <v>184</v>
      </c>
      <c r="G1126" s="2">
        <v>3</v>
      </c>
      <c r="H1126" s="25">
        <v>4830</v>
      </c>
      <c r="I1126" s="8">
        <v>10</v>
      </c>
      <c r="J1126" s="25">
        <v>13041</v>
      </c>
      <c r="K1126" s="25">
        <f>G1126*H1126</f>
        <v>14490</v>
      </c>
      <c r="L1126" s="8">
        <f>K1126*I1126/100</f>
        <v>1449</v>
      </c>
      <c r="M1126" s="2" t="s">
        <v>53</v>
      </c>
      <c r="N1126" s="2" t="s">
        <v>411</v>
      </c>
      <c r="O1126" s="2">
        <v>2025</v>
      </c>
      <c r="P1126" s="2" t="str">
        <v>January</v>
      </c>
      <c r="Q1126" s="2" t="s">
        <v>21</v>
      </c>
    </row>
    <row r="1127" spans="1:17" x14ac:dyDescent="0.25">
      <c r="A1127" s="2" t="s">
        <v>2284</v>
      </c>
      <c r="B1127" s="7">
        <v>45801</v>
      </c>
      <c r="C1127" s="5" t="s">
        <v>41</v>
      </c>
      <c r="D1127" s="5" t="s">
        <v>42</v>
      </c>
      <c r="E1127" s="5" t="s">
        <v>179</v>
      </c>
      <c r="F1127" s="2" t="s">
        <v>78</v>
      </c>
      <c r="G1127" s="2">
        <v>12</v>
      </c>
      <c r="H1127" s="25">
        <v>6990</v>
      </c>
      <c r="I1127" s="8">
        <v>0</v>
      </c>
      <c r="J1127" s="25">
        <v>83880</v>
      </c>
      <c r="K1127" s="25">
        <f>G1127*H1127</f>
        <v>83880</v>
      </c>
      <c r="L1127" s="8">
        <f>K1127*I1127/100</f>
        <v>0</v>
      </c>
      <c r="M1127" s="2" t="s">
        <v>139</v>
      </c>
      <c r="N1127" s="2" t="s">
        <v>188</v>
      </c>
      <c r="O1127" s="2">
        <v>2025</v>
      </c>
      <c r="P1127" s="2" t="str">
        <v>May</v>
      </c>
      <c r="Q1127" s="2" t="s">
        <v>21</v>
      </c>
    </row>
    <row r="1128" spans="1:17" x14ac:dyDescent="0.25">
      <c r="A1128" s="2" t="s">
        <v>2286</v>
      </c>
      <c r="B1128" s="7">
        <v>45822</v>
      </c>
      <c r="C1128" s="5" t="s">
        <v>24</v>
      </c>
      <c r="D1128" s="5" t="s">
        <v>16</v>
      </c>
      <c r="E1128" s="5" t="s">
        <v>25</v>
      </c>
      <c r="F1128" s="2" t="s">
        <v>26</v>
      </c>
      <c r="G1128" s="2">
        <v>11</v>
      </c>
      <c r="H1128" s="25">
        <v>10930</v>
      </c>
      <c r="I1128" s="8">
        <v>5</v>
      </c>
      <c r="J1128" s="25">
        <v>114218.5</v>
      </c>
      <c r="K1128" s="25">
        <f>G1128*H1128</f>
        <v>120230</v>
      </c>
      <c r="L1128" s="8">
        <f>K1128*I1128/100</f>
        <v>6011.5</v>
      </c>
      <c r="M1128" s="2" t="s">
        <v>102</v>
      </c>
      <c r="N1128" s="2" t="s">
        <v>54</v>
      </c>
      <c r="O1128" s="2">
        <v>2025</v>
      </c>
      <c r="P1128" s="2" t="str">
        <v>June</v>
      </c>
      <c r="Q1128" s="2" t="s">
        <v>47</v>
      </c>
    </row>
    <row r="1129" spans="1:17" x14ac:dyDescent="0.25">
      <c r="A1129" s="2" t="s">
        <v>2288</v>
      </c>
      <c r="B1129" s="7">
        <v>45844</v>
      </c>
      <c r="C1129" s="5" t="s">
        <v>135</v>
      </c>
      <c r="D1129" s="5" t="s">
        <v>58</v>
      </c>
      <c r="E1129" s="5" t="s">
        <v>295</v>
      </c>
      <c r="F1129" s="2" t="s">
        <v>101</v>
      </c>
      <c r="G1129" s="2">
        <v>3</v>
      </c>
      <c r="H1129" s="25">
        <v>19710</v>
      </c>
      <c r="I1129" s="8">
        <v>0</v>
      </c>
      <c r="J1129" s="25">
        <v>59130</v>
      </c>
      <c r="K1129" s="25">
        <f>G1129*H1129</f>
        <v>59130</v>
      </c>
      <c r="L1129" s="8">
        <f>K1129*I1129/100</f>
        <v>0</v>
      </c>
      <c r="M1129" s="2" t="s">
        <v>139</v>
      </c>
      <c r="N1129" s="2" t="s">
        <v>341</v>
      </c>
      <c r="O1129" s="2">
        <v>2025</v>
      </c>
      <c r="P1129" s="2" t="str">
        <v>July</v>
      </c>
      <c r="Q1129" s="2" t="s">
        <v>47</v>
      </c>
    </row>
    <row r="1130" spans="1:17" x14ac:dyDescent="0.25">
      <c r="A1130" s="2" t="s">
        <v>2289</v>
      </c>
      <c r="B1130" s="7">
        <v>45857</v>
      </c>
      <c r="C1130" s="5" t="s">
        <v>135</v>
      </c>
      <c r="D1130" s="5" t="s">
        <v>58</v>
      </c>
      <c r="E1130" s="5" t="s">
        <v>295</v>
      </c>
      <c r="F1130" s="2" t="s">
        <v>132</v>
      </c>
      <c r="G1130" s="2">
        <v>6</v>
      </c>
      <c r="H1130" s="25">
        <v>5000</v>
      </c>
      <c r="I1130" s="8">
        <v>0</v>
      </c>
      <c r="J1130" s="25">
        <v>30000</v>
      </c>
      <c r="K1130" s="25">
        <f>G1130*H1130</f>
        <v>30000</v>
      </c>
      <c r="L1130" s="8">
        <f>K1130*I1130/100</f>
        <v>0</v>
      </c>
      <c r="M1130" s="2" t="s">
        <v>102</v>
      </c>
      <c r="N1130" s="2" t="s">
        <v>883</v>
      </c>
      <c r="O1130" s="2">
        <v>2025</v>
      </c>
      <c r="P1130" s="2" t="str">
        <v>July</v>
      </c>
      <c r="Q1130" s="2" t="s">
        <v>47</v>
      </c>
    </row>
    <row r="1131" spans="1:17" x14ac:dyDescent="0.25">
      <c r="A1131" s="2" t="s">
        <v>2290</v>
      </c>
      <c r="B1131" s="7">
        <v>45830</v>
      </c>
      <c r="C1131" s="5" t="s">
        <v>135</v>
      </c>
      <c r="D1131" s="5" t="s">
        <v>33</v>
      </c>
      <c r="E1131" s="5" t="s">
        <v>34</v>
      </c>
      <c r="F1131" s="2" t="s">
        <v>35</v>
      </c>
      <c r="G1131" s="2">
        <v>10</v>
      </c>
      <c r="H1131" s="25">
        <v>3400</v>
      </c>
      <c r="I1131" s="8">
        <v>0</v>
      </c>
      <c r="J1131" s="25">
        <v>34000</v>
      </c>
      <c r="K1131" s="25">
        <f>G1131*H1131</f>
        <v>34000</v>
      </c>
      <c r="L1131" s="8">
        <f>K1131*I1131/100</f>
        <v>0</v>
      </c>
      <c r="M1131" s="2" t="s">
        <v>102</v>
      </c>
      <c r="N1131" s="2" t="s">
        <v>411</v>
      </c>
      <c r="O1131" s="2">
        <v>2025</v>
      </c>
      <c r="P1131" s="2" t="str">
        <v>June</v>
      </c>
      <c r="Q1131" s="2" t="s">
        <v>47</v>
      </c>
    </row>
    <row r="1132" spans="1:17" x14ac:dyDescent="0.25">
      <c r="A1132" s="2" t="s">
        <v>2291</v>
      </c>
      <c r="B1132" s="7">
        <v>45718</v>
      </c>
      <c r="C1132" s="5" t="s">
        <v>156</v>
      </c>
      <c r="D1132" s="5" t="s">
        <v>51</v>
      </c>
      <c r="E1132" s="5" t="s">
        <v>148</v>
      </c>
      <c r="F1132" s="2" t="s">
        <v>209</v>
      </c>
      <c r="G1132" s="2">
        <v>4</v>
      </c>
      <c r="H1132" s="25">
        <v>3800</v>
      </c>
      <c r="I1132" s="8">
        <v>10</v>
      </c>
      <c r="J1132" s="25">
        <v>13680</v>
      </c>
      <c r="K1132" s="25">
        <f>G1132*H1132</f>
        <v>15200</v>
      </c>
      <c r="L1132" s="8">
        <f>K1132*I1132/100</f>
        <v>1520</v>
      </c>
      <c r="M1132" s="2" t="s">
        <v>94</v>
      </c>
      <c r="N1132" s="2" t="s">
        <v>68</v>
      </c>
      <c r="O1132" s="2">
        <v>2025</v>
      </c>
      <c r="P1132" s="2" t="str">
        <v>March</v>
      </c>
      <c r="Q1132" s="2" t="s">
        <v>47</v>
      </c>
    </row>
    <row r="1133" spans="1:17" x14ac:dyDescent="0.25">
      <c r="A1133" s="2" t="s">
        <v>2292</v>
      </c>
      <c r="B1133" s="7">
        <v>45848</v>
      </c>
      <c r="C1133" s="5" t="s">
        <v>76</v>
      </c>
      <c r="D1133" s="5" t="s">
        <v>33</v>
      </c>
      <c r="E1133" s="5" t="s">
        <v>295</v>
      </c>
      <c r="F1133" s="2" t="s">
        <v>126</v>
      </c>
      <c r="G1133" s="2">
        <v>7</v>
      </c>
      <c r="H1133" s="25">
        <v>64720</v>
      </c>
      <c r="I1133" s="8">
        <v>0</v>
      </c>
      <c r="J1133" s="25">
        <v>453040</v>
      </c>
      <c r="K1133" s="25">
        <f>G1133*H1133</f>
        <v>453040</v>
      </c>
      <c r="L1133" s="8">
        <f>K1133*I1133/100</f>
        <v>0</v>
      </c>
      <c r="M1133" s="2" t="s">
        <v>94</v>
      </c>
      <c r="N1133" s="2" t="s">
        <v>344</v>
      </c>
      <c r="O1133" s="2">
        <v>2025</v>
      </c>
      <c r="P1133" s="2" t="str">
        <v>July</v>
      </c>
      <c r="Q1133" s="2" t="s">
        <v>47</v>
      </c>
    </row>
    <row r="1134" spans="1:17" x14ac:dyDescent="0.25">
      <c r="A1134" s="2" t="s">
        <v>2294</v>
      </c>
      <c r="B1134" s="7">
        <v>45870</v>
      </c>
      <c r="C1134" s="5" t="s">
        <v>24</v>
      </c>
      <c r="D1134" s="5" t="s">
        <v>16</v>
      </c>
      <c r="E1134" s="5" t="s">
        <v>25</v>
      </c>
      <c r="F1134" s="2" t="s">
        <v>255</v>
      </c>
      <c r="G1134" s="2">
        <v>2</v>
      </c>
      <c r="H1134" s="25">
        <v>7510</v>
      </c>
      <c r="I1134" s="8">
        <v>5</v>
      </c>
      <c r="J1134" s="25">
        <v>14269</v>
      </c>
      <c r="K1134" s="25">
        <f>G1134*H1134</f>
        <v>15020</v>
      </c>
      <c r="L1134" s="8">
        <f>K1134*I1134/100</f>
        <v>751</v>
      </c>
      <c r="M1134" s="2" t="s">
        <v>139</v>
      </c>
      <c r="N1134" s="2" t="s">
        <v>406</v>
      </c>
      <c r="O1134" s="2">
        <v>2025</v>
      </c>
      <c r="P1134" s="2" t="str">
        <v>August</v>
      </c>
      <c r="Q1134" s="2" t="s">
        <v>47</v>
      </c>
    </row>
    <row r="1135" spans="1:17" x14ac:dyDescent="0.25">
      <c r="A1135" s="2" t="s">
        <v>2295</v>
      </c>
      <c r="B1135" s="7">
        <v>45693</v>
      </c>
      <c r="C1135" s="5" t="s">
        <v>76</v>
      </c>
      <c r="D1135" s="5" t="s">
        <v>33</v>
      </c>
      <c r="E1135" s="5" t="s">
        <v>295</v>
      </c>
      <c r="F1135" s="2" t="s">
        <v>219</v>
      </c>
      <c r="G1135" s="2">
        <v>2</v>
      </c>
      <c r="H1135" s="25">
        <v>1360</v>
      </c>
      <c r="I1135" s="8">
        <v>0</v>
      </c>
      <c r="J1135" s="25">
        <v>2720</v>
      </c>
      <c r="K1135" s="25">
        <f>G1135*H1135</f>
        <v>2720</v>
      </c>
      <c r="L1135" s="8">
        <f>K1135*I1135/100</f>
        <v>0</v>
      </c>
      <c r="M1135" s="2" t="s">
        <v>139</v>
      </c>
      <c r="N1135" s="2" t="s">
        <v>344</v>
      </c>
      <c r="O1135" s="2">
        <v>2025</v>
      </c>
      <c r="P1135" s="2" t="str">
        <v>February</v>
      </c>
      <c r="Q1135" s="2" t="s">
        <v>21</v>
      </c>
    </row>
    <row r="1136" spans="1:17" x14ac:dyDescent="0.25">
      <c r="A1136" s="2" t="s">
        <v>2297</v>
      </c>
      <c r="B1136" s="7">
        <v>45667</v>
      </c>
      <c r="C1136" s="5" t="s">
        <v>24</v>
      </c>
      <c r="D1136" s="5" t="s">
        <v>16</v>
      </c>
      <c r="E1136" s="5" t="s">
        <v>179</v>
      </c>
      <c r="F1136" s="2" t="s">
        <v>232</v>
      </c>
      <c r="G1136" s="2">
        <v>5</v>
      </c>
      <c r="H1136" s="25">
        <v>23130</v>
      </c>
      <c r="I1136" s="8">
        <v>0</v>
      </c>
      <c r="J1136" s="25">
        <v>115650</v>
      </c>
      <c r="K1136" s="25">
        <f>G1136*H1136</f>
        <v>115650</v>
      </c>
      <c r="L1136" s="8">
        <f>K1136*I1136/100</f>
        <v>0</v>
      </c>
      <c r="M1136" s="2" t="s">
        <v>53</v>
      </c>
      <c r="N1136" s="2" t="s">
        <v>168</v>
      </c>
      <c r="O1136" s="2">
        <v>2025</v>
      </c>
      <c r="P1136" s="2" t="str">
        <v>January</v>
      </c>
      <c r="Q1136" s="2" t="s">
        <v>21</v>
      </c>
    </row>
    <row r="1137" spans="1:17" x14ac:dyDescent="0.25">
      <c r="A1137" s="2" t="s">
        <v>2298</v>
      </c>
      <c r="B1137" s="7">
        <v>45924</v>
      </c>
      <c r="C1137" s="5" t="s">
        <v>32</v>
      </c>
      <c r="D1137" s="5" t="s">
        <v>33</v>
      </c>
      <c r="E1137" s="5" t="s">
        <v>295</v>
      </c>
      <c r="F1137" s="2" t="s">
        <v>219</v>
      </c>
      <c r="G1137" s="2">
        <v>4</v>
      </c>
      <c r="H1137" s="25">
        <v>11580</v>
      </c>
      <c r="I1137" s="8">
        <v>10</v>
      </c>
      <c r="J1137" s="25">
        <v>41688</v>
      </c>
      <c r="K1137" s="25">
        <f>G1137*H1137</f>
        <v>46320</v>
      </c>
      <c r="L1137" s="8">
        <f>K1137*I1137/100</f>
        <v>4632</v>
      </c>
      <c r="M1137" s="2" t="s">
        <v>53</v>
      </c>
      <c r="N1137" s="2" t="s">
        <v>883</v>
      </c>
      <c r="O1137" s="2">
        <v>2025</v>
      </c>
      <c r="P1137" s="2" t="str">
        <v>September</v>
      </c>
      <c r="Q1137" s="2" t="s">
        <v>47</v>
      </c>
    </row>
    <row r="1138" spans="1:17" x14ac:dyDescent="0.25">
      <c r="A1138" s="2" t="s">
        <v>2299</v>
      </c>
      <c r="B1138" s="7">
        <v>45691</v>
      </c>
      <c r="C1138" s="5" t="s">
        <v>41</v>
      </c>
      <c r="D1138" s="5" t="s">
        <v>42</v>
      </c>
      <c r="E1138" s="5" t="s">
        <v>295</v>
      </c>
      <c r="F1138" s="2" t="s">
        <v>132</v>
      </c>
      <c r="G1138" s="2">
        <v>6</v>
      </c>
      <c r="H1138" s="25">
        <v>4550.0000000000009</v>
      </c>
      <c r="I1138" s="8">
        <v>5</v>
      </c>
      <c r="J1138" s="25">
        <v>25935</v>
      </c>
      <c r="K1138" s="25">
        <f>G1138*H1138</f>
        <v>27300.000000000007</v>
      </c>
      <c r="L1138" s="8">
        <f>K1138*I1138/100</f>
        <v>1365.0000000000002</v>
      </c>
      <c r="M1138" s="2" t="s">
        <v>94</v>
      </c>
      <c r="N1138" s="2" t="s">
        <v>344</v>
      </c>
      <c r="O1138" s="2">
        <v>2025</v>
      </c>
      <c r="P1138" s="2" t="str">
        <v>February</v>
      </c>
      <c r="Q1138" s="2" t="s">
        <v>21</v>
      </c>
    </row>
    <row r="1139" spans="1:17" x14ac:dyDescent="0.25">
      <c r="A1139" s="2" t="s">
        <v>2300</v>
      </c>
      <c r="B1139" s="7">
        <v>45668</v>
      </c>
      <c r="C1139" s="5" t="s">
        <v>24</v>
      </c>
      <c r="D1139" s="5" t="s">
        <v>16</v>
      </c>
      <c r="E1139" s="5" t="s">
        <v>34</v>
      </c>
      <c r="F1139" s="2" t="s">
        <v>199</v>
      </c>
      <c r="G1139" s="2">
        <v>11</v>
      </c>
      <c r="H1139" s="25">
        <v>16900</v>
      </c>
      <c r="I1139" s="8">
        <v>10</v>
      </c>
      <c r="J1139" s="25">
        <v>167310</v>
      </c>
      <c r="K1139" s="25">
        <f>G1139*H1139</f>
        <v>185900</v>
      </c>
      <c r="L1139" s="8">
        <f>K1139*I1139/100</f>
        <v>18590</v>
      </c>
      <c r="M1139" s="2" t="s">
        <v>53</v>
      </c>
      <c r="N1139" s="2" t="s">
        <v>344</v>
      </c>
      <c r="O1139" s="2">
        <v>2025</v>
      </c>
      <c r="P1139" s="2" t="str">
        <v>January</v>
      </c>
      <c r="Q1139" s="2" t="s">
        <v>47</v>
      </c>
    </row>
    <row r="1140" spans="1:17" x14ac:dyDescent="0.25">
      <c r="A1140" s="2" t="s">
        <v>2301</v>
      </c>
      <c r="B1140" s="7">
        <v>45826</v>
      </c>
      <c r="C1140" s="5" t="s">
        <v>32</v>
      </c>
      <c r="D1140" s="5" t="s">
        <v>33</v>
      </c>
      <c r="E1140" s="5" t="s">
        <v>148</v>
      </c>
      <c r="F1140" s="2" t="s">
        <v>209</v>
      </c>
      <c r="G1140" s="2">
        <v>11</v>
      </c>
      <c r="H1140" s="25">
        <v>18230</v>
      </c>
      <c r="I1140" s="8">
        <v>0</v>
      </c>
      <c r="J1140" s="25">
        <v>200530</v>
      </c>
      <c r="K1140" s="25">
        <f>G1140*H1140</f>
        <v>200530</v>
      </c>
      <c r="L1140" s="8">
        <f>K1140*I1140/100</f>
        <v>0</v>
      </c>
      <c r="M1140" s="2" t="s">
        <v>102</v>
      </c>
      <c r="N1140" s="2" t="s">
        <v>406</v>
      </c>
      <c r="O1140" s="2">
        <v>2025</v>
      </c>
      <c r="P1140" s="2" t="str">
        <v>June</v>
      </c>
      <c r="Q1140" s="2" t="s">
        <v>21</v>
      </c>
    </row>
    <row r="1141" spans="1:17" x14ac:dyDescent="0.25">
      <c r="A1141" s="2" t="s">
        <v>2303</v>
      </c>
      <c r="B1141" s="7">
        <v>45798</v>
      </c>
      <c r="C1141" s="5" t="s">
        <v>135</v>
      </c>
      <c r="D1141" s="5" t="s">
        <v>58</v>
      </c>
      <c r="E1141" s="5" t="s">
        <v>148</v>
      </c>
      <c r="F1141" s="2" t="s">
        <v>379</v>
      </c>
      <c r="G1141" s="2">
        <v>9</v>
      </c>
      <c r="H1141" s="25">
        <v>26430</v>
      </c>
      <c r="I1141" s="8">
        <v>0</v>
      </c>
      <c r="J1141" s="25">
        <v>237870</v>
      </c>
      <c r="K1141" s="25">
        <f>G1141*H1141</f>
        <v>237870</v>
      </c>
      <c r="L1141" s="8">
        <f>K1141*I1141/100</f>
        <v>0</v>
      </c>
      <c r="M1141" s="2" t="s">
        <v>102</v>
      </c>
      <c r="N1141" s="2" t="s">
        <v>344</v>
      </c>
      <c r="O1141" s="2">
        <v>2025</v>
      </c>
      <c r="P1141" s="2" t="str">
        <v>May</v>
      </c>
      <c r="Q1141" s="2" t="s">
        <v>47</v>
      </c>
    </row>
    <row r="1142" spans="1:17" x14ac:dyDescent="0.25">
      <c r="A1142" s="2" t="s">
        <v>2305</v>
      </c>
      <c r="B1142" s="7">
        <v>45759</v>
      </c>
      <c r="C1142" s="5" t="s">
        <v>24</v>
      </c>
      <c r="D1142" s="5" t="s">
        <v>16</v>
      </c>
      <c r="E1142" s="5" t="s">
        <v>25</v>
      </c>
      <c r="F1142" s="2" t="s">
        <v>255</v>
      </c>
      <c r="G1142" s="2">
        <v>4</v>
      </c>
      <c r="H1142" s="25">
        <v>2650</v>
      </c>
      <c r="I1142" s="8">
        <v>10</v>
      </c>
      <c r="J1142" s="25">
        <v>9540</v>
      </c>
      <c r="K1142" s="25">
        <f>G1142*H1142</f>
        <v>10600</v>
      </c>
      <c r="L1142" s="8">
        <f>K1142*I1142/100</f>
        <v>1060</v>
      </c>
      <c r="M1142" s="2" t="s">
        <v>94</v>
      </c>
      <c r="N1142" s="2" t="s">
        <v>344</v>
      </c>
      <c r="O1142" s="2">
        <v>2025</v>
      </c>
      <c r="P1142" s="2" t="str">
        <v>April</v>
      </c>
      <c r="Q1142" s="2" t="s">
        <v>47</v>
      </c>
    </row>
    <row r="1143" spans="1:17" x14ac:dyDescent="0.25">
      <c r="A1143" s="2" t="s">
        <v>2306</v>
      </c>
      <c r="B1143" s="7">
        <v>45762</v>
      </c>
      <c r="C1143" s="5" t="s">
        <v>135</v>
      </c>
      <c r="D1143" s="5" t="s">
        <v>58</v>
      </c>
      <c r="E1143" s="5" t="s">
        <v>34</v>
      </c>
      <c r="F1143" s="2" t="s">
        <v>171</v>
      </c>
      <c r="G1143" s="2">
        <v>11</v>
      </c>
      <c r="H1143" s="25">
        <v>49790</v>
      </c>
      <c r="I1143" s="8">
        <v>0</v>
      </c>
      <c r="J1143" s="25">
        <v>547690</v>
      </c>
      <c r="K1143" s="25">
        <f>G1143*H1143</f>
        <v>547690</v>
      </c>
      <c r="L1143" s="8">
        <f>K1143*I1143/100</f>
        <v>0</v>
      </c>
      <c r="M1143" s="2" t="s">
        <v>102</v>
      </c>
      <c r="N1143" s="2" t="s">
        <v>37</v>
      </c>
      <c r="O1143" s="2">
        <v>2025</v>
      </c>
      <c r="P1143" s="2" t="str">
        <v>April</v>
      </c>
      <c r="Q1143" s="2" t="s">
        <v>47</v>
      </c>
    </row>
    <row r="1144" spans="1:17" x14ac:dyDescent="0.25">
      <c r="A1144" s="2" t="s">
        <v>2307</v>
      </c>
      <c r="B1144" s="7">
        <v>45859</v>
      </c>
      <c r="C1144" s="5" t="s">
        <v>238</v>
      </c>
      <c r="D1144" s="5" t="s">
        <v>51</v>
      </c>
      <c r="E1144" s="5" t="s">
        <v>179</v>
      </c>
      <c r="F1144" s="2" t="s">
        <v>232</v>
      </c>
      <c r="G1144" s="2">
        <v>4</v>
      </c>
      <c r="H1144" s="25">
        <v>16310</v>
      </c>
      <c r="I1144" s="8">
        <v>0</v>
      </c>
      <c r="J1144" s="25">
        <v>65240</v>
      </c>
      <c r="K1144" s="25">
        <f>G1144*H1144</f>
        <v>65240</v>
      </c>
      <c r="L1144" s="8">
        <f>K1144*I1144/100</f>
        <v>0</v>
      </c>
      <c r="M1144" s="2" t="s">
        <v>139</v>
      </c>
      <c r="N1144" s="2" t="s">
        <v>266</v>
      </c>
      <c r="O1144" s="2">
        <v>2025</v>
      </c>
      <c r="P1144" s="2" t="str">
        <v>July</v>
      </c>
      <c r="Q1144" s="2" t="s">
        <v>21</v>
      </c>
    </row>
    <row r="1145" spans="1:17" x14ac:dyDescent="0.25">
      <c r="A1145" s="2" t="s">
        <v>2308</v>
      </c>
      <c r="B1145" s="7">
        <v>45844</v>
      </c>
      <c r="C1145" s="5" t="s">
        <v>24</v>
      </c>
      <c r="D1145" s="5" t="s">
        <v>16</v>
      </c>
      <c r="E1145" s="5" t="s">
        <v>148</v>
      </c>
      <c r="F1145" s="2" t="s">
        <v>60</v>
      </c>
      <c r="G1145" s="2">
        <v>3</v>
      </c>
      <c r="H1145" s="25">
        <v>16680</v>
      </c>
      <c r="I1145" s="8">
        <v>5</v>
      </c>
      <c r="J1145" s="25">
        <v>47538</v>
      </c>
      <c r="K1145" s="25">
        <f>G1145*H1145</f>
        <v>50040</v>
      </c>
      <c r="L1145" s="8">
        <f>K1145*I1145/100</f>
        <v>2502</v>
      </c>
      <c r="M1145" s="2" t="s">
        <v>139</v>
      </c>
      <c r="N1145" s="2" t="s">
        <v>344</v>
      </c>
      <c r="O1145" s="2">
        <v>2025</v>
      </c>
      <c r="P1145" s="2" t="str">
        <v>July</v>
      </c>
      <c r="Q1145" s="2" t="s">
        <v>21</v>
      </c>
    </row>
    <row r="1146" spans="1:17" x14ac:dyDescent="0.25">
      <c r="A1146" s="2" t="s">
        <v>2309</v>
      </c>
      <c r="B1146" s="7">
        <v>45906</v>
      </c>
      <c r="C1146" s="5" t="s">
        <v>41</v>
      </c>
      <c r="D1146" s="5" t="s">
        <v>42</v>
      </c>
      <c r="E1146" s="5" t="s">
        <v>295</v>
      </c>
      <c r="F1146" s="2" t="s">
        <v>319</v>
      </c>
      <c r="G1146" s="2">
        <v>7</v>
      </c>
      <c r="H1146" s="25">
        <v>5000</v>
      </c>
      <c r="I1146" s="8">
        <v>0</v>
      </c>
      <c r="J1146" s="25">
        <v>35000</v>
      </c>
      <c r="K1146" s="25">
        <f>G1146*H1146</f>
        <v>35000</v>
      </c>
      <c r="L1146" s="8">
        <f>K1146*I1146/100</f>
        <v>0</v>
      </c>
      <c r="M1146" s="2" t="s">
        <v>102</v>
      </c>
      <c r="N1146" s="2" t="s">
        <v>37</v>
      </c>
      <c r="O1146" s="2">
        <v>2025</v>
      </c>
      <c r="P1146" s="2" t="str">
        <v>September</v>
      </c>
      <c r="Q1146" s="2" t="s">
        <v>21</v>
      </c>
    </row>
    <row r="1147" spans="1:17" x14ac:dyDescent="0.25">
      <c r="A1147" s="2" t="s">
        <v>2310</v>
      </c>
      <c r="B1147" s="7">
        <v>45678</v>
      </c>
      <c r="C1147" s="5" t="s">
        <v>76</v>
      </c>
      <c r="D1147" s="5" t="s">
        <v>33</v>
      </c>
      <c r="E1147" s="5" t="s">
        <v>179</v>
      </c>
      <c r="F1147" s="2" t="s">
        <v>78</v>
      </c>
      <c r="G1147" s="2">
        <v>10</v>
      </c>
      <c r="H1147" s="25">
        <v>7300</v>
      </c>
      <c r="I1147" s="8">
        <v>0</v>
      </c>
      <c r="J1147" s="25">
        <v>73000</v>
      </c>
      <c r="K1147" s="25">
        <f>G1147*H1147</f>
        <v>73000</v>
      </c>
      <c r="L1147" s="8">
        <f>K1147*I1147/100</f>
        <v>0</v>
      </c>
      <c r="M1147" s="2" t="s">
        <v>102</v>
      </c>
      <c r="N1147" s="2" t="s">
        <v>79</v>
      </c>
      <c r="O1147" s="2">
        <v>2025</v>
      </c>
      <c r="P1147" s="2" t="str">
        <v>January</v>
      </c>
      <c r="Q1147" s="2" t="s">
        <v>21</v>
      </c>
    </row>
    <row r="1148" spans="1:17" x14ac:dyDescent="0.25">
      <c r="A1148" s="2" t="s">
        <v>2312</v>
      </c>
      <c r="B1148" s="7">
        <v>45721</v>
      </c>
      <c r="C1148" s="5" t="s">
        <v>238</v>
      </c>
      <c r="D1148" s="5" t="s">
        <v>51</v>
      </c>
      <c r="E1148" s="5" t="s">
        <v>25</v>
      </c>
      <c r="F1148" s="2" t="s">
        <v>26</v>
      </c>
      <c r="G1148" s="2">
        <v>7</v>
      </c>
      <c r="H1148" s="25">
        <v>5170</v>
      </c>
      <c r="I1148" s="8">
        <v>0</v>
      </c>
      <c r="J1148" s="25">
        <v>36190</v>
      </c>
      <c r="K1148" s="25">
        <f>G1148*H1148</f>
        <v>36190</v>
      </c>
      <c r="L1148" s="8">
        <f>K1148*I1148/100</f>
        <v>0</v>
      </c>
      <c r="M1148" s="2" t="s">
        <v>94</v>
      </c>
      <c r="N1148" s="2" t="s">
        <v>54</v>
      </c>
      <c r="O1148" s="2">
        <v>2025</v>
      </c>
      <c r="P1148" s="2" t="str">
        <v>March</v>
      </c>
      <c r="Q1148" s="2" t="s">
        <v>21</v>
      </c>
    </row>
    <row r="1149" spans="1:17" x14ac:dyDescent="0.25">
      <c r="A1149" s="2" t="s">
        <v>2313</v>
      </c>
      <c r="B1149" s="7">
        <v>45963</v>
      </c>
      <c r="C1149" s="5" t="s">
        <v>238</v>
      </c>
      <c r="D1149" s="5" t="s">
        <v>51</v>
      </c>
      <c r="E1149" s="5" t="s">
        <v>34</v>
      </c>
      <c r="F1149" s="2" t="s">
        <v>71</v>
      </c>
      <c r="G1149" s="2">
        <v>2</v>
      </c>
      <c r="H1149" s="25">
        <v>25110</v>
      </c>
      <c r="I1149" s="8">
        <v>15</v>
      </c>
      <c r="J1149" s="25">
        <v>42687</v>
      </c>
      <c r="K1149" s="25">
        <f>G1149*H1149</f>
        <v>50220</v>
      </c>
      <c r="L1149" s="8">
        <f>K1149*I1149/100</f>
        <v>7533</v>
      </c>
      <c r="M1149" s="2" t="s">
        <v>53</v>
      </c>
      <c r="N1149" s="2" t="s">
        <v>79</v>
      </c>
      <c r="O1149" s="2">
        <v>2025</v>
      </c>
      <c r="P1149" s="2" t="str">
        <v>November</v>
      </c>
      <c r="Q1149" s="2" t="s">
        <v>47</v>
      </c>
    </row>
    <row r="1150" spans="1:17" x14ac:dyDescent="0.25">
      <c r="A1150" s="2" t="s">
        <v>2315</v>
      </c>
      <c r="B1150" s="7">
        <v>45947</v>
      </c>
      <c r="C1150" s="5" t="s">
        <v>156</v>
      </c>
      <c r="D1150" s="5" t="s">
        <v>51</v>
      </c>
      <c r="E1150" s="5" t="s">
        <v>34</v>
      </c>
      <c r="F1150" s="2" t="s">
        <v>18</v>
      </c>
      <c r="G1150" s="2">
        <v>1</v>
      </c>
      <c r="H1150" s="25">
        <v>3970</v>
      </c>
      <c r="I1150" s="8">
        <v>0</v>
      </c>
      <c r="J1150" s="25">
        <v>3970</v>
      </c>
      <c r="K1150" s="25">
        <f>G1150*H1150</f>
        <v>3970</v>
      </c>
      <c r="L1150" s="8">
        <f>K1150*I1150/100</f>
        <v>0</v>
      </c>
      <c r="M1150" s="2" t="s">
        <v>102</v>
      </c>
      <c r="N1150" s="2" t="s">
        <v>79</v>
      </c>
      <c r="O1150" s="2">
        <v>2025</v>
      </c>
      <c r="P1150" s="2" t="str">
        <v>October</v>
      </c>
      <c r="Q1150" s="2" t="s">
        <v>47</v>
      </c>
    </row>
    <row r="1151" spans="1:17" x14ac:dyDescent="0.25">
      <c r="A1151" s="2" t="s">
        <v>2316</v>
      </c>
      <c r="B1151" s="7">
        <v>45709</v>
      </c>
      <c r="C1151" s="5" t="s">
        <v>238</v>
      </c>
      <c r="D1151" s="5" t="s">
        <v>51</v>
      </c>
      <c r="E1151" s="5" t="s">
        <v>25</v>
      </c>
      <c r="F1151" s="2" t="s">
        <v>44</v>
      </c>
      <c r="G1151" s="2">
        <v>3</v>
      </c>
      <c r="H1151" s="25">
        <v>1180</v>
      </c>
      <c r="I1151" s="8">
        <v>0</v>
      </c>
      <c r="J1151" s="25">
        <v>3540</v>
      </c>
      <c r="K1151" s="25">
        <f>G1151*H1151</f>
        <v>3540</v>
      </c>
      <c r="L1151" s="8">
        <f>K1151*I1151/100</f>
        <v>0</v>
      </c>
      <c r="M1151" s="2" t="s">
        <v>53</v>
      </c>
      <c r="N1151" s="2" t="s">
        <v>341</v>
      </c>
      <c r="O1151" s="2">
        <v>2025</v>
      </c>
      <c r="P1151" s="2" t="str">
        <v>February</v>
      </c>
      <c r="Q1151" s="2" t="s">
        <v>47</v>
      </c>
    </row>
    <row r="1152" spans="1:17" x14ac:dyDescent="0.25">
      <c r="A1152" s="2" t="s">
        <v>2317</v>
      </c>
      <c r="B1152" s="7">
        <v>45789</v>
      </c>
      <c r="C1152" s="5" t="s">
        <v>238</v>
      </c>
      <c r="D1152" s="5" t="s">
        <v>51</v>
      </c>
      <c r="E1152" s="5" t="s">
        <v>295</v>
      </c>
      <c r="F1152" s="2" t="s">
        <v>101</v>
      </c>
      <c r="G1152" s="2">
        <v>7</v>
      </c>
      <c r="H1152" s="25">
        <v>44890</v>
      </c>
      <c r="I1152" s="8">
        <v>0</v>
      </c>
      <c r="J1152" s="25">
        <v>314230</v>
      </c>
      <c r="K1152" s="25">
        <f>G1152*H1152</f>
        <v>314230</v>
      </c>
      <c r="L1152" s="8">
        <f>K1152*I1152/100</f>
        <v>0</v>
      </c>
      <c r="M1152" s="2" t="s">
        <v>53</v>
      </c>
      <c r="N1152" s="2" t="s">
        <v>54</v>
      </c>
      <c r="O1152" s="2">
        <v>2025</v>
      </c>
      <c r="P1152" s="2" t="str">
        <v>May</v>
      </c>
      <c r="Q1152" s="2" t="s">
        <v>21</v>
      </c>
    </row>
    <row r="1153" spans="1:17" x14ac:dyDescent="0.25">
      <c r="A1153" s="2" t="s">
        <v>2319</v>
      </c>
      <c r="B1153" s="7">
        <v>45993</v>
      </c>
      <c r="C1153" s="5" t="s">
        <v>32</v>
      </c>
      <c r="D1153" s="5" t="s">
        <v>33</v>
      </c>
      <c r="E1153" s="5" t="s">
        <v>295</v>
      </c>
      <c r="F1153" s="2" t="s">
        <v>296</v>
      </c>
      <c r="G1153" s="2">
        <v>5</v>
      </c>
      <c r="H1153" s="25">
        <v>5230</v>
      </c>
      <c r="I1153" s="8">
        <v>10</v>
      </c>
      <c r="J1153" s="25">
        <v>23535</v>
      </c>
      <c r="K1153" s="25">
        <f>G1153*H1153</f>
        <v>26150</v>
      </c>
      <c r="L1153" s="8">
        <f>K1153*I1153/100</f>
        <v>2615</v>
      </c>
      <c r="M1153" s="2" t="s">
        <v>53</v>
      </c>
      <c r="N1153" s="2" t="s">
        <v>68</v>
      </c>
      <c r="O1153" s="2">
        <v>2025</v>
      </c>
      <c r="P1153" s="2" t="str">
        <v>December</v>
      </c>
      <c r="Q1153" s="2" t="s">
        <v>21</v>
      </c>
    </row>
    <row r="1154" spans="1:17" x14ac:dyDescent="0.25">
      <c r="A1154" s="2" t="s">
        <v>2321</v>
      </c>
      <c r="B1154" s="7">
        <v>45765</v>
      </c>
      <c r="C1154" s="5" t="s">
        <v>156</v>
      </c>
      <c r="D1154" s="5" t="s">
        <v>51</v>
      </c>
      <c r="E1154" s="5" t="s">
        <v>179</v>
      </c>
      <c r="F1154" s="2" t="s">
        <v>224</v>
      </c>
      <c r="G1154" s="2">
        <v>11</v>
      </c>
      <c r="H1154" s="25">
        <v>500</v>
      </c>
      <c r="I1154" s="8">
        <v>5</v>
      </c>
      <c r="J1154" s="25">
        <v>5225</v>
      </c>
      <c r="K1154" s="25">
        <f>G1154*H1154</f>
        <v>5500</v>
      </c>
      <c r="L1154" s="8">
        <f>K1154*I1154/100</f>
        <v>275</v>
      </c>
      <c r="M1154" s="2" t="s">
        <v>139</v>
      </c>
      <c r="N1154" s="2" t="s">
        <v>883</v>
      </c>
      <c r="O1154" s="2">
        <v>2025</v>
      </c>
      <c r="P1154" s="2" t="str">
        <v>April</v>
      </c>
      <c r="Q1154" s="2" t="s">
        <v>21</v>
      </c>
    </row>
    <row r="1155" spans="1:17" x14ac:dyDescent="0.25">
      <c r="A1155" s="2" t="s">
        <v>2322</v>
      </c>
      <c r="B1155" s="7">
        <v>45872</v>
      </c>
      <c r="C1155" s="5" t="s">
        <v>135</v>
      </c>
      <c r="D1155" s="5" t="s">
        <v>58</v>
      </c>
      <c r="E1155" s="5" t="s">
        <v>179</v>
      </c>
      <c r="F1155" s="2" t="s">
        <v>332</v>
      </c>
      <c r="G1155" s="2">
        <v>11</v>
      </c>
      <c r="H1155" s="25">
        <v>51530</v>
      </c>
      <c r="I1155" s="8">
        <v>10</v>
      </c>
      <c r="J1155" s="25">
        <v>510147</v>
      </c>
      <c r="K1155" s="25">
        <f>G1155*H1155</f>
        <v>566830</v>
      </c>
      <c r="L1155" s="8">
        <f>K1155*I1155/100</f>
        <v>56683</v>
      </c>
      <c r="M1155" s="2" t="s">
        <v>53</v>
      </c>
      <c r="N1155" s="2" t="s">
        <v>341</v>
      </c>
      <c r="O1155" s="2">
        <v>2025</v>
      </c>
      <c r="P1155" s="2" t="str">
        <v>August</v>
      </c>
      <c r="Q1155" s="2" t="s">
        <v>21</v>
      </c>
    </row>
    <row r="1156" spans="1:17" x14ac:dyDescent="0.25">
      <c r="A1156" s="2" t="s">
        <v>2324</v>
      </c>
      <c r="B1156" s="7">
        <v>45751</v>
      </c>
      <c r="C1156" s="5" t="s">
        <v>135</v>
      </c>
      <c r="D1156" s="5" t="s">
        <v>58</v>
      </c>
      <c r="E1156" s="5" t="s">
        <v>295</v>
      </c>
      <c r="F1156" s="2" t="s">
        <v>314</v>
      </c>
      <c r="G1156" s="2">
        <v>1</v>
      </c>
      <c r="H1156" s="25">
        <v>4700</v>
      </c>
      <c r="I1156" s="8">
        <v>0</v>
      </c>
      <c r="J1156" s="25">
        <v>4700</v>
      </c>
      <c r="K1156" s="25">
        <f>G1156*H1156</f>
        <v>4700</v>
      </c>
      <c r="L1156" s="8">
        <f>K1156*I1156/100</f>
        <v>0</v>
      </c>
      <c r="M1156" s="2" t="s">
        <v>139</v>
      </c>
      <c r="N1156" s="2" t="s">
        <v>406</v>
      </c>
      <c r="O1156" s="2">
        <v>2025</v>
      </c>
      <c r="P1156" s="2" t="str">
        <v>April</v>
      </c>
      <c r="Q1156" s="2" t="s">
        <v>47</v>
      </c>
    </row>
    <row r="1157" spans="1:17" x14ac:dyDescent="0.25">
      <c r="A1157" s="2" t="s">
        <v>2325</v>
      </c>
      <c r="B1157" s="7">
        <v>45738</v>
      </c>
      <c r="C1157" s="5" t="s">
        <v>156</v>
      </c>
      <c r="D1157" s="5" t="s">
        <v>51</v>
      </c>
      <c r="E1157" s="5" t="s">
        <v>179</v>
      </c>
      <c r="F1157" s="2" t="s">
        <v>543</v>
      </c>
      <c r="G1157" s="2">
        <v>2</v>
      </c>
      <c r="H1157" s="25">
        <v>5240</v>
      </c>
      <c r="I1157" s="8">
        <v>0</v>
      </c>
      <c r="J1157" s="25">
        <v>10480</v>
      </c>
      <c r="K1157" s="25">
        <f>G1157*H1157</f>
        <v>10480</v>
      </c>
      <c r="L1157" s="8">
        <f>K1157*I1157/100</f>
        <v>0</v>
      </c>
      <c r="M1157" s="2" t="s">
        <v>53</v>
      </c>
      <c r="N1157" s="2" t="s">
        <v>411</v>
      </c>
      <c r="O1157" s="2">
        <v>2025</v>
      </c>
      <c r="P1157" s="2" t="str">
        <v>March</v>
      </c>
      <c r="Q1157" s="2" t="s">
        <v>21</v>
      </c>
    </row>
    <row r="1158" spans="1:17" x14ac:dyDescent="0.25">
      <c r="A1158" s="2" t="s">
        <v>2327</v>
      </c>
      <c r="B1158" s="7">
        <v>45715</v>
      </c>
      <c r="C1158" s="5" t="s">
        <v>76</v>
      </c>
      <c r="D1158" s="5" t="s">
        <v>33</v>
      </c>
      <c r="E1158" s="5" t="s">
        <v>179</v>
      </c>
      <c r="F1158" s="2" t="s">
        <v>171</v>
      </c>
      <c r="G1158" s="2">
        <v>2</v>
      </c>
      <c r="H1158" s="25">
        <v>3650</v>
      </c>
      <c r="I1158" s="8">
        <v>0</v>
      </c>
      <c r="J1158" s="25">
        <v>7300</v>
      </c>
      <c r="K1158" s="25">
        <f>G1158*H1158</f>
        <v>7300</v>
      </c>
      <c r="L1158" s="8">
        <f>K1158*I1158/100</f>
        <v>0</v>
      </c>
      <c r="M1158" s="2" t="s">
        <v>139</v>
      </c>
      <c r="N1158" s="2" t="s">
        <v>266</v>
      </c>
      <c r="O1158" s="2">
        <v>2025</v>
      </c>
      <c r="P1158" s="2" t="str">
        <v>February</v>
      </c>
      <c r="Q1158" s="2" t="s">
        <v>21</v>
      </c>
    </row>
    <row r="1159" spans="1:17" x14ac:dyDescent="0.25">
      <c r="A1159" s="2" t="s">
        <v>2329</v>
      </c>
      <c r="B1159" s="7">
        <v>45726</v>
      </c>
      <c r="C1159" s="5" t="s">
        <v>24</v>
      </c>
      <c r="D1159" s="5" t="s">
        <v>16</v>
      </c>
      <c r="E1159" s="5" t="s">
        <v>34</v>
      </c>
      <c r="F1159" s="2" t="s">
        <v>18</v>
      </c>
      <c r="G1159" s="2">
        <v>3</v>
      </c>
      <c r="H1159" s="25">
        <v>3260</v>
      </c>
      <c r="I1159" s="8">
        <v>0</v>
      </c>
      <c r="J1159" s="25">
        <v>9780</v>
      </c>
      <c r="K1159" s="25">
        <f>G1159*H1159</f>
        <v>9780</v>
      </c>
      <c r="L1159" s="8">
        <f>K1159*I1159/100</f>
        <v>0</v>
      </c>
      <c r="M1159" s="2" t="s">
        <v>139</v>
      </c>
      <c r="N1159" s="2" t="s">
        <v>266</v>
      </c>
      <c r="O1159" s="2">
        <v>2025</v>
      </c>
      <c r="P1159" s="2" t="str">
        <v>March</v>
      </c>
      <c r="Q1159" s="2" t="s">
        <v>47</v>
      </c>
    </row>
    <row r="1160" spans="1:17" x14ac:dyDescent="0.25">
      <c r="A1160" s="2" t="s">
        <v>2331</v>
      </c>
      <c r="B1160" s="7">
        <v>45796</v>
      </c>
      <c r="C1160" s="5" t="s">
        <v>24</v>
      </c>
      <c r="D1160" s="5" t="s">
        <v>16</v>
      </c>
      <c r="E1160" s="5" t="s">
        <v>179</v>
      </c>
      <c r="F1160" s="2" t="s">
        <v>239</v>
      </c>
      <c r="G1160" s="2">
        <v>9</v>
      </c>
      <c r="H1160" s="25">
        <v>9620</v>
      </c>
      <c r="I1160" s="8">
        <v>5</v>
      </c>
      <c r="J1160" s="25">
        <v>82251</v>
      </c>
      <c r="K1160" s="25">
        <f>G1160*H1160</f>
        <v>86580</v>
      </c>
      <c r="L1160" s="8">
        <f>K1160*I1160/100</f>
        <v>4329</v>
      </c>
      <c r="M1160" s="2" t="s">
        <v>139</v>
      </c>
      <c r="N1160" s="2" t="s">
        <v>37</v>
      </c>
      <c r="O1160" s="2">
        <v>2025</v>
      </c>
      <c r="P1160" s="2" t="str">
        <v>May</v>
      </c>
      <c r="Q1160" s="2" t="s">
        <v>47</v>
      </c>
    </row>
    <row r="1161" spans="1:17" x14ac:dyDescent="0.25">
      <c r="A1161" s="2" t="s">
        <v>2332</v>
      </c>
      <c r="B1161" s="7">
        <v>45874</v>
      </c>
      <c r="C1161" s="5" t="s">
        <v>32</v>
      </c>
      <c r="D1161" s="5" t="s">
        <v>33</v>
      </c>
      <c r="E1161" s="5" t="s">
        <v>25</v>
      </c>
      <c r="F1161" s="2" t="s">
        <v>93</v>
      </c>
      <c r="G1161" s="2">
        <v>3</v>
      </c>
      <c r="H1161" s="25">
        <v>18060</v>
      </c>
      <c r="I1161" s="8">
        <v>5</v>
      </c>
      <c r="J1161" s="25">
        <v>51471</v>
      </c>
      <c r="K1161" s="25">
        <f>G1161*H1161</f>
        <v>54180</v>
      </c>
      <c r="L1161" s="8">
        <f>K1161*I1161/100</f>
        <v>2709</v>
      </c>
      <c r="M1161" s="2" t="s">
        <v>102</v>
      </c>
      <c r="N1161" s="2" t="s">
        <v>406</v>
      </c>
      <c r="O1161" s="2">
        <v>2025</v>
      </c>
      <c r="P1161" s="2" t="str">
        <v>August</v>
      </c>
      <c r="Q1161" s="2" t="s">
        <v>21</v>
      </c>
    </row>
    <row r="1162" spans="1:17" x14ac:dyDescent="0.25">
      <c r="A1162" s="2" t="s">
        <v>2333</v>
      </c>
      <c r="B1162" s="7">
        <v>45670</v>
      </c>
      <c r="C1162" s="5" t="s">
        <v>24</v>
      </c>
      <c r="D1162" s="5" t="s">
        <v>16</v>
      </c>
      <c r="E1162" s="5" t="s">
        <v>25</v>
      </c>
      <c r="F1162" s="2" t="s">
        <v>248</v>
      </c>
      <c r="G1162" s="2">
        <v>8</v>
      </c>
      <c r="H1162" s="25">
        <v>12060</v>
      </c>
      <c r="I1162" s="8">
        <v>10</v>
      </c>
      <c r="J1162" s="25">
        <v>86832</v>
      </c>
      <c r="K1162" s="25">
        <f>G1162*H1162</f>
        <v>96480</v>
      </c>
      <c r="L1162" s="8">
        <f>K1162*I1162/100</f>
        <v>9648</v>
      </c>
      <c r="M1162" s="2" t="s">
        <v>94</v>
      </c>
      <c r="N1162" s="2" t="s">
        <v>79</v>
      </c>
      <c r="O1162" s="2">
        <v>2025</v>
      </c>
      <c r="P1162" s="2" t="str">
        <v>January</v>
      </c>
      <c r="Q1162" s="2" t="s">
        <v>47</v>
      </c>
    </row>
    <row r="1163" spans="1:17" x14ac:dyDescent="0.25">
      <c r="A1163" s="2" t="s">
        <v>2335</v>
      </c>
      <c r="B1163" s="7">
        <v>45989</v>
      </c>
      <c r="C1163" s="5" t="s">
        <v>24</v>
      </c>
      <c r="D1163" s="5" t="s">
        <v>16</v>
      </c>
      <c r="E1163" s="5" t="s">
        <v>34</v>
      </c>
      <c r="F1163" s="2" t="s">
        <v>18</v>
      </c>
      <c r="G1163" s="2">
        <v>3</v>
      </c>
      <c r="H1163" s="25">
        <v>1250</v>
      </c>
      <c r="I1163" s="8">
        <v>5</v>
      </c>
      <c r="J1163" s="25">
        <v>3562.5</v>
      </c>
      <c r="K1163" s="25">
        <f>G1163*H1163</f>
        <v>3750</v>
      </c>
      <c r="L1163" s="8">
        <f>K1163*I1163/100</f>
        <v>187.5</v>
      </c>
      <c r="M1163" s="2" t="s">
        <v>53</v>
      </c>
      <c r="N1163" s="2" t="s">
        <v>883</v>
      </c>
      <c r="O1163" s="2">
        <v>2025</v>
      </c>
      <c r="P1163" s="2" t="str">
        <v>November</v>
      </c>
      <c r="Q1163" s="2" t="s">
        <v>47</v>
      </c>
    </row>
    <row r="1164" spans="1:17" x14ac:dyDescent="0.25">
      <c r="A1164" s="2" t="s">
        <v>2336</v>
      </c>
      <c r="B1164" s="7">
        <v>45840</v>
      </c>
      <c r="C1164" s="5" t="s">
        <v>135</v>
      </c>
      <c r="D1164" s="5" t="s">
        <v>33</v>
      </c>
      <c r="E1164" s="5" t="s">
        <v>179</v>
      </c>
      <c r="F1164" s="2" t="s">
        <v>239</v>
      </c>
      <c r="G1164" s="2">
        <v>10</v>
      </c>
      <c r="H1164" s="25">
        <v>1080</v>
      </c>
      <c r="I1164" s="8">
        <v>0</v>
      </c>
      <c r="J1164" s="25">
        <v>10800</v>
      </c>
      <c r="K1164" s="25">
        <f>G1164*H1164</f>
        <v>10800</v>
      </c>
      <c r="L1164" s="8">
        <f>K1164*I1164/100</f>
        <v>0</v>
      </c>
      <c r="M1164" s="2" t="s">
        <v>102</v>
      </c>
      <c r="N1164" s="2" t="s">
        <v>79</v>
      </c>
      <c r="O1164" s="2">
        <v>2025</v>
      </c>
      <c r="P1164" s="2" t="str">
        <v>July</v>
      </c>
      <c r="Q1164" s="2" t="s">
        <v>47</v>
      </c>
    </row>
    <row r="1165" spans="1:17" x14ac:dyDescent="0.25">
      <c r="A1165" s="2" t="s">
        <v>2338</v>
      </c>
      <c r="B1165" s="7">
        <v>46018</v>
      </c>
      <c r="C1165" s="5" t="s">
        <v>41</v>
      </c>
      <c r="D1165" s="5" t="s">
        <v>42</v>
      </c>
      <c r="E1165" s="5" t="s">
        <v>34</v>
      </c>
      <c r="F1165" s="2" t="s">
        <v>18</v>
      </c>
      <c r="G1165" s="2">
        <v>10</v>
      </c>
      <c r="H1165" s="25">
        <v>3460</v>
      </c>
      <c r="I1165" s="8">
        <v>0</v>
      </c>
      <c r="J1165" s="25">
        <v>34600</v>
      </c>
      <c r="K1165" s="25">
        <f>G1165*H1165</f>
        <v>34600</v>
      </c>
      <c r="L1165" s="8">
        <f>K1165*I1165/100</f>
        <v>0</v>
      </c>
      <c r="M1165" s="2" t="s">
        <v>102</v>
      </c>
      <c r="N1165" s="2" t="s">
        <v>406</v>
      </c>
      <c r="O1165" s="2">
        <v>2025</v>
      </c>
      <c r="P1165" s="2" t="str">
        <v>December</v>
      </c>
      <c r="Q1165" s="2" t="s">
        <v>21</v>
      </c>
    </row>
    <row r="1166" spans="1:17" x14ac:dyDescent="0.25">
      <c r="A1166" s="2" t="s">
        <v>2340</v>
      </c>
      <c r="B1166" s="7">
        <v>45767</v>
      </c>
      <c r="C1166" s="5" t="s">
        <v>238</v>
      </c>
      <c r="D1166" s="5" t="s">
        <v>51</v>
      </c>
      <c r="E1166" s="5" t="s">
        <v>179</v>
      </c>
      <c r="F1166" s="2" t="s">
        <v>232</v>
      </c>
      <c r="G1166" s="2">
        <v>8</v>
      </c>
      <c r="H1166" s="25">
        <v>26560</v>
      </c>
      <c r="I1166" s="8">
        <v>15</v>
      </c>
      <c r="J1166" s="25">
        <v>180608</v>
      </c>
      <c r="K1166" s="25">
        <f>G1166*H1166</f>
        <v>212480</v>
      </c>
      <c r="L1166" s="8">
        <f>K1166*I1166/100</f>
        <v>31872</v>
      </c>
      <c r="M1166" s="2" t="s">
        <v>102</v>
      </c>
      <c r="N1166" s="2" t="s">
        <v>73</v>
      </c>
      <c r="O1166" s="2">
        <v>2025</v>
      </c>
      <c r="P1166" s="2" t="str">
        <v>April</v>
      </c>
      <c r="Q1166" s="2" t="s">
        <v>21</v>
      </c>
    </row>
    <row r="1167" spans="1:17" x14ac:dyDescent="0.25">
      <c r="A1167" s="2" t="s">
        <v>2341</v>
      </c>
      <c r="B1167" s="7">
        <v>46018</v>
      </c>
      <c r="C1167" s="5" t="s">
        <v>32</v>
      </c>
      <c r="D1167" s="5" t="s">
        <v>33</v>
      </c>
      <c r="E1167" s="5" t="s">
        <v>148</v>
      </c>
      <c r="F1167" s="2" t="s">
        <v>252</v>
      </c>
      <c r="G1167" s="2">
        <v>7</v>
      </c>
      <c r="H1167" s="25">
        <v>58840</v>
      </c>
      <c r="I1167" s="8">
        <v>0</v>
      </c>
      <c r="J1167" s="25">
        <v>411880</v>
      </c>
      <c r="K1167" s="25">
        <f>G1167*H1167</f>
        <v>411880</v>
      </c>
      <c r="L1167" s="8">
        <f>K1167*I1167/100</f>
        <v>0</v>
      </c>
      <c r="M1167" s="2" t="s">
        <v>102</v>
      </c>
      <c r="N1167" s="2" t="s">
        <v>406</v>
      </c>
      <c r="O1167" s="2">
        <v>2025</v>
      </c>
      <c r="P1167" s="2" t="str">
        <v>December</v>
      </c>
      <c r="Q1167" s="2" t="s">
        <v>21</v>
      </c>
    </row>
    <row r="1168" spans="1:17" x14ac:dyDescent="0.25">
      <c r="A1168" s="2" t="s">
        <v>2342</v>
      </c>
      <c r="B1168" s="7">
        <v>45760</v>
      </c>
      <c r="C1168" s="5" t="s">
        <v>24</v>
      </c>
      <c r="D1168" s="2" t="s">
        <v>16</v>
      </c>
      <c r="E1168" s="2" t="s">
        <v>179</v>
      </c>
      <c r="F1168" s="2" t="s">
        <v>143</v>
      </c>
      <c r="G1168" s="2">
        <v>3</v>
      </c>
      <c r="H1168" s="25">
        <v>72670</v>
      </c>
      <c r="I1168" s="8">
        <v>5</v>
      </c>
      <c r="J1168" s="25">
        <v>207109.5</v>
      </c>
      <c r="K1168" s="25">
        <f>G1168*H1168</f>
        <v>218010</v>
      </c>
      <c r="L1168" s="8">
        <f>K1168*I1168/100</f>
        <v>10900.5</v>
      </c>
      <c r="M1168" s="2" t="s">
        <v>102</v>
      </c>
      <c r="N1168" s="2" t="s">
        <v>176</v>
      </c>
      <c r="O1168" s="2">
        <v>2025</v>
      </c>
      <c r="P1168" s="2" t="str">
        <v>April</v>
      </c>
      <c r="Q1168" s="2" t="s">
        <v>47</v>
      </c>
    </row>
    <row r="1169" spans="1:17" x14ac:dyDescent="0.25">
      <c r="A1169" s="2" t="s">
        <v>2344</v>
      </c>
      <c r="B1169" s="7">
        <v>45970</v>
      </c>
      <c r="C1169" s="5" t="s">
        <v>135</v>
      </c>
      <c r="D1169" s="5" t="s">
        <v>58</v>
      </c>
      <c r="E1169" s="5" t="s">
        <v>25</v>
      </c>
      <c r="F1169" s="2" t="s">
        <v>332</v>
      </c>
      <c r="G1169" s="2">
        <v>9</v>
      </c>
      <c r="H1169" s="25">
        <v>8430</v>
      </c>
      <c r="I1169" s="8">
        <v>0</v>
      </c>
      <c r="J1169" s="25">
        <v>75870</v>
      </c>
      <c r="K1169" s="25">
        <f>G1169*H1169</f>
        <v>75870</v>
      </c>
      <c r="L1169" s="8">
        <f>K1169*I1169/100</f>
        <v>0</v>
      </c>
      <c r="M1169" s="2" t="s">
        <v>102</v>
      </c>
      <c r="N1169" s="2" t="s">
        <v>79</v>
      </c>
      <c r="O1169" s="2">
        <v>2025</v>
      </c>
      <c r="P1169" s="2" t="str">
        <v>November</v>
      </c>
      <c r="Q1169" s="2" t="s">
        <v>21</v>
      </c>
    </row>
    <row r="1170" spans="1:17" x14ac:dyDescent="0.25">
      <c r="A1170" s="2" t="s">
        <v>2345</v>
      </c>
      <c r="B1170" s="7">
        <v>45717</v>
      </c>
      <c r="C1170" s="5" t="s">
        <v>41</v>
      </c>
      <c r="D1170" s="5" t="s">
        <v>42</v>
      </c>
      <c r="E1170" s="5" t="s">
        <v>34</v>
      </c>
      <c r="F1170" s="2" t="s">
        <v>290</v>
      </c>
      <c r="G1170" s="2">
        <v>1</v>
      </c>
      <c r="H1170" s="25">
        <v>9300</v>
      </c>
      <c r="I1170" s="8">
        <v>0</v>
      </c>
      <c r="J1170" s="25">
        <v>9300</v>
      </c>
      <c r="K1170" s="25">
        <f>G1170*H1170</f>
        <v>9300</v>
      </c>
      <c r="L1170" s="8">
        <f>K1170*I1170/100</f>
        <v>0</v>
      </c>
      <c r="M1170" s="2" t="s">
        <v>94</v>
      </c>
      <c r="N1170" s="2" t="s">
        <v>168</v>
      </c>
      <c r="O1170" s="2">
        <v>2025</v>
      </c>
      <c r="P1170" s="2" t="str">
        <v>March</v>
      </c>
      <c r="Q1170" s="2" t="s">
        <v>21</v>
      </c>
    </row>
    <row r="1171" spans="1:17" x14ac:dyDescent="0.25">
      <c r="A1171" s="2" t="s">
        <v>2346</v>
      </c>
      <c r="B1171" s="7">
        <v>45901</v>
      </c>
      <c r="C1171" s="5" t="s">
        <v>24</v>
      </c>
      <c r="D1171" s="5" t="s">
        <v>16</v>
      </c>
      <c r="E1171" s="5" t="s">
        <v>295</v>
      </c>
      <c r="F1171" s="2" t="s">
        <v>219</v>
      </c>
      <c r="G1171" s="2">
        <v>1</v>
      </c>
      <c r="H1171" s="25">
        <v>7600</v>
      </c>
      <c r="I1171" s="8">
        <v>0</v>
      </c>
      <c r="J1171" s="25">
        <v>7600</v>
      </c>
      <c r="K1171" s="25">
        <f>G1171*H1171</f>
        <v>7600</v>
      </c>
      <c r="L1171" s="8">
        <f>K1171*I1171/100</f>
        <v>0</v>
      </c>
      <c r="M1171" s="2" t="s">
        <v>53</v>
      </c>
      <c r="N1171" s="2" t="s">
        <v>883</v>
      </c>
      <c r="O1171" s="2">
        <v>2025</v>
      </c>
      <c r="P1171" s="2" t="str">
        <v>September</v>
      </c>
      <c r="Q1171" s="2" t="s">
        <v>47</v>
      </c>
    </row>
    <row r="1172" spans="1:17" x14ac:dyDescent="0.25">
      <c r="A1172" s="2" t="s">
        <v>2348</v>
      </c>
      <c r="B1172" s="7">
        <v>46000</v>
      </c>
      <c r="C1172" s="5" t="s">
        <v>238</v>
      </c>
      <c r="D1172" s="5" t="s">
        <v>51</v>
      </c>
      <c r="E1172" s="5" t="s">
        <v>148</v>
      </c>
      <c r="F1172" s="2" t="s">
        <v>252</v>
      </c>
      <c r="G1172" s="2">
        <v>6</v>
      </c>
      <c r="H1172" s="25">
        <v>16980</v>
      </c>
      <c r="I1172" s="8">
        <v>0</v>
      </c>
      <c r="J1172" s="25">
        <v>101880</v>
      </c>
      <c r="K1172" s="25">
        <f>G1172*H1172</f>
        <v>101880</v>
      </c>
      <c r="L1172" s="8">
        <f>K1172*I1172/100</f>
        <v>0</v>
      </c>
      <c r="M1172" s="2" t="s">
        <v>53</v>
      </c>
      <c r="N1172" s="2" t="s">
        <v>411</v>
      </c>
      <c r="O1172" s="2">
        <v>2025</v>
      </c>
      <c r="P1172" s="2" t="str">
        <v>December</v>
      </c>
      <c r="Q1172" s="2" t="s">
        <v>21</v>
      </c>
    </row>
    <row r="1173" spans="1:17" x14ac:dyDescent="0.25">
      <c r="A1173" s="2" t="s">
        <v>2350</v>
      </c>
      <c r="B1173" s="7">
        <v>45709</v>
      </c>
      <c r="C1173" s="5" t="s">
        <v>238</v>
      </c>
      <c r="D1173" s="5" t="s">
        <v>51</v>
      </c>
      <c r="E1173" s="5" t="s">
        <v>295</v>
      </c>
      <c r="F1173" s="2" t="s">
        <v>126</v>
      </c>
      <c r="G1173" s="2">
        <v>3</v>
      </c>
      <c r="H1173" s="25">
        <v>13690</v>
      </c>
      <c r="I1173" s="8">
        <v>15</v>
      </c>
      <c r="J1173" s="25">
        <v>34909.5</v>
      </c>
      <c r="K1173" s="25">
        <f>G1173*H1173</f>
        <v>41070</v>
      </c>
      <c r="L1173" s="8">
        <f>K1173*I1173/100</f>
        <v>6160.5</v>
      </c>
      <c r="M1173" s="2" t="s">
        <v>139</v>
      </c>
      <c r="N1173" s="2" t="s">
        <v>344</v>
      </c>
      <c r="O1173" s="2">
        <v>2025</v>
      </c>
      <c r="P1173" s="2" t="str">
        <v>February</v>
      </c>
      <c r="Q1173" s="2" t="s">
        <v>21</v>
      </c>
    </row>
    <row r="1174" spans="1:17" x14ac:dyDescent="0.25">
      <c r="A1174" s="2" t="s">
        <v>2351</v>
      </c>
      <c r="B1174" s="7">
        <v>45889</v>
      </c>
      <c r="C1174" s="5" t="s">
        <v>41</v>
      </c>
      <c r="D1174" s="5" t="s">
        <v>42</v>
      </c>
      <c r="E1174" s="5" t="s">
        <v>34</v>
      </c>
      <c r="F1174" s="2" t="s">
        <v>374</v>
      </c>
      <c r="G1174" s="2">
        <v>6</v>
      </c>
      <c r="H1174" s="25">
        <v>23290</v>
      </c>
      <c r="I1174" s="8">
        <v>0</v>
      </c>
      <c r="J1174" s="25">
        <v>139740</v>
      </c>
      <c r="K1174" s="25">
        <f>G1174*H1174</f>
        <v>139740</v>
      </c>
      <c r="L1174" s="8">
        <f>K1174*I1174/100</f>
        <v>0</v>
      </c>
      <c r="M1174" s="2" t="s">
        <v>139</v>
      </c>
      <c r="N1174" s="2" t="s">
        <v>344</v>
      </c>
      <c r="O1174" s="2">
        <v>2025</v>
      </c>
      <c r="P1174" s="2" t="str">
        <v>August</v>
      </c>
      <c r="Q1174" s="2" t="s">
        <v>47</v>
      </c>
    </row>
    <row r="1175" spans="1:17" x14ac:dyDescent="0.25">
      <c r="A1175" s="2" t="s">
        <v>2352</v>
      </c>
      <c r="B1175" s="7">
        <v>45766</v>
      </c>
      <c r="C1175" s="5" t="s">
        <v>32</v>
      </c>
      <c r="D1175" s="5" t="s">
        <v>33</v>
      </c>
      <c r="E1175" s="5" t="s">
        <v>148</v>
      </c>
      <c r="F1175" s="2" t="s">
        <v>379</v>
      </c>
      <c r="G1175" s="2">
        <v>9</v>
      </c>
      <c r="H1175" s="25">
        <v>13110</v>
      </c>
      <c r="I1175" s="8">
        <v>5</v>
      </c>
      <c r="J1175" s="25">
        <v>112090.5</v>
      </c>
      <c r="K1175" s="25">
        <f>G1175*H1175</f>
        <v>117990</v>
      </c>
      <c r="L1175" s="8">
        <f>K1175*I1175/100</f>
        <v>5899.5</v>
      </c>
      <c r="M1175" s="2" t="s">
        <v>53</v>
      </c>
      <c r="N1175" s="2" t="s">
        <v>37</v>
      </c>
      <c r="O1175" s="2">
        <v>2025</v>
      </c>
      <c r="P1175" s="2" t="str">
        <v>April</v>
      </c>
      <c r="Q1175" s="2" t="s">
        <v>21</v>
      </c>
    </row>
    <row r="1176" spans="1:17" x14ac:dyDescent="0.25">
      <c r="A1176" s="2" t="s">
        <v>2354</v>
      </c>
      <c r="B1176" s="7">
        <v>45880</v>
      </c>
      <c r="C1176" s="5" t="s">
        <v>41</v>
      </c>
      <c r="D1176" s="5" t="s">
        <v>42</v>
      </c>
      <c r="E1176" s="5" t="s">
        <v>25</v>
      </c>
      <c r="F1176" s="2" t="s">
        <v>248</v>
      </c>
      <c r="G1176" s="2">
        <v>12</v>
      </c>
      <c r="H1176" s="25">
        <v>2400</v>
      </c>
      <c r="I1176" s="8">
        <v>10</v>
      </c>
      <c r="J1176" s="25">
        <v>25920</v>
      </c>
      <c r="K1176" s="25">
        <f>G1176*H1176</f>
        <v>28800</v>
      </c>
      <c r="L1176" s="8">
        <f>K1176*I1176/100</f>
        <v>2880</v>
      </c>
      <c r="M1176" s="2" t="s">
        <v>139</v>
      </c>
      <c r="N1176" s="2" t="s">
        <v>68</v>
      </c>
      <c r="O1176" s="2">
        <v>2025</v>
      </c>
      <c r="P1176" s="2" t="str">
        <v>August</v>
      </c>
      <c r="Q1176" s="2" t="s">
        <v>47</v>
      </c>
    </row>
    <row r="1177" spans="1:17" x14ac:dyDescent="0.25">
      <c r="A1177" s="2" t="s">
        <v>2356</v>
      </c>
      <c r="B1177" s="7">
        <v>45752</v>
      </c>
      <c r="C1177" s="5" t="s">
        <v>76</v>
      </c>
      <c r="D1177" s="5" t="s">
        <v>33</v>
      </c>
      <c r="E1177" s="5" t="s">
        <v>25</v>
      </c>
      <c r="F1177" s="2" t="s">
        <v>332</v>
      </c>
      <c r="G1177" s="2">
        <v>1</v>
      </c>
      <c r="H1177" s="25">
        <v>2400</v>
      </c>
      <c r="I1177" s="8">
        <v>0</v>
      </c>
      <c r="J1177" s="25">
        <v>2400</v>
      </c>
      <c r="K1177" s="25">
        <f>G1177*H1177</f>
        <v>2400</v>
      </c>
      <c r="L1177" s="8">
        <f>K1177*I1177/100</f>
        <v>0</v>
      </c>
      <c r="M1177" s="2" t="s">
        <v>102</v>
      </c>
      <c r="N1177" s="2" t="s">
        <v>54</v>
      </c>
      <c r="O1177" s="2">
        <v>2025</v>
      </c>
      <c r="P1177" s="2" t="str">
        <v>April</v>
      </c>
      <c r="Q1177" s="2" t="s">
        <v>21</v>
      </c>
    </row>
    <row r="1178" spans="1:17" x14ac:dyDescent="0.25">
      <c r="A1178" s="2" t="s">
        <v>2357</v>
      </c>
      <c r="B1178" s="7">
        <v>45829</v>
      </c>
      <c r="C1178" s="5" t="s">
        <v>32</v>
      </c>
      <c r="D1178" s="5" t="s">
        <v>33</v>
      </c>
      <c r="E1178" s="5" t="s">
        <v>295</v>
      </c>
      <c r="F1178" s="2" t="s">
        <v>66</v>
      </c>
      <c r="G1178" s="2">
        <v>10</v>
      </c>
      <c r="H1178" s="25">
        <v>2400</v>
      </c>
      <c r="I1178" s="8">
        <v>10</v>
      </c>
      <c r="J1178" s="25">
        <v>21600</v>
      </c>
      <c r="K1178" s="25">
        <f>G1178*H1178</f>
        <v>24000</v>
      </c>
      <c r="L1178" s="8">
        <f>K1178*I1178/100</f>
        <v>2400</v>
      </c>
      <c r="M1178" s="2" t="s">
        <v>53</v>
      </c>
      <c r="N1178" s="2" t="s">
        <v>176</v>
      </c>
      <c r="O1178" s="2">
        <v>2025</v>
      </c>
      <c r="P1178" s="2" t="str">
        <v>June</v>
      </c>
      <c r="Q1178" s="2" t="s">
        <v>21</v>
      </c>
    </row>
    <row r="1179" spans="1:17" x14ac:dyDescent="0.25">
      <c r="A1179" s="2" t="s">
        <v>2359</v>
      </c>
      <c r="B1179" s="7">
        <v>45772</v>
      </c>
      <c r="C1179" s="5" t="s">
        <v>135</v>
      </c>
      <c r="D1179" s="5" t="s">
        <v>58</v>
      </c>
      <c r="E1179" s="5" t="s">
        <v>148</v>
      </c>
      <c r="F1179" s="2" t="s">
        <v>60</v>
      </c>
      <c r="G1179" s="2">
        <v>9</v>
      </c>
      <c r="H1179" s="25">
        <v>24400</v>
      </c>
      <c r="I1179" s="8">
        <v>0</v>
      </c>
      <c r="J1179" s="25">
        <v>219600</v>
      </c>
      <c r="K1179" s="25">
        <f>G1179*H1179</f>
        <v>219600</v>
      </c>
      <c r="L1179" s="8">
        <f>K1179*I1179/100</f>
        <v>0</v>
      </c>
      <c r="M1179" s="2" t="s">
        <v>94</v>
      </c>
      <c r="N1179" s="2" t="s">
        <v>37</v>
      </c>
      <c r="O1179" s="2">
        <v>2025</v>
      </c>
      <c r="P1179" s="2" t="str">
        <v>April</v>
      </c>
      <c r="Q1179" s="2" t="s">
        <v>47</v>
      </c>
    </row>
    <row r="1180" spans="1:17" x14ac:dyDescent="0.25">
      <c r="A1180" s="2" t="s">
        <v>2360</v>
      </c>
      <c r="B1180" s="7">
        <v>45787</v>
      </c>
      <c r="C1180" s="5" t="s">
        <v>24</v>
      </c>
      <c r="D1180" s="5" t="s">
        <v>16</v>
      </c>
      <c r="E1180" s="5" t="s">
        <v>295</v>
      </c>
      <c r="F1180" s="2" t="s">
        <v>219</v>
      </c>
      <c r="G1180" s="2">
        <v>8</v>
      </c>
      <c r="H1180" s="25">
        <v>1160</v>
      </c>
      <c r="I1180" s="8">
        <v>0</v>
      </c>
      <c r="J1180" s="25">
        <v>9280</v>
      </c>
      <c r="K1180" s="25">
        <f>G1180*H1180</f>
        <v>9280</v>
      </c>
      <c r="L1180" s="8">
        <f>K1180*I1180/100</f>
        <v>0</v>
      </c>
      <c r="M1180" s="2" t="s">
        <v>94</v>
      </c>
      <c r="N1180" s="2" t="s">
        <v>168</v>
      </c>
      <c r="O1180" s="2">
        <v>2025</v>
      </c>
      <c r="P1180" s="2" t="str">
        <v>May</v>
      </c>
      <c r="Q1180" s="2" t="s">
        <v>47</v>
      </c>
    </row>
    <row r="1181" spans="1:17" x14ac:dyDescent="0.25">
      <c r="A1181" s="2" t="s">
        <v>2363</v>
      </c>
      <c r="B1181" s="7">
        <v>45919</v>
      </c>
      <c r="C1181" s="5" t="s">
        <v>156</v>
      </c>
      <c r="D1181" s="5" t="s">
        <v>51</v>
      </c>
      <c r="E1181" s="5" t="s">
        <v>179</v>
      </c>
      <c r="F1181" s="2" t="s">
        <v>374</v>
      </c>
      <c r="G1181" s="2">
        <v>8</v>
      </c>
      <c r="H1181" s="25">
        <v>1140</v>
      </c>
      <c r="I1181" s="8">
        <v>5</v>
      </c>
      <c r="J1181" s="25">
        <v>8664</v>
      </c>
      <c r="K1181" s="25">
        <f>G1181*H1181</f>
        <v>9120</v>
      </c>
      <c r="L1181" s="8">
        <f>K1181*I1181/100</f>
        <v>456</v>
      </c>
      <c r="M1181" s="2" t="s">
        <v>102</v>
      </c>
      <c r="N1181" s="2" t="s">
        <v>176</v>
      </c>
      <c r="O1181" s="2">
        <v>2025</v>
      </c>
      <c r="P1181" s="2" t="str">
        <v>September</v>
      </c>
      <c r="Q1181" s="2" t="s">
        <v>47</v>
      </c>
    </row>
    <row r="1182" spans="1:17" x14ac:dyDescent="0.25">
      <c r="A1182" s="2" t="s">
        <v>2365</v>
      </c>
      <c r="B1182" s="7">
        <v>45841</v>
      </c>
      <c r="C1182" s="5" t="s">
        <v>32</v>
      </c>
      <c r="D1182" s="5" t="s">
        <v>33</v>
      </c>
      <c r="E1182" s="5" t="s">
        <v>25</v>
      </c>
      <c r="F1182" s="2" t="s">
        <v>115</v>
      </c>
      <c r="G1182" s="2">
        <v>4</v>
      </c>
      <c r="H1182" s="25">
        <v>5580</v>
      </c>
      <c r="I1182" s="8">
        <v>10</v>
      </c>
      <c r="J1182" s="25">
        <v>20088</v>
      </c>
      <c r="K1182" s="25">
        <f>G1182*H1182</f>
        <v>22320</v>
      </c>
      <c r="L1182" s="8">
        <f>K1182*I1182/100</f>
        <v>2232</v>
      </c>
      <c r="M1182" s="2" t="s">
        <v>139</v>
      </c>
      <c r="N1182" s="2" t="s">
        <v>46</v>
      </c>
      <c r="O1182" s="2">
        <v>2025</v>
      </c>
      <c r="P1182" s="2" t="str">
        <v>July</v>
      </c>
      <c r="Q1182" s="2" t="s">
        <v>21</v>
      </c>
    </row>
    <row r="1183" spans="1:17" x14ac:dyDescent="0.25">
      <c r="A1183" s="2" t="s">
        <v>2366</v>
      </c>
      <c r="B1183" s="7">
        <v>45719</v>
      </c>
      <c r="C1183" s="5" t="s">
        <v>24</v>
      </c>
      <c r="D1183" s="5" t="s">
        <v>16</v>
      </c>
      <c r="E1183" s="5" t="s">
        <v>179</v>
      </c>
      <c r="F1183" s="2" t="s">
        <v>543</v>
      </c>
      <c r="G1183" s="2">
        <v>5</v>
      </c>
      <c r="H1183" s="25">
        <v>10940</v>
      </c>
      <c r="I1183" s="8">
        <v>0</v>
      </c>
      <c r="J1183" s="25">
        <v>54700</v>
      </c>
      <c r="K1183" s="25">
        <f>G1183*H1183</f>
        <v>54700</v>
      </c>
      <c r="L1183" s="8">
        <f>K1183*I1183/100</f>
        <v>0</v>
      </c>
      <c r="M1183" s="2" t="s">
        <v>94</v>
      </c>
      <c r="N1183" s="2" t="s">
        <v>37</v>
      </c>
      <c r="O1183" s="2">
        <v>2025</v>
      </c>
      <c r="P1183" s="2" t="str">
        <v>March</v>
      </c>
      <c r="Q1183" s="2" t="s">
        <v>47</v>
      </c>
    </row>
    <row r="1184" spans="1:17" x14ac:dyDescent="0.25">
      <c r="A1184" s="2" t="s">
        <v>2367</v>
      </c>
      <c r="B1184" s="7">
        <v>45790</v>
      </c>
      <c r="C1184" s="5" t="s">
        <v>41</v>
      </c>
      <c r="D1184" s="5" t="s">
        <v>42</v>
      </c>
      <c r="E1184" s="5" t="s">
        <v>295</v>
      </c>
      <c r="F1184" s="2" t="s">
        <v>296</v>
      </c>
      <c r="G1184" s="2">
        <v>4</v>
      </c>
      <c r="H1184" s="25">
        <v>7090</v>
      </c>
      <c r="I1184" s="8">
        <v>15</v>
      </c>
      <c r="J1184" s="25">
        <v>24106</v>
      </c>
      <c r="K1184" s="25">
        <f>G1184*H1184</f>
        <v>28360</v>
      </c>
      <c r="L1184" s="8">
        <f>K1184*I1184/100</f>
        <v>4254</v>
      </c>
      <c r="M1184" s="2" t="s">
        <v>102</v>
      </c>
      <c r="N1184" s="2" t="s">
        <v>37</v>
      </c>
      <c r="O1184" s="2">
        <v>2025</v>
      </c>
      <c r="P1184" s="2" t="str">
        <v>May</v>
      </c>
      <c r="Q1184" s="2" t="s">
        <v>47</v>
      </c>
    </row>
    <row r="1185" spans="1:17" x14ac:dyDescent="0.25">
      <c r="A1185" s="2" t="s">
        <v>2369</v>
      </c>
      <c r="B1185" s="7">
        <v>45830</v>
      </c>
      <c r="C1185" s="5" t="s">
        <v>238</v>
      </c>
      <c r="D1185" s="5" t="s">
        <v>51</v>
      </c>
      <c r="E1185" s="5" t="s">
        <v>179</v>
      </c>
      <c r="F1185" s="2" t="s">
        <v>239</v>
      </c>
      <c r="G1185" s="2">
        <v>8</v>
      </c>
      <c r="H1185" s="25">
        <v>18320</v>
      </c>
      <c r="I1185" s="8">
        <v>0</v>
      </c>
      <c r="J1185" s="25">
        <v>146560</v>
      </c>
      <c r="K1185" s="25">
        <f>G1185*H1185</f>
        <v>146560</v>
      </c>
      <c r="L1185" s="8">
        <f>K1185*I1185/100</f>
        <v>0</v>
      </c>
      <c r="M1185" s="2" t="s">
        <v>102</v>
      </c>
      <c r="N1185" s="2" t="s">
        <v>46</v>
      </c>
      <c r="O1185" s="2">
        <v>2025</v>
      </c>
      <c r="P1185" s="2" t="str">
        <v>June</v>
      </c>
      <c r="Q1185" s="2" t="s">
        <v>47</v>
      </c>
    </row>
    <row r="1186" spans="1:17" x14ac:dyDescent="0.25">
      <c r="A1186" s="2" t="s">
        <v>2371</v>
      </c>
      <c r="B1186" s="7">
        <v>45917</v>
      </c>
      <c r="C1186" s="5" t="s">
        <v>135</v>
      </c>
      <c r="D1186" s="5" t="s">
        <v>58</v>
      </c>
      <c r="E1186" s="5" t="s">
        <v>179</v>
      </c>
      <c r="F1186" s="2" t="s">
        <v>224</v>
      </c>
      <c r="G1186" s="2">
        <v>5</v>
      </c>
      <c r="H1186" s="25">
        <v>7200</v>
      </c>
      <c r="I1186" s="8">
        <v>0</v>
      </c>
      <c r="J1186" s="25">
        <v>36000</v>
      </c>
      <c r="K1186" s="25">
        <f>G1186*H1186</f>
        <v>36000</v>
      </c>
      <c r="L1186" s="8">
        <f>K1186*I1186/100</f>
        <v>0</v>
      </c>
      <c r="M1186" s="2" t="s">
        <v>102</v>
      </c>
      <c r="N1186" s="2" t="s">
        <v>176</v>
      </c>
      <c r="O1186" s="2">
        <v>2025</v>
      </c>
      <c r="P1186" s="2" t="str">
        <v>September</v>
      </c>
      <c r="Q1186" s="2" t="s">
        <v>47</v>
      </c>
    </row>
    <row r="1187" spans="1:17" x14ac:dyDescent="0.25">
      <c r="A1187" s="2" t="s">
        <v>2373</v>
      </c>
      <c r="B1187" s="7">
        <v>45663</v>
      </c>
      <c r="C1187" s="5" t="s">
        <v>238</v>
      </c>
      <c r="D1187" s="5" t="s">
        <v>51</v>
      </c>
      <c r="E1187" s="5" t="s">
        <v>25</v>
      </c>
      <c r="F1187" s="2" t="s">
        <v>106</v>
      </c>
      <c r="G1187" s="2">
        <v>12</v>
      </c>
      <c r="H1187" s="25">
        <v>8730</v>
      </c>
      <c r="I1187" s="8">
        <v>15</v>
      </c>
      <c r="J1187" s="25">
        <v>89046</v>
      </c>
      <c r="K1187" s="25">
        <f>G1187*H1187</f>
        <v>104760</v>
      </c>
      <c r="L1187" s="8">
        <f>K1187*I1187/100</f>
        <v>15714</v>
      </c>
      <c r="M1187" s="2" t="s">
        <v>139</v>
      </c>
      <c r="N1187" s="2" t="s">
        <v>411</v>
      </c>
      <c r="O1187" s="2">
        <v>2025</v>
      </c>
      <c r="P1187" s="2" t="str">
        <v>January</v>
      </c>
      <c r="Q1187" s="2" t="s">
        <v>21</v>
      </c>
    </row>
    <row r="1188" spans="1:17" x14ac:dyDescent="0.25">
      <c r="A1188" s="2" t="s">
        <v>2374</v>
      </c>
      <c r="B1188" s="7">
        <v>45668</v>
      </c>
      <c r="C1188" s="5" t="s">
        <v>135</v>
      </c>
      <c r="D1188" s="5" t="s">
        <v>58</v>
      </c>
      <c r="E1188" s="5" t="s">
        <v>179</v>
      </c>
      <c r="F1188" s="2" t="s">
        <v>180</v>
      </c>
      <c r="G1188" s="2">
        <v>3</v>
      </c>
      <c r="H1188" s="25">
        <v>12550</v>
      </c>
      <c r="I1188" s="8">
        <v>0</v>
      </c>
      <c r="J1188" s="25">
        <v>37650</v>
      </c>
      <c r="K1188" s="25">
        <f>G1188*H1188</f>
        <v>37650</v>
      </c>
      <c r="L1188" s="8">
        <f>K1188*I1188/100</f>
        <v>0</v>
      </c>
      <c r="M1188" s="2" t="s">
        <v>102</v>
      </c>
      <c r="N1188" s="2" t="s">
        <v>406</v>
      </c>
      <c r="O1188" s="2">
        <v>2025</v>
      </c>
      <c r="P1188" s="2" t="str">
        <v>January</v>
      </c>
      <c r="Q1188" s="2" t="s">
        <v>47</v>
      </c>
    </row>
    <row r="1189" spans="1:17" x14ac:dyDescent="0.25">
      <c r="A1189" s="2" t="s">
        <v>2376</v>
      </c>
      <c r="B1189" s="7">
        <v>45838</v>
      </c>
      <c r="C1189" s="5" t="s">
        <v>76</v>
      </c>
      <c r="D1189" s="5" t="s">
        <v>33</v>
      </c>
      <c r="E1189" s="5" t="s">
        <v>148</v>
      </c>
      <c r="F1189" s="2" t="s">
        <v>83</v>
      </c>
      <c r="G1189" s="2">
        <v>10</v>
      </c>
      <c r="H1189" s="25">
        <v>73800</v>
      </c>
      <c r="I1189" s="8">
        <v>15</v>
      </c>
      <c r="J1189" s="25">
        <v>627300</v>
      </c>
      <c r="K1189" s="25">
        <f>G1189*H1189</f>
        <v>738000</v>
      </c>
      <c r="L1189" s="8">
        <f>K1189*I1189/100</f>
        <v>110700</v>
      </c>
      <c r="M1189" s="2" t="s">
        <v>139</v>
      </c>
      <c r="N1189" s="2" t="s">
        <v>73</v>
      </c>
      <c r="O1189" s="2">
        <v>2025</v>
      </c>
      <c r="P1189" s="2" t="str">
        <v>June</v>
      </c>
      <c r="Q1189" s="2" t="s">
        <v>21</v>
      </c>
    </row>
    <row r="1190" spans="1:17" x14ac:dyDescent="0.25">
      <c r="A1190" s="2" t="s">
        <v>2378</v>
      </c>
      <c r="B1190" s="7">
        <v>45956</v>
      </c>
      <c r="C1190" s="5" t="s">
        <v>76</v>
      </c>
      <c r="D1190" s="5" t="s">
        <v>33</v>
      </c>
      <c r="E1190" s="5" t="s">
        <v>25</v>
      </c>
      <c r="F1190" s="2" t="s">
        <v>44</v>
      </c>
      <c r="G1190" s="2">
        <v>6</v>
      </c>
      <c r="H1190" s="25">
        <v>13060</v>
      </c>
      <c r="I1190" s="8">
        <v>10</v>
      </c>
      <c r="J1190" s="25">
        <v>70524</v>
      </c>
      <c r="K1190" s="25">
        <f>G1190*H1190</f>
        <v>78360</v>
      </c>
      <c r="L1190" s="8">
        <f>K1190*I1190/100</f>
        <v>7836</v>
      </c>
      <c r="M1190" s="2" t="s">
        <v>139</v>
      </c>
      <c r="N1190" s="2" t="s">
        <v>411</v>
      </c>
      <c r="O1190" s="2">
        <v>2025</v>
      </c>
      <c r="P1190" s="2" t="str">
        <v>October</v>
      </c>
      <c r="Q1190" s="2" t="s">
        <v>21</v>
      </c>
    </row>
    <row r="1191" spans="1:17" x14ac:dyDescent="0.25">
      <c r="A1191" s="2" t="s">
        <v>2379</v>
      </c>
      <c r="B1191" s="7">
        <v>45704</v>
      </c>
      <c r="C1191" s="5" t="s">
        <v>41</v>
      </c>
      <c r="D1191" s="5" t="s">
        <v>42</v>
      </c>
      <c r="E1191" s="5" t="s">
        <v>25</v>
      </c>
      <c r="F1191" s="2" t="s">
        <v>106</v>
      </c>
      <c r="G1191" s="2">
        <v>3</v>
      </c>
      <c r="H1191" s="25">
        <v>2490</v>
      </c>
      <c r="I1191" s="8">
        <v>15</v>
      </c>
      <c r="J1191" s="25">
        <v>6349.5</v>
      </c>
      <c r="K1191" s="25">
        <f>G1191*H1191</f>
        <v>7470</v>
      </c>
      <c r="L1191" s="8">
        <f>K1191*I1191/100</f>
        <v>1120.5</v>
      </c>
      <c r="M1191" s="2" t="s">
        <v>139</v>
      </c>
      <c r="N1191" s="2" t="s">
        <v>54</v>
      </c>
      <c r="O1191" s="2">
        <v>2025</v>
      </c>
      <c r="P1191" s="2" t="str">
        <v>February</v>
      </c>
      <c r="Q1191" s="2" t="s">
        <v>21</v>
      </c>
    </row>
    <row r="1192" spans="1:17" x14ac:dyDescent="0.25">
      <c r="A1192" s="2" t="s">
        <v>2380</v>
      </c>
      <c r="B1192" s="7">
        <v>45964</v>
      </c>
      <c r="C1192" s="5" t="s">
        <v>156</v>
      </c>
      <c r="D1192" s="5" t="s">
        <v>51</v>
      </c>
      <c r="E1192" s="5" t="s">
        <v>25</v>
      </c>
      <c r="F1192" s="2" t="s">
        <v>255</v>
      </c>
      <c r="G1192" s="2">
        <v>2</v>
      </c>
      <c r="H1192" s="25">
        <v>43560</v>
      </c>
      <c r="I1192" s="8">
        <v>0</v>
      </c>
      <c r="J1192" s="25">
        <v>87120</v>
      </c>
      <c r="K1192" s="25">
        <f>G1192*H1192</f>
        <v>87120</v>
      </c>
      <c r="L1192" s="8">
        <f>K1192*I1192/100</f>
        <v>0</v>
      </c>
      <c r="M1192" s="2" t="s">
        <v>139</v>
      </c>
      <c r="N1192" s="2" t="s">
        <v>411</v>
      </c>
      <c r="O1192" s="2">
        <v>2025</v>
      </c>
      <c r="P1192" s="2" t="str">
        <v>November</v>
      </c>
      <c r="Q1192" s="2" t="s">
        <v>21</v>
      </c>
    </row>
    <row r="1193" spans="1:17" x14ac:dyDescent="0.25">
      <c r="A1193" s="2" t="s">
        <v>2381</v>
      </c>
      <c r="B1193" s="7">
        <v>45663</v>
      </c>
      <c r="C1193" s="5" t="s">
        <v>238</v>
      </c>
      <c r="D1193" s="5" t="s">
        <v>51</v>
      </c>
      <c r="E1193" s="5" t="s">
        <v>25</v>
      </c>
      <c r="F1193" s="2" t="s">
        <v>93</v>
      </c>
      <c r="G1193" s="2">
        <v>5</v>
      </c>
      <c r="H1193" s="25">
        <v>470</v>
      </c>
      <c r="I1193" s="8">
        <v>10</v>
      </c>
      <c r="J1193" s="25">
        <v>2115</v>
      </c>
      <c r="K1193" s="25">
        <f>G1193*H1193</f>
        <v>2350</v>
      </c>
      <c r="L1193" s="8">
        <f>K1193*I1193/100</f>
        <v>235</v>
      </c>
      <c r="M1193" s="2" t="s">
        <v>102</v>
      </c>
      <c r="N1193" s="2" t="s">
        <v>68</v>
      </c>
      <c r="O1193" s="2">
        <v>2025</v>
      </c>
      <c r="P1193" s="2" t="str">
        <v>January</v>
      </c>
      <c r="Q1193" s="2" t="s">
        <v>21</v>
      </c>
    </row>
    <row r="1194" spans="1:17" x14ac:dyDescent="0.25">
      <c r="A1194" s="2" t="s">
        <v>2382</v>
      </c>
      <c r="B1194" s="7">
        <v>45920</v>
      </c>
      <c r="C1194" s="5" t="s">
        <v>32</v>
      </c>
      <c r="D1194" s="5" t="s">
        <v>33</v>
      </c>
      <c r="E1194" s="5" t="s">
        <v>179</v>
      </c>
      <c r="F1194" s="2" t="s">
        <v>239</v>
      </c>
      <c r="G1194" s="2">
        <v>8</v>
      </c>
      <c r="H1194" s="25">
        <v>1240</v>
      </c>
      <c r="I1194" s="8">
        <v>0</v>
      </c>
      <c r="J1194" s="25">
        <v>9920</v>
      </c>
      <c r="K1194" s="25">
        <f>G1194*H1194</f>
        <v>9920</v>
      </c>
      <c r="L1194" s="8">
        <f>K1194*I1194/100</f>
        <v>0</v>
      </c>
      <c r="M1194" s="2" t="s">
        <v>102</v>
      </c>
      <c r="N1194" s="2" t="s">
        <v>46</v>
      </c>
      <c r="O1194" s="2">
        <v>2025</v>
      </c>
      <c r="P1194" s="2" t="str">
        <v>September</v>
      </c>
      <c r="Q1194" s="2" t="s">
        <v>21</v>
      </c>
    </row>
    <row r="1195" spans="1:17" x14ac:dyDescent="0.25">
      <c r="A1195" s="2" t="s">
        <v>2384</v>
      </c>
      <c r="B1195" s="7">
        <v>45998</v>
      </c>
      <c r="C1195" s="5" t="s">
        <v>24</v>
      </c>
      <c r="D1195" s="5" t="s">
        <v>16</v>
      </c>
      <c r="E1195" s="5" t="s">
        <v>25</v>
      </c>
      <c r="F1195" s="2" t="s">
        <v>248</v>
      </c>
      <c r="G1195" s="2">
        <v>7</v>
      </c>
      <c r="H1195" s="25">
        <v>74730</v>
      </c>
      <c r="I1195" s="8">
        <v>0</v>
      </c>
      <c r="J1195" s="25">
        <v>523110</v>
      </c>
      <c r="K1195" s="25">
        <f>G1195*H1195</f>
        <v>523110</v>
      </c>
      <c r="L1195" s="8">
        <f>K1195*I1195/100</f>
        <v>0</v>
      </c>
      <c r="M1195" s="2" t="s">
        <v>94</v>
      </c>
      <c r="N1195" s="2" t="s">
        <v>54</v>
      </c>
      <c r="O1195" s="2">
        <v>2025</v>
      </c>
      <c r="P1195" s="2" t="str">
        <v>December</v>
      </c>
      <c r="Q1195" s="2" t="s">
        <v>47</v>
      </c>
    </row>
    <row r="1196" spans="1:17" x14ac:dyDescent="0.25">
      <c r="A1196" s="2" t="s">
        <v>2385</v>
      </c>
      <c r="B1196" s="7">
        <v>45978</v>
      </c>
      <c r="C1196" s="5" t="s">
        <v>76</v>
      </c>
      <c r="D1196" s="5" t="s">
        <v>33</v>
      </c>
      <c r="E1196" s="5" t="s">
        <v>34</v>
      </c>
      <c r="F1196" s="2" t="s">
        <v>35</v>
      </c>
      <c r="G1196" s="2">
        <v>10</v>
      </c>
      <c r="H1196" s="25">
        <v>4580</v>
      </c>
      <c r="I1196" s="8">
        <v>0</v>
      </c>
      <c r="J1196" s="25">
        <v>45800</v>
      </c>
      <c r="K1196" s="25">
        <f>G1196*H1196</f>
        <v>45800</v>
      </c>
      <c r="L1196" s="8">
        <f>K1196*I1196/100</f>
        <v>0</v>
      </c>
      <c r="M1196" s="2" t="s">
        <v>94</v>
      </c>
      <c r="N1196" s="2" t="s">
        <v>411</v>
      </c>
      <c r="O1196" s="2">
        <v>2025</v>
      </c>
      <c r="P1196" s="2" t="str">
        <v>November</v>
      </c>
      <c r="Q1196" s="2" t="s">
        <v>47</v>
      </c>
    </row>
    <row r="1197" spans="1:17" x14ac:dyDescent="0.25">
      <c r="A1197" s="2" t="s">
        <v>2387</v>
      </c>
      <c r="B1197" s="7">
        <v>45681</v>
      </c>
      <c r="C1197" s="5" t="s">
        <v>76</v>
      </c>
      <c r="D1197" s="5" t="s">
        <v>33</v>
      </c>
      <c r="E1197" s="5" t="s">
        <v>25</v>
      </c>
      <c r="F1197" s="2" t="s">
        <v>106</v>
      </c>
      <c r="G1197" s="2">
        <v>10</v>
      </c>
      <c r="H1197" s="25">
        <v>3520</v>
      </c>
      <c r="I1197" s="8">
        <v>0</v>
      </c>
      <c r="J1197" s="25">
        <v>35200</v>
      </c>
      <c r="K1197" s="25">
        <f>G1197*H1197</f>
        <v>35200</v>
      </c>
      <c r="L1197" s="8">
        <f>K1197*I1197/100</f>
        <v>0</v>
      </c>
      <c r="M1197" s="2" t="s">
        <v>102</v>
      </c>
      <c r="N1197" s="2" t="s">
        <v>176</v>
      </c>
      <c r="O1197" s="2">
        <v>2025</v>
      </c>
      <c r="P1197" s="2" t="str">
        <v>January</v>
      </c>
      <c r="Q1197" s="2" t="s">
        <v>21</v>
      </c>
    </row>
    <row r="1198" spans="1:17" x14ac:dyDescent="0.25">
      <c r="A1198" s="2" t="s">
        <v>2389</v>
      </c>
      <c r="B1198" s="7">
        <v>45931</v>
      </c>
      <c r="C1198" s="5" t="s">
        <v>238</v>
      </c>
      <c r="D1198" s="5" t="s">
        <v>51</v>
      </c>
      <c r="E1198" s="5" t="s">
        <v>34</v>
      </c>
      <c r="F1198" s="2" t="s">
        <v>164</v>
      </c>
      <c r="G1198" s="2">
        <v>6</v>
      </c>
      <c r="H1198" s="25">
        <v>3430</v>
      </c>
      <c r="I1198" s="8">
        <v>5</v>
      </c>
      <c r="J1198" s="25">
        <v>19551</v>
      </c>
      <c r="K1198" s="25">
        <f>G1198*H1198</f>
        <v>20580</v>
      </c>
      <c r="L1198" s="8">
        <f>K1198*I1198/100</f>
        <v>1029</v>
      </c>
      <c r="M1198" s="2" t="s">
        <v>139</v>
      </c>
      <c r="N1198" s="2" t="s">
        <v>344</v>
      </c>
      <c r="O1198" s="2">
        <v>2025</v>
      </c>
      <c r="P1198" s="2" t="str">
        <v>October</v>
      </c>
      <c r="Q1198" s="2" t="s">
        <v>47</v>
      </c>
    </row>
    <row r="1199" spans="1:17" x14ac:dyDescent="0.25">
      <c r="A1199" s="2" t="s">
        <v>2390</v>
      </c>
      <c r="B1199" s="7">
        <v>46011</v>
      </c>
      <c r="C1199" s="5" t="s">
        <v>76</v>
      </c>
      <c r="D1199" s="5" t="s">
        <v>33</v>
      </c>
      <c r="E1199" s="5" t="s">
        <v>34</v>
      </c>
      <c r="F1199" s="2" t="s">
        <v>164</v>
      </c>
      <c r="G1199" s="2">
        <v>10</v>
      </c>
      <c r="H1199" s="25">
        <v>28530</v>
      </c>
      <c r="I1199" s="8">
        <v>0</v>
      </c>
      <c r="J1199" s="25">
        <v>285300</v>
      </c>
      <c r="K1199" s="25">
        <f>G1199*H1199</f>
        <v>285300</v>
      </c>
      <c r="L1199" s="8">
        <f>K1199*I1199/100</f>
        <v>0</v>
      </c>
      <c r="M1199" s="2" t="s">
        <v>94</v>
      </c>
      <c r="N1199" s="2" t="s">
        <v>168</v>
      </c>
      <c r="O1199" s="2">
        <v>2025</v>
      </c>
      <c r="P1199" s="2" t="str">
        <v>December</v>
      </c>
      <c r="Q1199" s="2" t="s">
        <v>47</v>
      </c>
    </row>
    <row r="1200" spans="1:17" x14ac:dyDescent="0.25">
      <c r="A1200" s="2" t="s">
        <v>2391</v>
      </c>
      <c r="B1200" s="7">
        <v>45954</v>
      </c>
      <c r="C1200" s="5" t="s">
        <v>135</v>
      </c>
      <c r="D1200" s="5" t="s">
        <v>58</v>
      </c>
      <c r="E1200" s="5" t="s">
        <v>34</v>
      </c>
      <c r="F1200" s="2" t="s">
        <v>290</v>
      </c>
      <c r="G1200" s="2">
        <v>11</v>
      </c>
      <c r="H1200" s="25">
        <v>7540</v>
      </c>
      <c r="I1200" s="8">
        <v>0</v>
      </c>
      <c r="J1200" s="25">
        <v>82940</v>
      </c>
      <c r="K1200" s="25">
        <f>G1200*H1200</f>
        <v>82940</v>
      </c>
      <c r="L1200" s="8">
        <f>K1200*I1200/100</f>
        <v>0</v>
      </c>
      <c r="M1200" s="2" t="s">
        <v>102</v>
      </c>
      <c r="N1200" s="2" t="s">
        <v>176</v>
      </c>
      <c r="O1200" s="2">
        <v>2025</v>
      </c>
      <c r="P1200" s="2" t="str">
        <v>October</v>
      </c>
      <c r="Q1200" s="2" t="s">
        <v>21</v>
      </c>
    </row>
    <row r="1201" spans="1:17" x14ac:dyDescent="0.25">
      <c r="A1201" s="2" t="s">
        <v>2392</v>
      </c>
      <c r="B1201" s="7">
        <v>45699</v>
      </c>
      <c r="C1201" s="5" t="s">
        <v>41</v>
      </c>
      <c r="D1201" s="5" t="s">
        <v>33</v>
      </c>
      <c r="E1201" s="5" t="s">
        <v>34</v>
      </c>
      <c r="F1201" s="2" t="s">
        <v>171</v>
      </c>
      <c r="G1201" s="2">
        <v>11</v>
      </c>
      <c r="H1201" s="25">
        <v>480</v>
      </c>
      <c r="I1201" s="8">
        <v>10</v>
      </c>
      <c r="J1201" s="25">
        <v>4752</v>
      </c>
      <c r="K1201" s="25">
        <f>G1201*H1201</f>
        <v>5280</v>
      </c>
      <c r="L1201" s="8">
        <f>K1201*I1201/100</f>
        <v>528</v>
      </c>
      <c r="M1201" s="2" t="s">
        <v>94</v>
      </c>
      <c r="N1201" s="2" t="s">
        <v>46</v>
      </c>
      <c r="O1201" s="2">
        <v>2025</v>
      </c>
      <c r="P1201" s="2" t="str">
        <v>February</v>
      </c>
      <c r="Q1201" s="2" t="s">
        <v>21</v>
      </c>
    </row>
    <row r="1202" spans="1:17" x14ac:dyDescent="0.25">
      <c r="A1202" s="2" t="s">
        <v>2393</v>
      </c>
      <c r="B1202" s="7">
        <v>45730</v>
      </c>
      <c r="C1202" s="5" t="s">
        <v>156</v>
      </c>
      <c r="D1202" s="5" t="s">
        <v>51</v>
      </c>
      <c r="E1202" s="5" t="s">
        <v>25</v>
      </c>
      <c r="F1202" s="2" t="s">
        <v>93</v>
      </c>
      <c r="G1202" s="2">
        <v>11</v>
      </c>
      <c r="H1202" s="25">
        <v>1260</v>
      </c>
      <c r="I1202" s="8">
        <v>0</v>
      </c>
      <c r="J1202" s="25">
        <v>13860</v>
      </c>
      <c r="K1202" s="25">
        <f>G1202*H1202</f>
        <v>13860</v>
      </c>
      <c r="L1202" s="8">
        <f>K1202*I1202/100</f>
        <v>0</v>
      </c>
      <c r="M1202" s="2" t="s">
        <v>94</v>
      </c>
      <c r="N1202" s="2" t="s">
        <v>79</v>
      </c>
      <c r="O1202" s="2">
        <v>2025</v>
      </c>
      <c r="P1202" s="2" t="str">
        <v>March</v>
      </c>
      <c r="Q1202" s="2" t="s">
        <v>47</v>
      </c>
    </row>
    <row r="1203" spans="1:17" x14ac:dyDescent="0.25">
      <c r="A1203" s="2" t="s">
        <v>2394</v>
      </c>
      <c r="B1203" s="7">
        <v>45953</v>
      </c>
      <c r="C1203" s="5" t="s">
        <v>32</v>
      </c>
      <c r="D1203" s="5" t="s">
        <v>33</v>
      </c>
      <c r="E1203" s="5" t="s">
        <v>148</v>
      </c>
      <c r="F1203" s="2" t="s">
        <v>379</v>
      </c>
      <c r="G1203" s="2">
        <v>11</v>
      </c>
      <c r="H1203" s="25">
        <v>520</v>
      </c>
      <c r="I1203" s="8">
        <v>0</v>
      </c>
      <c r="J1203" s="25">
        <v>5720</v>
      </c>
      <c r="K1203" s="25">
        <f>G1203*H1203</f>
        <v>5720</v>
      </c>
      <c r="L1203" s="8">
        <f>K1203*I1203/100</f>
        <v>0</v>
      </c>
      <c r="M1203" s="2" t="s">
        <v>53</v>
      </c>
      <c r="N1203" s="2" t="s">
        <v>411</v>
      </c>
      <c r="O1203" s="2">
        <v>2025</v>
      </c>
      <c r="P1203" s="2" t="str">
        <v>October</v>
      </c>
      <c r="Q1203" s="2" t="s">
        <v>47</v>
      </c>
    </row>
    <row r="1204" spans="1:17" x14ac:dyDescent="0.25">
      <c r="A1204" s="2" t="s">
        <v>2396</v>
      </c>
      <c r="B1204" s="7">
        <v>45982</v>
      </c>
      <c r="C1204" s="5" t="s">
        <v>135</v>
      </c>
      <c r="D1204" s="5" t="s">
        <v>58</v>
      </c>
      <c r="E1204" s="5" t="s">
        <v>34</v>
      </c>
      <c r="F1204" s="2" t="s">
        <v>374</v>
      </c>
      <c r="G1204" s="2">
        <v>12</v>
      </c>
      <c r="H1204" s="25">
        <v>8650</v>
      </c>
      <c r="I1204" s="8">
        <v>0</v>
      </c>
      <c r="J1204" s="25">
        <v>103800</v>
      </c>
      <c r="K1204" s="25">
        <f>G1204*H1204</f>
        <v>103800</v>
      </c>
      <c r="L1204" s="8">
        <f>K1204*I1204/100</f>
        <v>0</v>
      </c>
      <c r="M1204" s="2" t="s">
        <v>139</v>
      </c>
      <c r="N1204" s="2" t="s">
        <v>168</v>
      </c>
      <c r="O1204" s="2">
        <v>2025</v>
      </c>
      <c r="P1204" s="2" t="str">
        <v>November</v>
      </c>
      <c r="Q1204" s="2" t="s">
        <v>47</v>
      </c>
    </row>
    <row r="1205" spans="1:17" x14ac:dyDescent="0.25">
      <c r="A1205" s="2" t="s">
        <v>2397</v>
      </c>
      <c r="B1205" s="7">
        <v>45973</v>
      </c>
      <c r="C1205" s="5" t="s">
        <v>41</v>
      </c>
      <c r="D1205" s="5" t="s">
        <v>42</v>
      </c>
      <c r="E1205" s="5" t="s">
        <v>148</v>
      </c>
      <c r="F1205" s="2" t="s">
        <v>167</v>
      </c>
      <c r="G1205" s="2">
        <v>8</v>
      </c>
      <c r="H1205" s="25">
        <v>26460</v>
      </c>
      <c r="I1205" s="8">
        <v>0</v>
      </c>
      <c r="J1205" s="25">
        <v>211680</v>
      </c>
      <c r="K1205" s="25">
        <f>G1205*H1205</f>
        <v>211680</v>
      </c>
      <c r="L1205" s="8">
        <f>K1205*I1205/100</f>
        <v>0</v>
      </c>
      <c r="M1205" s="2" t="s">
        <v>139</v>
      </c>
      <c r="N1205" s="2" t="s">
        <v>883</v>
      </c>
      <c r="O1205" s="2">
        <v>2025</v>
      </c>
      <c r="P1205" s="2" t="str">
        <v>November</v>
      </c>
      <c r="Q1205" s="2" t="s">
        <v>21</v>
      </c>
    </row>
    <row r="1206" spans="1:17" x14ac:dyDescent="0.25">
      <c r="A1206" s="2" t="s">
        <v>2398</v>
      </c>
      <c r="B1206" s="7">
        <v>45888</v>
      </c>
      <c r="C1206" s="5" t="s">
        <v>238</v>
      </c>
      <c r="D1206" s="5" t="s">
        <v>51</v>
      </c>
      <c r="E1206" s="5" t="s">
        <v>179</v>
      </c>
      <c r="F1206" s="2" t="s">
        <v>239</v>
      </c>
      <c r="G1206" s="2">
        <v>8</v>
      </c>
      <c r="H1206" s="25">
        <v>8340</v>
      </c>
      <c r="I1206" s="8">
        <v>10</v>
      </c>
      <c r="J1206" s="25">
        <v>60048</v>
      </c>
      <c r="K1206" s="25">
        <f>G1206*H1206</f>
        <v>66720</v>
      </c>
      <c r="L1206" s="8">
        <f>K1206*I1206/100</f>
        <v>6672</v>
      </c>
      <c r="M1206" s="2" t="s">
        <v>102</v>
      </c>
      <c r="N1206" s="2" t="s">
        <v>37</v>
      </c>
      <c r="O1206" s="2">
        <v>2025</v>
      </c>
      <c r="P1206" s="2" t="str">
        <v>August</v>
      </c>
      <c r="Q1206" s="2" t="s">
        <v>47</v>
      </c>
    </row>
    <row r="1207" spans="1:17" x14ac:dyDescent="0.25">
      <c r="A1207" s="2" t="s">
        <v>2400</v>
      </c>
      <c r="B1207" s="7">
        <v>45737</v>
      </c>
      <c r="C1207" s="5" t="s">
        <v>135</v>
      </c>
      <c r="D1207" s="5" t="s">
        <v>58</v>
      </c>
      <c r="E1207" s="5" t="s">
        <v>25</v>
      </c>
      <c r="F1207" s="2" t="s">
        <v>248</v>
      </c>
      <c r="G1207" s="2">
        <v>2</v>
      </c>
      <c r="H1207" s="25">
        <v>1080</v>
      </c>
      <c r="I1207" s="8">
        <v>5</v>
      </c>
      <c r="J1207" s="25">
        <v>2052</v>
      </c>
      <c r="K1207" s="25">
        <f>G1207*H1207</f>
        <v>2160</v>
      </c>
      <c r="L1207" s="8">
        <f>K1207*I1207/100</f>
        <v>108</v>
      </c>
      <c r="M1207" s="2" t="s">
        <v>139</v>
      </c>
      <c r="N1207" s="2" t="s">
        <v>411</v>
      </c>
      <c r="O1207" s="2">
        <v>2025</v>
      </c>
      <c r="P1207" s="2" t="str">
        <v>March</v>
      </c>
      <c r="Q1207" s="2" t="s">
        <v>47</v>
      </c>
    </row>
    <row r="1208" spans="1:17" x14ac:dyDescent="0.25">
      <c r="A1208" s="2" t="s">
        <v>2402</v>
      </c>
      <c r="B1208" s="7">
        <v>45894</v>
      </c>
      <c r="C1208" s="5" t="s">
        <v>76</v>
      </c>
      <c r="D1208" s="5" t="s">
        <v>33</v>
      </c>
      <c r="E1208" s="5" t="s">
        <v>25</v>
      </c>
      <c r="F1208" s="2" t="s">
        <v>255</v>
      </c>
      <c r="G1208" s="2">
        <v>3</v>
      </c>
      <c r="H1208" s="25">
        <v>13540</v>
      </c>
      <c r="I1208" s="8">
        <v>5</v>
      </c>
      <c r="J1208" s="25">
        <v>38589</v>
      </c>
      <c r="K1208" s="25">
        <f>G1208*H1208</f>
        <v>40620</v>
      </c>
      <c r="L1208" s="8">
        <f>K1208*I1208/100</f>
        <v>2031</v>
      </c>
      <c r="M1208" s="2" t="s">
        <v>94</v>
      </c>
      <c r="N1208" s="2" t="s">
        <v>176</v>
      </c>
      <c r="O1208" s="2">
        <v>2025</v>
      </c>
      <c r="P1208" s="2" t="str">
        <v>August</v>
      </c>
      <c r="Q1208" s="2" t="s">
        <v>21</v>
      </c>
    </row>
    <row r="1209" spans="1:17" x14ac:dyDescent="0.25">
      <c r="A1209" s="2" t="s">
        <v>2404</v>
      </c>
      <c r="B1209" s="7">
        <v>45724</v>
      </c>
      <c r="C1209" s="5" t="s">
        <v>41</v>
      </c>
      <c r="D1209" s="5" t="s">
        <v>42</v>
      </c>
      <c r="E1209" s="5" t="s">
        <v>179</v>
      </c>
      <c r="F1209" s="2" t="s">
        <v>224</v>
      </c>
      <c r="G1209" s="2">
        <v>5</v>
      </c>
      <c r="H1209" s="25">
        <v>5010</v>
      </c>
      <c r="I1209" s="8">
        <v>0</v>
      </c>
      <c r="J1209" s="25">
        <v>25050</v>
      </c>
      <c r="K1209" s="25">
        <f>G1209*H1209</f>
        <v>25050</v>
      </c>
      <c r="L1209" s="8">
        <f>K1209*I1209/100</f>
        <v>0</v>
      </c>
      <c r="M1209" s="2" t="s">
        <v>102</v>
      </c>
      <c r="N1209" s="2" t="s">
        <v>266</v>
      </c>
      <c r="O1209" s="2">
        <v>2025</v>
      </c>
      <c r="P1209" s="2" t="str">
        <v>March</v>
      </c>
      <c r="Q1209" s="2" t="s">
        <v>21</v>
      </c>
    </row>
    <row r="1210" spans="1:17" x14ac:dyDescent="0.25">
      <c r="A1210" s="2" t="s">
        <v>2405</v>
      </c>
      <c r="B1210" s="7">
        <v>45918</v>
      </c>
      <c r="C1210" s="5" t="s">
        <v>156</v>
      </c>
      <c r="D1210" s="5" t="s">
        <v>51</v>
      </c>
      <c r="E1210" s="5" t="s">
        <v>148</v>
      </c>
      <c r="F1210" s="2" t="s">
        <v>149</v>
      </c>
      <c r="G1210" s="2">
        <v>4</v>
      </c>
      <c r="H1210" s="25">
        <v>9320</v>
      </c>
      <c r="I1210" s="8">
        <v>10</v>
      </c>
      <c r="J1210" s="25">
        <v>33552</v>
      </c>
      <c r="K1210" s="25">
        <f>G1210*H1210</f>
        <v>37280</v>
      </c>
      <c r="L1210" s="8">
        <f>K1210*I1210/100</f>
        <v>3728</v>
      </c>
      <c r="M1210" s="2" t="s">
        <v>139</v>
      </c>
      <c r="N1210" s="2" t="s">
        <v>176</v>
      </c>
      <c r="O1210" s="2">
        <v>2025</v>
      </c>
      <c r="P1210" s="2" t="str">
        <v>September</v>
      </c>
      <c r="Q1210" s="2" t="s">
        <v>47</v>
      </c>
    </row>
    <row r="1211" spans="1:17" x14ac:dyDescent="0.25">
      <c r="A1211" s="2" t="s">
        <v>2407</v>
      </c>
      <c r="B1211" s="7">
        <v>45683</v>
      </c>
      <c r="C1211" s="5" t="s">
        <v>156</v>
      </c>
      <c r="D1211" s="5" t="s">
        <v>51</v>
      </c>
      <c r="E1211" s="5" t="s">
        <v>179</v>
      </c>
      <c r="F1211" s="2" t="s">
        <v>255</v>
      </c>
      <c r="G1211" s="2">
        <v>6</v>
      </c>
      <c r="H1211" s="25">
        <v>3340</v>
      </c>
      <c r="I1211" s="8">
        <v>0</v>
      </c>
      <c r="J1211" s="25">
        <v>20040</v>
      </c>
      <c r="K1211" s="25">
        <f>G1211*H1211</f>
        <v>20040</v>
      </c>
      <c r="L1211" s="8">
        <f>K1211*I1211/100</f>
        <v>0</v>
      </c>
      <c r="M1211" s="2" t="s">
        <v>94</v>
      </c>
      <c r="N1211" s="2" t="s">
        <v>54</v>
      </c>
      <c r="O1211" s="2">
        <v>2025</v>
      </c>
      <c r="P1211" s="2" t="str">
        <v>January</v>
      </c>
      <c r="Q1211" s="2" t="s">
        <v>47</v>
      </c>
    </row>
    <row r="1212" spans="1:17" x14ac:dyDescent="0.25">
      <c r="A1212" s="2" t="s">
        <v>2409</v>
      </c>
      <c r="B1212" s="7">
        <v>45880</v>
      </c>
      <c r="C1212" s="5" t="s">
        <v>41</v>
      </c>
      <c r="D1212" s="5" t="s">
        <v>42</v>
      </c>
      <c r="E1212" s="5" t="s">
        <v>179</v>
      </c>
      <c r="F1212" s="2" t="s">
        <v>78</v>
      </c>
      <c r="G1212" s="2">
        <v>6</v>
      </c>
      <c r="H1212" s="25">
        <v>45920</v>
      </c>
      <c r="I1212" s="8">
        <v>0</v>
      </c>
      <c r="J1212" s="25">
        <v>275520</v>
      </c>
      <c r="K1212" s="25">
        <f>G1212*H1212</f>
        <v>275520</v>
      </c>
      <c r="L1212" s="8">
        <f>K1212*I1212/100</f>
        <v>0</v>
      </c>
      <c r="M1212" s="2" t="s">
        <v>102</v>
      </c>
      <c r="N1212" s="2" t="s">
        <v>266</v>
      </c>
      <c r="O1212" s="2">
        <v>2025</v>
      </c>
      <c r="P1212" s="2" t="str">
        <v>August</v>
      </c>
      <c r="Q1212" s="2" t="s">
        <v>47</v>
      </c>
    </row>
    <row r="1213" spans="1:17" x14ac:dyDescent="0.25">
      <c r="A1213" s="2" t="s">
        <v>2411</v>
      </c>
      <c r="B1213" s="7">
        <v>45662</v>
      </c>
      <c r="C1213" s="5" t="s">
        <v>135</v>
      </c>
      <c r="D1213" s="5" t="s">
        <v>58</v>
      </c>
      <c r="E1213" s="5" t="s">
        <v>179</v>
      </c>
      <c r="F1213" s="2" t="s">
        <v>248</v>
      </c>
      <c r="G1213" s="2">
        <v>3</v>
      </c>
      <c r="H1213" s="25">
        <v>3260</v>
      </c>
      <c r="I1213" s="8">
        <v>5</v>
      </c>
      <c r="J1213" s="25">
        <v>9291</v>
      </c>
      <c r="K1213" s="25">
        <f>G1213*H1213</f>
        <v>9780</v>
      </c>
      <c r="L1213" s="8">
        <f>K1213*I1213/100</f>
        <v>489</v>
      </c>
      <c r="M1213" s="2" t="s">
        <v>102</v>
      </c>
      <c r="N1213" s="2" t="s">
        <v>37</v>
      </c>
      <c r="O1213" s="2">
        <v>2025</v>
      </c>
      <c r="P1213" s="2" t="str">
        <v>January</v>
      </c>
      <c r="Q1213" s="2" t="s">
        <v>21</v>
      </c>
    </row>
    <row r="1214" spans="1:17" x14ac:dyDescent="0.25">
      <c r="A1214" s="2" t="s">
        <v>2413</v>
      </c>
      <c r="B1214" s="7">
        <v>45948</v>
      </c>
      <c r="C1214" s="5" t="s">
        <v>238</v>
      </c>
      <c r="D1214" s="5" t="s">
        <v>51</v>
      </c>
      <c r="E1214" s="5" t="s">
        <v>148</v>
      </c>
      <c r="F1214" s="2" t="s">
        <v>435</v>
      </c>
      <c r="G1214" s="2">
        <v>5</v>
      </c>
      <c r="H1214" s="25">
        <v>2570</v>
      </c>
      <c r="I1214" s="8">
        <v>5</v>
      </c>
      <c r="J1214" s="25">
        <v>12207.5</v>
      </c>
      <c r="K1214" s="25">
        <f>G1214*H1214</f>
        <v>12850</v>
      </c>
      <c r="L1214" s="8">
        <f>K1214*I1214/100</f>
        <v>642.5</v>
      </c>
      <c r="M1214" s="2" t="s">
        <v>102</v>
      </c>
      <c r="N1214" s="2" t="s">
        <v>406</v>
      </c>
      <c r="O1214" s="2">
        <v>2025</v>
      </c>
      <c r="P1214" s="2" t="str">
        <v>October</v>
      </c>
      <c r="Q1214" s="2" t="s">
        <v>21</v>
      </c>
    </row>
    <row r="1215" spans="1:17" x14ac:dyDescent="0.25">
      <c r="A1215" s="2" t="s">
        <v>2415</v>
      </c>
      <c r="B1215" s="7">
        <v>45875</v>
      </c>
      <c r="C1215" s="5" t="s">
        <v>24</v>
      </c>
      <c r="D1215" s="5" t="s">
        <v>16</v>
      </c>
      <c r="E1215" s="5" t="s">
        <v>179</v>
      </c>
      <c r="F1215" s="2" t="s">
        <v>248</v>
      </c>
      <c r="G1215" s="2">
        <v>10</v>
      </c>
      <c r="H1215" s="25">
        <v>17670</v>
      </c>
      <c r="I1215" s="8">
        <v>0</v>
      </c>
      <c r="J1215" s="25">
        <v>176700</v>
      </c>
      <c r="K1215" s="25">
        <f>G1215*H1215</f>
        <v>176700</v>
      </c>
      <c r="L1215" s="8">
        <f>K1215*I1215/100</f>
        <v>0</v>
      </c>
      <c r="M1215" s="2" t="s">
        <v>102</v>
      </c>
      <c r="N1215" s="2" t="s">
        <v>176</v>
      </c>
      <c r="O1215" s="2">
        <v>2025</v>
      </c>
      <c r="P1215" s="2" t="str">
        <v>August</v>
      </c>
      <c r="Q1215" s="2" t="s">
        <v>21</v>
      </c>
    </row>
    <row r="1216" spans="1:17" x14ac:dyDescent="0.25">
      <c r="A1216" s="2" t="s">
        <v>2417</v>
      </c>
      <c r="B1216" s="7">
        <v>45838</v>
      </c>
      <c r="C1216" s="5" t="s">
        <v>24</v>
      </c>
      <c r="D1216" s="5" t="s">
        <v>16</v>
      </c>
      <c r="E1216" s="5" t="s">
        <v>25</v>
      </c>
      <c r="F1216" s="2" t="s">
        <v>255</v>
      </c>
      <c r="G1216" s="2">
        <v>6</v>
      </c>
      <c r="H1216" s="25">
        <v>48390</v>
      </c>
      <c r="I1216" s="8">
        <v>0</v>
      </c>
      <c r="J1216" s="25">
        <v>290340</v>
      </c>
      <c r="K1216" s="25">
        <f>G1216*H1216</f>
        <v>290340</v>
      </c>
      <c r="L1216" s="8">
        <f>K1216*I1216/100</f>
        <v>0</v>
      </c>
      <c r="M1216" s="2" t="s">
        <v>139</v>
      </c>
      <c r="N1216" s="2" t="s">
        <v>344</v>
      </c>
      <c r="O1216" s="2">
        <v>2025</v>
      </c>
      <c r="P1216" s="2" t="str">
        <v>June</v>
      </c>
      <c r="Q1216" s="2" t="s">
        <v>21</v>
      </c>
    </row>
    <row r="1217" spans="1:17" x14ac:dyDescent="0.25">
      <c r="A1217" s="2" t="s">
        <v>2418</v>
      </c>
      <c r="B1217" s="7">
        <v>45940</v>
      </c>
      <c r="C1217" s="5" t="s">
        <v>32</v>
      </c>
      <c r="D1217" s="5" t="s">
        <v>33</v>
      </c>
      <c r="E1217" s="5" t="s">
        <v>295</v>
      </c>
      <c r="F1217" s="2" t="s">
        <v>296</v>
      </c>
      <c r="G1217" s="2">
        <v>4</v>
      </c>
      <c r="H1217" s="25">
        <v>44970</v>
      </c>
      <c r="I1217" s="8">
        <v>0</v>
      </c>
      <c r="J1217" s="25">
        <v>179880</v>
      </c>
      <c r="K1217" s="25">
        <f>G1217*H1217</f>
        <v>179880</v>
      </c>
      <c r="L1217" s="8">
        <f>K1217*I1217/100</f>
        <v>0</v>
      </c>
      <c r="M1217" s="2" t="s">
        <v>94</v>
      </c>
      <c r="N1217" s="2" t="s">
        <v>406</v>
      </c>
      <c r="O1217" s="2">
        <v>2025</v>
      </c>
      <c r="P1217" s="2" t="str">
        <v>October</v>
      </c>
      <c r="Q1217" s="2" t="s">
        <v>47</v>
      </c>
    </row>
    <row r="1218" spans="1:17" x14ac:dyDescent="0.25">
      <c r="A1218" s="2" t="s">
        <v>2420</v>
      </c>
      <c r="B1218" s="7">
        <v>45675</v>
      </c>
      <c r="C1218" s="5" t="s">
        <v>156</v>
      </c>
      <c r="D1218" s="5" t="s">
        <v>51</v>
      </c>
      <c r="E1218" s="5" t="s">
        <v>179</v>
      </c>
      <c r="F1218" s="2" t="s">
        <v>239</v>
      </c>
      <c r="G1218" s="2">
        <v>3</v>
      </c>
      <c r="H1218" s="25">
        <v>3880</v>
      </c>
      <c r="I1218" s="8">
        <v>0</v>
      </c>
      <c r="J1218" s="25">
        <v>11640</v>
      </c>
      <c r="K1218" s="25">
        <f>G1218*H1218</f>
        <v>11640</v>
      </c>
      <c r="L1218" s="8">
        <f>K1218*I1218/100</f>
        <v>0</v>
      </c>
      <c r="M1218" s="2" t="s">
        <v>53</v>
      </c>
      <c r="N1218" s="2" t="s">
        <v>341</v>
      </c>
      <c r="O1218" s="2">
        <v>2025</v>
      </c>
      <c r="P1218" s="2" t="str">
        <v>January</v>
      </c>
      <c r="Q1218" s="2" t="s">
        <v>21</v>
      </c>
    </row>
    <row r="1219" spans="1:17" x14ac:dyDescent="0.25">
      <c r="A1219" s="2" t="s">
        <v>2422</v>
      </c>
      <c r="B1219" s="7">
        <v>45832</v>
      </c>
      <c r="C1219" s="5" t="s">
        <v>76</v>
      </c>
      <c r="D1219" s="5" t="s">
        <v>33</v>
      </c>
      <c r="E1219" s="5" t="s">
        <v>179</v>
      </c>
      <c r="F1219" s="2" t="s">
        <v>239</v>
      </c>
      <c r="G1219" s="2">
        <v>4</v>
      </c>
      <c r="H1219" s="25">
        <v>3910</v>
      </c>
      <c r="I1219" s="8">
        <v>0</v>
      </c>
      <c r="J1219" s="25">
        <v>15640</v>
      </c>
      <c r="K1219" s="25">
        <f>G1219*H1219</f>
        <v>15640</v>
      </c>
      <c r="L1219" s="8">
        <f>K1219*I1219/100</f>
        <v>0</v>
      </c>
      <c r="M1219" s="2" t="s">
        <v>139</v>
      </c>
      <c r="N1219" s="2" t="s">
        <v>176</v>
      </c>
      <c r="O1219" s="2">
        <v>2025</v>
      </c>
      <c r="P1219" s="2" t="str">
        <v>June</v>
      </c>
      <c r="Q1219" s="2" t="s">
        <v>47</v>
      </c>
    </row>
    <row r="1220" spans="1:17" x14ac:dyDescent="0.25">
      <c r="A1220" s="2" t="s">
        <v>2424</v>
      </c>
      <c r="B1220" s="7">
        <v>45745</v>
      </c>
      <c r="C1220" s="5" t="s">
        <v>156</v>
      </c>
      <c r="D1220" s="5" t="s">
        <v>51</v>
      </c>
      <c r="E1220" s="5" t="s">
        <v>25</v>
      </c>
      <c r="F1220" s="2" t="s">
        <v>106</v>
      </c>
      <c r="G1220" s="2">
        <v>1</v>
      </c>
      <c r="H1220" s="25">
        <v>1140</v>
      </c>
      <c r="I1220" s="8">
        <v>0</v>
      </c>
      <c r="J1220" s="25">
        <v>1140</v>
      </c>
      <c r="K1220" s="25">
        <f>G1220*H1220</f>
        <v>1140</v>
      </c>
      <c r="L1220" s="8">
        <f>K1220*I1220/100</f>
        <v>0</v>
      </c>
      <c r="M1220" s="2" t="s">
        <v>102</v>
      </c>
      <c r="N1220" s="2" t="s">
        <v>46</v>
      </c>
      <c r="O1220" s="2">
        <v>2025</v>
      </c>
      <c r="P1220" s="2" t="str">
        <v>March</v>
      </c>
      <c r="Q1220" s="2" t="s">
        <v>47</v>
      </c>
    </row>
    <row r="1221" spans="1:17" x14ac:dyDescent="0.25">
      <c r="A1221" s="2" t="s">
        <v>2427</v>
      </c>
      <c r="B1221" s="7">
        <v>45710</v>
      </c>
      <c r="C1221" s="5" t="s">
        <v>156</v>
      </c>
      <c r="D1221" s="5" t="s">
        <v>51</v>
      </c>
      <c r="E1221" s="5" t="s">
        <v>295</v>
      </c>
      <c r="F1221" s="2" t="s">
        <v>314</v>
      </c>
      <c r="G1221" s="2">
        <v>11</v>
      </c>
      <c r="H1221" s="25">
        <v>3550</v>
      </c>
      <c r="I1221" s="8">
        <v>10</v>
      </c>
      <c r="J1221" s="25">
        <v>35145</v>
      </c>
      <c r="K1221" s="25">
        <f>G1221*H1221</f>
        <v>39050</v>
      </c>
      <c r="L1221" s="8">
        <f>K1221*I1221/100</f>
        <v>3905</v>
      </c>
      <c r="M1221" s="2" t="s">
        <v>94</v>
      </c>
      <c r="N1221" s="2" t="s">
        <v>188</v>
      </c>
      <c r="O1221" s="2">
        <v>2025</v>
      </c>
      <c r="P1221" s="2" t="str">
        <v>February</v>
      </c>
      <c r="Q1221" s="2" t="s">
        <v>21</v>
      </c>
    </row>
    <row r="1222" spans="1:17" x14ac:dyDescent="0.25">
      <c r="A1222" s="2" t="s">
        <v>2429</v>
      </c>
      <c r="B1222" s="7">
        <v>45658</v>
      </c>
      <c r="C1222" s="5" t="s">
        <v>238</v>
      </c>
      <c r="D1222" s="5" t="s">
        <v>51</v>
      </c>
      <c r="E1222" s="5" t="s">
        <v>25</v>
      </c>
      <c r="F1222" s="2" t="s">
        <v>93</v>
      </c>
      <c r="G1222" s="2">
        <v>7</v>
      </c>
      <c r="H1222" s="25">
        <v>1230</v>
      </c>
      <c r="I1222" s="8">
        <v>0</v>
      </c>
      <c r="J1222" s="25">
        <v>8610</v>
      </c>
      <c r="K1222" s="25">
        <f>G1222*H1222</f>
        <v>8610</v>
      </c>
      <c r="L1222" s="8">
        <f>K1222*I1222/100</f>
        <v>0</v>
      </c>
      <c r="M1222" s="2" t="s">
        <v>102</v>
      </c>
      <c r="N1222" s="2" t="s">
        <v>54</v>
      </c>
      <c r="O1222" s="2">
        <v>2025</v>
      </c>
      <c r="P1222" s="2" t="str">
        <v>January</v>
      </c>
      <c r="Q1222" s="2" t="s">
        <v>47</v>
      </c>
    </row>
    <row r="1223" spans="1:17" x14ac:dyDescent="0.25">
      <c r="A1223" s="2" t="s">
        <v>2431</v>
      </c>
      <c r="B1223" s="7">
        <v>45816</v>
      </c>
      <c r="C1223" s="5" t="s">
        <v>135</v>
      </c>
      <c r="D1223" s="5" t="s">
        <v>58</v>
      </c>
      <c r="E1223" s="5" t="s">
        <v>148</v>
      </c>
      <c r="F1223" s="2" t="s">
        <v>167</v>
      </c>
      <c r="G1223" s="2">
        <v>8</v>
      </c>
      <c r="H1223" s="25">
        <v>71500</v>
      </c>
      <c r="I1223" s="8">
        <v>0</v>
      </c>
      <c r="J1223" s="25">
        <v>572000</v>
      </c>
      <c r="K1223" s="25">
        <f>G1223*H1223</f>
        <v>572000</v>
      </c>
      <c r="L1223" s="8">
        <f>K1223*I1223/100</f>
        <v>0</v>
      </c>
      <c r="M1223" s="2" t="s">
        <v>94</v>
      </c>
      <c r="N1223" s="2" t="s">
        <v>411</v>
      </c>
      <c r="O1223" s="2">
        <v>2025</v>
      </c>
      <c r="P1223" s="2" t="str">
        <v>June</v>
      </c>
      <c r="Q1223" s="2" t="s">
        <v>47</v>
      </c>
    </row>
    <row r="1224" spans="1:17" x14ac:dyDescent="0.25">
      <c r="A1224" s="2" t="s">
        <v>2432</v>
      </c>
      <c r="B1224" s="7">
        <v>45865</v>
      </c>
      <c r="C1224" s="5" t="s">
        <v>76</v>
      </c>
      <c r="D1224" s="5" t="s">
        <v>33</v>
      </c>
      <c r="E1224" s="5" t="s">
        <v>295</v>
      </c>
      <c r="F1224" s="2" t="s">
        <v>66</v>
      </c>
      <c r="G1224" s="2">
        <v>12</v>
      </c>
      <c r="H1224" s="25">
        <v>8080</v>
      </c>
      <c r="I1224" s="8">
        <v>0</v>
      </c>
      <c r="J1224" s="25">
        <v>96960</v>
      </c>
      <c r="K1224" s="25">
        <f>G1224*H1224</f>
        <v>96960</v>
      </c>
      <c r="L1224" s="8">
        <f>K1224*I1224/100</f>
        <v>0</v>
      </c>
      <c r="M1224" s="2" t="s">
        <v>94</v>
      </c>
      <c r="N1224" s="2" t="s">
        <v>54</v>
      </c>
      <c r="O1224" s="2">
        <v>2025</v>
      </c>
      <c r="P1224" s="2" t="str">
        <v>July</v>
      </c>
      <c r="Q1224" s="2" t="s">
        <v>47</v>
      </c>
    </row>
    <row r="1225" spans="1:17" x14ac:dyDescent="0.25">
      <c r="A1225" s="2" t="s">
        <v>2433</v>
      </c>
      <c r="B1225" s="7">
        <v>45742</v>
      </c>
      <c r="C1225" s="5" t="s">
        <v>32</v>
      </c>
      <c r="D1225" s="5" t="s">
        <v>33</v>
      </c>
      <c r="E1225" s="5" t="s">
        <v>34</v>
      </c>
      <c r="F1225" s="2" t="s">
        <v>290</v>
      </c>
      <c r="G1225" s="2">
        <v>12</v>
      </c>
      <c r="H1225" s="25">
        <v>3970</v>
      </c>
      <c r="I1225" s="8">
        <v>0</v>
      </c>
      <c r="J1225" s="25">
        <v>47640</v>
      </c>
      <c r="K1225" s="25">
        <f>G1225*H1225</f>
        <v>47640</v>
      </c>
      <c r="L1225" s="8">
        <f>K1225*I1225/100</f>
        <v>0</v>
      </c>
      <c r="M1225" s="2" t="s">
        <v>94</v>
      </c>
      <c r="N1225" s="2" t="s">
        <v>79</v>
      </c>
      <c r="O1225" s="2">
        <v>2025</v>
      </c>
      <c r="P1225" s="2" t="str">
        <v>March</v>
      </c>
      <c r="Q1225" s="2" t="s">
        <v>47</v>
      </c>
    </row>
    <row r="1226" spans="1:17" x14ac:dyDescent="0.25">
      <c r="A1226" s="2" t="s">
        <v>2435</v>
      </c>
      <c r="B1226" s="7">
        <v>45820</v>
      </c>
      <c r="C1226" s="5" t="s">
        <v>135</v>
      </c>
      <c r="D1226" s="5" t="s">
        <v>58</v>
      </c>
      <c r="E1226" s="5" t="s">
        <v>148</v>
      </c>
      <c r="F1226" s="2" t="s">
        <v>83</v>
      </c>
      <c r="G1226" s="2">
        <v>12</v>
      </c>
      <c r="H1226" s="25">
        <v>17860</v>
      </c>
      <c r="I1226" s="8">
        <v>0</v>
      </c>
      <c r="J1226" s="25">
        <v>214320</v>
      </c>
      <c r="K1226" s="25">
        <f>G1226*H1226</f>
        <v>214320</v>
      </c>
      <c r="L1226" s="8">
        <f>K1226*I1226/100</f>
        <v>0</v>
      </c>
      <c r="M1226" s="2" t="s">
        <v>102</v>
      </c>
      <c r="N1226" s="2" t="s">
        <v>54</v>
      </c>
      <c r="O1226" s="2">
        <v>2025</v>
      </c>
      <c r="P1226" s="2" t="str">
        <v>June</v>
      </c>
      <c r="Q1226" s="2" t="s">
        <v>47</v>
      </c>
    </row>
    <row r="1227" spans="1:17" x14ac:dyDescent="0.25">
      <c r="A1227" s="2" t="s">
        <v>2436</v>
      </c>
      <c r="B1227" s="7">
        <v>45659</v>
      </c>
      <c r="C1227" s="5" t="s">
        <v>76</v>
      </c>
      <c r="D1227" s="5" t="s">
        <v>33</v>
      </c>
      <c r="E1227" s="5" t="s">
        <v>295</v>
      </c>
      <c r="F1227" s="2" t="s">
        <v>219</v>
      </c>
      <c r="G1227" s="2">
        <v>10</v>
      </c>
      <c r="H1227" s="25">
        <v>7820</v>
      </c>
      <c r="I1227" s="8">
        <v>0</v>
      </c>
      <c r="J1227" s="25">
        <v>78200</v>
      </c>
      <c r="K1227" s="25">
        <f>G1227*H1227</f>
        <v>78200</v>
      </c>
      <c r="L1227" s="8">
        <f>K1227*I1227/100</f>
        <v>0</v>
      </c>
      <c r="M1227" s="2" t="s">
        <v>102</v>
      </c>
      <c r="N1227" s="2" t="s">
        <v>344</v>
      </c>
      <c r="O1227" s="2">
        <v>2025</v>
      </c>
      <c r="P1227" s="2" t="str">
        <v>January</v>
      </c>
      <c r="Q1227" s="2" t="s">
        <v>21</v>
      </c>
    </row>
    <row r="1228" spans="1:17" x14ac:dyDescent="0.25">
      <c r="A1228" s="2" t="s">
        <v>2438</v>
      </c>
      <c r="B1228" s="7">
        <v>45852</v>
      </c>
      <c r="C1228" s="5" t="s">
        <v>135</v>
      </c>
      <c r="D1228" s="5" t="s">
        <v>58</v>
      </c>
      <c r="E1228" s="5" t="s">
        <v>34</v>
      </c>
      <c r="F1228" s="2" t="s">
        <v>374</v>
      </c>
      <c r="G1228" s="2">
        <v>1</v>
      </c>
      <c r="H1228" s="25">
        <v>5130</v>
      </c>
      <c r="I1228" s="8">
        <v>15</v>
      </c>
      <c r="J1228" s="25">
        <v>4360.5</v>
      </c>
      <c r="K1228" s="25">
        <f>G1228*H1228</f>
        <v>5130</v>
      </c>
      <c r="L1228" s="8">
        <f>K1228*I1228/100</f>
        <v>769.5</v>
      </c>
      <c r="M1228" s="2" t="s">
        <v>102</v>
      </c>
      <c r="N1228" s="2" t="s">
        <v>266</v>
      </c>
      <c r="O1228" s="2">
        <v>2025</v>
      </c>
      <c r="P1228" s="2" t="str">
        <v>July</v>
      </c>
      <c r="Q1228" s="2" t="s">
        <v>21</v>
      </c>
    </row>
    <row r="1229" spans="1:17" x14ac:dyDescent="0.25">
      <c r="A1229" s="2" t="s">
        <v>2440</v>
      </c>
      <c r="B1229" s="7">
        <v>45903</v>
      </c>
      <c r="C1229" s="5" t="s">
        <v>156</v>
      </c>
      <c r="D1229" s="5" t="s">
        <v>51</v>
      </c>
      <c r="E1229" s="5" t="s">
        <v>179</v>
      </c>
      <c r="F1229" s="2" t="s">
        <v>44</v>
      </c>
      <c r="G1229" s="2">
        <v>11</v>
      </c>
      <c r="H1229" s="25">
        <v>5720</v>
      </c>
      <c r="I1229" s="8">
        <v>15</v>
      </c>
      <c r="J1229" s="25">
        <v>53482</v>
      </c>
      <c r="K1229" s="25">
        <f>G1229*H1229</f>
        <v>62920</v>
      </c>
      <c r="L1229" s="8">
        <f>K1229*I1229/100</f>
        <v>9438</v>
      </c>
      <c r="M1229" s="2" t="s">
        <v>94</v>
      </c>
      <c r="N1229" s="2" t="s">
        <v>54</v>
      </c>
      <c r="O1229" s="2">
        <v>2025</v>
      </c>
      <c r="P1229" s="2" t="str">
        <v>September</v>
      </c>
      <c r="Q1229" s="2" t="s">
        <v>47</v>
      </c>
    </row>
    <row r="1230" spans="1:17" x14ac:dyDescent="0.25">
      <c r="A1230" s="2" t="s">
        <v>2441</v>
      </c>
      <c r="B1230" s="7">
        <v>45963</v>
      </c>
      <c r="C1230" s="5" t="s">
        <v>76</v>
      </c>
      <c r="D1230" s="2" t="s">
        <v>33</v>
      </c>
      <c r="E1230" s="2" t="s">
        <v>148</v>
      </c>
      <c r="F1230" s="2" t="s">
        <v>379</v>
      </c>
      <c r="G1230" s="2">
        <v>11</v>
      </c>
      <c r="H1230" s="25">
        <v>11770</v>
      </c>
      <c r="I1230" s="8">
        <v>0</v>
      </c>
      <c r="J1230" s="25">
        <v>129470</v>
      </c>
      <c r="K1230" s="25">
        <f>G1230*H1230</f>
        <v>129470</v>
      </c>
      <c r="L1230" s="8">
        <f>K1230*I1230/100</f>
        <v>0</v>
      </c>
      <c r="M1230" s="2" t="s">
        <v>139</v>
      </c>
      <c r="N1230" s="2" t="s">
        <v>411</v>
      </c>
      <c r="O1230" s="2">
        <v>2025</v>
      </c>
      <c r="P1230" s="2" t="str">
        <v>November</v>
      </c>
      <c r="Q1230" s="2" t="s">
        <v>21</v>
      </c>
    </row>
    <row r="1231" spans="1:17" x14ac:dyDescent="0.25">
      <c r="A1231" s="2" t="s">
        <v>2442</v>
      </c>
      <c r="B1231" s="7">
        <v>45918</v>
      </c>
      <c r="C1231" s="5" t="s">
        <v>156</v>
      </c>
      <c r="D1231" s="5" t="s">
        <v>51</v>
      </c>
      <c r="E1231" s="5" t="s">
        <v>179</v>
      </c>
      <c r="F1231" s="2" t="s">
        <v>224</v>
      </c>
      <c r="G1231" s="2">
        <v>3</v>
      </c>
      <c r="H1231" s="25">
        <v>3910</v>
      </c>
      <c r="I1231" s="8">
        <v>0</v>
      </c>
      <c r="J1231" s="25">
        <v>11730</v>
      </c>
      <c r="K1231" s="25">
        <f>G1231*H1231</f>
        <v>11730</v>
      </c>
      <c r="L1231" s="8">
        <f>K1231*I1231/100</f>
        <v>0</v>
      </c>
      <c r="M1231" s="2" t="s">
        <v>102</v>
      </c>
      <c r="N1231" s="2" t="s">
        <v>68</v>
      </c>
      <c r="O1231" s="2">
        <v>2025</v>
      </c>
      <c r="P1231" s="2" t="str">
        <v>September</v>
      </c>
      <c r="Q1231" s="2" t="s">
        <v>21</v>
      </c>
    </row>
    <row r="1232" spans="1:17" x14ac:dyDescent="0.25">
      <c r="A1232" s="2" t="s">
        <v>2443</v>
      </c>
      <c r="B1232" s="7">
        <v>45952</v>
      </c>
      <c r="C1232" s="5" t="s">
        <v>32</v>
      </c>
      <c r="D1232" s="5" t="s">
        <v>33</v>
      </c>
      <c r="E1232" s="5" t="s">
        <v>148</v>
      </c>
      <c r="F1232" s="2" t="s">
        <v>252</v>
      </c>
      <c r="G1232" s="2">
        <v>1</v>
      </c>
      <c r="H1232" s="25">
        <v>2400</v>
      </c>
      <c r="I1232" s="8">
        <v>15</v>
      </c>
      <c r="J1232" s="25">
        <v>2040</v>
      </c>
      <c r="K1232" s="25">
        <f>G1232*H1232</f>
        <v>2400</v>
      </c>
      <c r="L1232" s="8">
        <f>K1232*I1232/100</f>
        <v>360</v>
      </c>
      <c r="M1232" s="2" t="s">
        <v>102</v>
      </c>
      <c r="N1232" s="2" t="s">
        <v>266</v>
      </c>
      <c r="O1232" s="2">
        <v>2025</v>
      </c>
      <c r="P1232" s="2" t="str">
        <v>October</v>
      </c>
      <c r="Q1232" s="2" t="s">
        <v>21</v>
      </c>
    </row>
    <row r="1233" spans="1:17" x14ac:dyDescent="0.25">
      <c r="A1233" s="2" t="s">
        <v>2446</v>
      </c>
      <c r="B1233" s="7">
        <v>45697</v>
      </c>
      <c r="C1233" s="5" t="s">
        <v>32</v>
      </c>
      <c r="D1233" s="5" t="s">
        <v>33</v>
      </c>
      <c r="E1233" s="5" t="s">
        <v>148</v>
      </c>
      <c r="F1233" s="2" t="s">
        <v>252</v>
      </c>
      <c r="G1233" s="2">
        <v>9</v>
      </c>
      <c r="H1233" s="25">
        <v>4960</v>
      </c>
      <c r="I1233" s="8">
        <v>0</v>
      </c>
      <c r="J1233" s="25">
        <v>44640</v>
      </c>
      <c r="K1233" s="25">
        <f>G1233*H1233</f>
        <v>44640</v>
      </c>
      <c r="L1233" s="8">
        <f>K1233*I1233/100</f>
        <v>0</v>
      </c>
      <c r="M1233" s="2" t="s">
        <v>53</v>
      </c>
      <c r="N1233" s="2" t="s">
        <v>406</v>
      </c>
      <c r="O1233" s="2">
        <v>2025</v>
      </c>
      <c r="P1233" s="2" t="str">
        <v>February</v>
      </c>
      <c r="Q1233" s="2" t="s">
        <v>21</v>
      </c>
    </row>
    <row r="1234" spans="1:17" x14ac:dyDescent="0.25">
      <c r="A1234" s="2" t="s">
        <v>2447</v>
      </c>
      <c r="B1234" s="7">
        <v>45790</v>
      </c>
      <c r="C1234" s="5" t="s">
        <v>41</v>
      </c>
      <c r="D1234" s="5" t="s">
        <v>42</v>
      </c>
      <c r="E1234" s="5" t="s">
        <v>295</v>
      </c>
      <c r="F1234" s="2" t="s">
        <v>101</v>
      </c>
      <c r="G1234" s="2">
        <v>7</v>
      </c>
      <c r="H1234" s="25">
        <v>3640</v>
      </c>
      <c r="I1234" s="8">
        <v>10</v>
      </c>
      <c r="J1234" s="25">
        <v>22932</v>
      </c>
      <c r="K1234" s="25">
        <f>G1234*H1234</f>
        <v>25480</v>
      </c>
      <c r="L1234" s="8">
        <f>K1234*I1234/100</f>
        <v>2548</v>
      </c>
      <c r="M1234" s="2" t="s">
        <v>53</v>
      </c>
      <c r="N1234" s="2" t="s">
        <v>176</v>
      </c>
      <c r="O1234" s="2">
        <v>2025</v>
      </c>
      <c r="P1234" s="2" t="str">
        <v>May</v>
      </c>
      <c r="Q1234" s="2" t="s">
        <v>21</v>
      </c>
    </row>
    <row r="1235" spans="1:17" x14ac:dyDescent="0.25">
      <c r="A1235" s="2" t="s">
        <v>2449</v>
      </c>
      <c r="B1235" s="7">
        <v>45977</v>
      </c>
      <c r="C1235" s="5" t="s">
        <v>238</v>
      </c>
      <c r="D1235" s="5" t="s">
        <v>51</v>
      </c>
      <c r="E1235" s="5" t="s">
        <v>179</v>
      </c>
      <c r="F1235" s="2" t="s">
        <v>93</v>
      </c>
      <c r="G1235" s="2">
        <v>2</v>
      </c>
      <c r="H1235" s="25">
        <v>28330</v>
      </c>
      <c r="I1235" s="8">
        <v>0</v>
      </c>
      <c r="J1235" s="25">
        <v>56660</v>
      </c>
      <c r="K1235" s="25">
        <f>G1235*H1235</f>
        <v>56660</v>
      </c>
      <c r="L1235" s="8">
        <f>K1235*I1235/100</f>
        <v>0</v>
      </c>
      <c r="M1235" s="2" t="s">
        <v>102</v>
      </c>
      <c r="N1235" s="2" t="s">
        <v>344</v>
      </c>
      <c r="O1235" s="2">
        <v>2025</v>
      </c>
      <c r="P1235" s="2" t="str">
        <v>November</v>
      </c>
      <c r="Q1235" s="2" t="s">
        <v>47</v>
      </c>
    </row>
    <row r="1236" spans="1:17" x14ac:dyDescent="0.25">
      <c r="A1236" s="2" t="s">
        <v>2450</v>
      </c>
      <c r="B1236" s="7">
        <v>45851</v>
      </c>
      <c r="C1236" s="5" t="s">
        <v>76</v>
      </c>
      <c r="D1236" s="5" t="s">
        <v>33</v>
      </c>
      <c r="E1236" s="5" t="s">
        <v>25</v>
      </c>
      <c r="F1236" s="2" t="s">
        <v>248</v>
      </c>
      <c r="G1236" s="2">
        <v>6</v>
      </c>
      <c r="H1236" s="25">
        <v>11890</v>
      </c>
      <c r="I1236" s="8">
        <v>0</v>
      </c>
      <c r="J1236" s="25">
        <v>71340</v>
      </c>
      <c r="K1236" s="25">
        <f>G1236*H1236</f>
        <v>71340</v>
      </c>
      <c r="L1236" s="8">
        <f>K1236*I1236/100</f>
        <v>0</v>
      </c>
      <c r="M1236" s="2" t="s">
        <v>53</v>
      </c>
      <c r="N1236" s="2" t="s">
        <v>188</v>
      </c>
      <c r="O1236" s="2">
        <v>2025</v>
      </c>
      <c r="P1236" s="2" t="str">
        <v>July</v>
      </c>
      <c r="Q1236" s="2" t="s">
        <v>21</v>
      </c>
    </row>
    <row r="1237" spans="1:17" x14ac:dyDescent="0.25">
      <c r="A1237" s="2" t="s">
        <v>2452</v>
      </c>
      <c r="B1237" s="7">
        <v>45683</v>
      </c>
      <c r="C1237" s="5" t="s">
        <v>32</v>
      </c>
      <c r="D1237" s="5" t="s">
        <v>33</v>
      </c>
      <c r="E1237" s="5" t="s">
        <v>34</v>
      </c>
      <c r="F1237" s="2" t="s">
        <v>290</v>
      </c>
      <c r="G1237" s="2">
        <v>8</v>
      </c>
      <c r="H1237" s="25">
        <v>22850</v>
      </c>
      <c r="I1237" s="8">
        <v>0</v>
      </c>
      <c r="J1237" s="25">
        <v>182800</v>
      </c>
      <c r="K1237" s="25">
        <f>G1237*H1237</f>
        <v>182800</v>
      </c>
      <c r="L1237" s="8">
        <f>K1237*I1237/100</f>
        <v>0</v>
      </c>
      <c r="M1237" s="2" t="s">
        <v>139</v>
      </c>
      <c r="N1237" s="2" t="s">
        <v>68</v>
      </c>
      <c r="O1237" s="2">
        <v>2025</v>
      </c>
      <c r="P1237" s="2" t="str">
        <v>January</v>
      </c>
      <c r="Q1237" s="2" t="s">
        <v>47</v>
      </c>
    </row>
    <row r="1238" spans="1:17" x14ac:dyDescent="0.25">
      <c r="A1238" s="2" t="s">
        <v>2454</v>
      </c>
      <c r="B1238" s="7">
        <v>45674</v>
      </c>
      <c r="C1238" s="5" t="s">
        <v>76</v>
      </c>
      <c r="D1238" s="5" t="s">
        <v>33</v>
      </c>
      <c r="E1238" s="5" t="s">
        <v>25</v>
      </c>
      <c r="F1238" s="2" t="s">
        <v>248</v>
      </c>
      <c r="G1238" s="2">
        <v>12</v>
      </c>
      <c r="H1238" s="25">
        <v>2500</v>
      </c>
      <c r="I1238" s="8">
        <v>15</v>
      </c>
      <c r="J1238" s="25">
        <v>25500</v>
      </c>
      <c r="K1238" s="25">
        <f>G1238*H1238</f>
        <v>30000</v>
      </c>
      <c r="L1238" s="8">
        <f>K1238*I1238/100</f>
        <v>4500</v>
      </c>
      <c r="M1238" s="2" t="s">
        <v>53</v>
      </c>
      <c r="N1238" s="2" t="s">
        <v>188</v>
      </c>
      <c r="O1238" s="2">
        <v>2025</v>
      </c>
      <c r="P1238" s="2" t="str">
        <v>January</v>
      </c>
      <c r="Q1238" s="2" t="s">
        <v>21</v>
      </c>
    </row>
    <row r="1239" spans="1:17" x14ac:dyDescent="0.25">
      <c r="A1239" s="2" t="s">
        <v>2455</v>
      </c>
      <c r="B1239" s="7">
        <v>45755</v>
      </c>
      <c r="C1239" s="5" t="s">
        <v>135</v>
      </c>
      <c r="D1239" s="5" t="s">
        <v>58</v>
      </c>
      <c r="E1239" s="5" t="s">
        <v>25</v>
      </c>
      <c r="F1239" s="2" t="s">
        <v>26</v>
      </c>
      <c r="G1239" s="2">
        <v>7</v>
      </c>
      <c r="H1239" s="25">
        <v>8130</v>
      </c>
      <c r="I1239" s="8">
        <v>0</v>
      </c>
      <c r="J1239" s="25">
        <v>56910</v>
      </c>
      <c r="K1239" s="25">
        <f>G1239*H1239</f>
        <v>56910</v>
      </c>
      <c r="L1239" s="8">
        <f>K1239*I1239/100</f>
        <v>0</v>
      </c>
      <c r="M1239" s="2" t="s">
        <v>102</v>
      </c>
      <c r="N1239" s="2" t="s">
        <v>883</v>
      </c>
      <c r="O1239" s="2">
        <v>2025</v>
      </c>
      <c r="P1239" s="2" t="str">
        <v>April</v>
      </c>
      <c r="Q1239" s="2" t="s">
        <v>47</v>
      </c>
    </row>
    <row r="1240" spans="1:17" x14ac:dyDescent="0.25">
      <c r="A1240" s="2" t="s">
        <v>2457</v>
      </c>
      <c r="B1240" s="7">
        <v>45941</v>
      </c>
      <c r="C1240" s="5" t="s">
        <v>24</v>
      </c>
      <c r="D1240" s="5" t="s">
        <v>33</v>
      </c>
      <c r="E1240" s="5" t="s">
        <v>179</v>
      </c>
      <c r="F1240" s="2" t="s">
        <v>78</v>
      </c>
      <c r="G1240" s="2">
        <v>7</v>
      </c>
      <c r="H1240" s="25">
        <v>4830</v>
      </c>
      <c r="I1240" s="8">
        <v>5</v>
      </c>
      <c r="J1240" s="25">
        <v>32119.5</v>
      </c>
      <c r="K1240" s="25">
        <f>G1240*H1240</f>
        <v>33810</v>
      </c>
      <c r="L1240" s="8">
        <f>K1240*I1240/100</f>
        <v>1690.5</v>
      </c>
      <c r="M1240" s="2" t="s">
        <v>53</v>
      </c>
      <c r="N1240" s="2" t="s">
        <v>54</v>
      </c>
      <c r="O1240" s="2">
        <v>2025</v>
      </c>
      <c r="P1240" s="2" t="str">
        <v>October</v>
      </c>
      <c r="Q1240" s="2" t="s">
        <v>47</v>
      </c>
    </row>
    <row r="1241" spans="1:17" x14ac:dyDescent="0.25">
      <c r="A1241" s="2" t="s">
        <v>2459</v>
      </c>
      <c r="B1241" s="7">
        <v>45676</v>
      </c>
      <c r="C1241" s="5" t="s">
        <v>156</v>
      </c>
      <c r="D1241" s="5" t="s">
        <v>51</v>
      </c>
      <c r="E1241" s="5" t="s">
        <v>295</v>
      </c>
      <c r="F1241" s="2" t="s">
        <v>66</v>
      </c>
      <c r="G1241" s="2">
        <v>8</v>
      </c>
      <c r="H1241" s="25">
        <v>8350</v>
      </c>
      <c r="I1241" s="8">
        <v>0</v>
      </c>
      <c r="J1241" s="25">
        <v>66800</v>
      </c>
      <c r="K1241" s="25">
        <f>G1241*H1241</f>
        <v>66800</v>
      </c>
      <c r="L1241" s="8">
        <f>K1241*I1241/100</f>
        <v>0</v>
      </c>
      <c r="M1241" s="2" t="s">
        <v>139</v>
      </c>
      <c r="N1241" s="2" t="s">
        <v>411</v>
      </c>
      <c r="O1241" s="2">
        <v>2025</v>
      </c>
      <c r="P1241" s="2" t="str">
        <v>January</v>
      </c>
      <c r="Q1241" s="2" t="s">
        <v>47</v>
      </c>
    </row>
    <row r="1242" spans="1:17" x14ac:dyDescent="0.25">
      <c r="A1242" s="2" t="s">
        <v>2461</v>
      </c>
      <c r="B1242" s="7">
        <v>45724</v>
      </c>
      <c r="C1242" s="5" t="s">
        <v>135</v>
      </c>
      <c r="D1242" s="5" t="s">
        <v>58</v>
      </c>
      <c r="E1242" s="5" t="s">
        <v>148</v>
      </c>
      <c r="F1242" s="2" t="s">
        <v>379</v>
      </c>
      <c r="G1242" s="2">
        <v>7</v>
      </c>
      <c r="H1242" s="25">
        <v>72580</v>
      </c>
      <c r="I1242" s="8">
        <v>0</v>
      </c>
      <c r="J1242" s="25">
        <v>508060</v>
      </c>
      <c r="K1242" s="25">
        <f>G1242*H1242</f>
        <v>508060</v>
      </c>
      <c r="L1242" s="8">
        <f>K1242*I1242/100</f>
        <v>0</v>
      </c>
      <c r="M1242" s="2" t="s">
        <v>102</v>
      </c>
      <c r="N1242" s="2" t="s">
        <v>79</v>
      </c>
      <c r="O1242" s="2">
        <v>2025</v>
      </c>
      <c r="P1242" s="2" t="str">
        <v>March</v>
      </c>
      <c r="Q1242" s="2" t="s">
        <v>21</v>
      </c>
    </row>
    <row r="1243" spans="1:17" x14ac:dyDescent="0.25">
      <c r="A1243" s="2" t="s">
        <v>2462</v>
      </c>
      <c r="B1243" s="7">
        <v>45871</v>
      </c>
      <c r="C1243" s="5" t="s">
        <v>32</v>
      </c>
      <c r="D1243" s="5" t="s">
        <v>33</v>
      </c>
      <c r="E1243" s="5" t="s">
        <v>25</v>
      </c>
      <c r="F1243" s="2" t="s">
        <v>93</v>
      </c>
      <c r="G1243" s="2">
        <v>4</v>
      </c>
      <c r="H1243" s="25">
        <v>41940</v>
      </c>
      <c r="I1243" s="8">
        <v>0</v>
      </c>
      <c r="J1243" s="25">
        <v>167760</v>
      </c>
      <c r="K1243" s="25">
        <f>G1243*H1243</f>
        <v>167760</v>
      </c>
      <c r="L1243" s="8">
        <f>K1243*I1243/100</f>
        <v>0</v>
      </c>
      <c r="M1243" s="2" t="s">
        <v>94</v>
      </c>
      <c r="N1243" s="2" t="s">
        <v>176</v>
      </c>
      <c r="O1243" s="2">
        <v>2025</v>
      </c>
      <c r="P1243" s="2" t="str">
        <v>August</v>
      </c>
      <c r="Q1243" s="2" t="s">
        <v>21</v>
      </c>
    </row>
    <row r="1244" spans="1:17" x14ac:dyDescent="0.25">
      <c r="A1244" s="2" t="s">
        <v>2463</v>
      </c>
      <c r="B1244" s="7">
        <v>45803</v>
      </c>
      <c r="C1244" s="5" t="s">
        <v>32</v>
      </c>
      <c r="D1244" s="5" t="s">
        <v>33</v>
      </c>
      <c r="E1244" s="5" t="s">
        <v>148</v>
      </c>
      <c r="F1244" s="2" t="s">
        <v>209</v>
      </c>
      <c r="G1244" s="2">
        <v>1</v>
      </c>
      <c r="H1244" s="25">
        <v>63370</v>
      </c>
      <c r="I1244" s="8">
        <v>0</v>
      </c>
      <c r="J1244" s="25">
        <v>63370</v>
      </c>
      <c r="K1244" s="25">
        <f>G1244*H1244</f>
        <v>63370</v>
      </c>
      <c r="L1244" s="8">
        <f>K1244*I1244/100</f>
        <v>0</v>
      </c>
      <c r="M1244" s="2" t="s">
        <v>102</v>
      </c>
      <c r="N1244" s="2" t="s">
        <v>79</v>
      </c>
      <c r="O1244" s="2">
        <v>2025</v>
      </c>
      <c r="P1244" s="2" t="str">
        <v>May</v>
      </c>
      <c r="Q1244" s="2" t="s">
        <v>47</v>
      </c>
    </row>
    <row r="1245" spans="1:17" x14ac:dyDescent="0.25">
      <c r="A1245" s="2" t="s">
        <v>2464</v>
      </c>
      <c r="B1245" s="7">
        <v>46022</v>
      </c>
      <c r="C1245" s="5" t="s">
        <v>76</v>
      </c>
      <c r="D1245" s="5" t="s">
        <v>33</v>
      </c>
      <c r="E1245" s="5" t="s">
        <v>179</v>
      </c>
      <c r="F1245" s="2" t="s">
        <v>184</v>
      </c>
      <c r="G1245" s="2">
        <v>12</v>
      </c>
      <c r="H1245" s="25">
        <v>25610</v>
      </c>
      <c r="I1245" s="8">
        <v>5</v>
      </c>
      <c r="J1245" s="25">
        <v>291954</v>
      </c>
      <c r="K1245" s="25">
        <f>G1245*H1245</f>
        <v>307320</v>
      </c>
      <c r="L1245" s="8">
        <f>K1245*I1245/100</f>
        <v>15366</v>
      </c>
      <c r="M1245" s="2" t="s">
        <v>53</v>
      </c>
      <c r="N1245" s="2" t="s">
        <v>406</v>
      </c>
      <c r="O1245" s="2">
        <v>2025</v>
      </c>
      <c r="P1245" s="2" t="str">
        <v>December</v>
      </c>
      <c r="Q1245" s="2" t="s">
        <v>21</v>
      </c>
    </row>
    <row r="1246" spans="1:17" x14ac:dyDescent="0.25">
      <c r="A1246" s="2" t="s">
        <v>2465</v>
      </c>
      <c r="B1246" s="7">
        <v>45711</v>
      </c>
      <c r="C1246" s="5" t="s">
        <v>135</v>
      </c>
      <c r="D1246" s="5" t="s">
        <v>58</v>
      </c>
      <c r="E1246" s="5" t="s">
        <v>34</v>
      </c>
      <c r="F1246" s="2" t="s">
        <v>374</v>
      </c>
      <c r="G1246" s="2">
        <v>1</v>
      </c>
      <c r="H1246" s="25">
        <v>22570</v>
      </c>
      <c r="I1246" s="8">
        <v>0</v>
      </c>
      <c r="J1246" s="25">
        <v>22570</v>
      </c>
      <c r="K1246" s="25">
        <f>G1246*H1246</f>
        <v>22570</v>
      </c>
      <c r="L1246" s="8">
        <f>K1246*I1246/100</f>
        <v>0</v>
      </c>
      <c r="M1246" s="2" t="s">
        <v>139</v>
      </c>
      <c r="N1246" s="2" t="s">
        <v>188</v>
      </c>
      <c r="O1246" s="2">
        <v>2025</v>
      </c>
      <c r="P1246" s="2" t="str">
        <v>February</v>
      </c>
      <c r="Q1246" s="2" t="s">
        <v>47</v>
      </c>
    </row>
    <row r="1247" spans="1:17" x14ac:dyDescent="0.25">
      <c r="A1247" s="2" t="s">
        <v>2467</v>
      </c>
      <c r="B1247" s="7">
        <v>45687</v>
      </c>
      <c r="C1247" s="5" t="s">
        <v>156</v>
      </c>
      <c r="D1247" s="5" t="s">
        <v>51</v>
      </c>
      <c r="E1247" s="5" t="s">
        <v>295</v>
      </c>
      <c r="F1247" s="2" t="s">
        <v>314</v>
      </c>
      <c r="G1247" s="2">
        <v>5</v>
      </c>
      <c r="H1247" s="25">
        <v>8980</v>
      </c>
      <c r="I1247" s="8">
        <v>5</v>
      </c>
      <c r="J1247" s="25">
        <v>42655</v>
      </c>
      <c r="K1247" s="25">
        <f>G1247*H1247</f>
        <v>44900</v>
      </c>
      <c r="L1247" s="8">
        <f>K1247*I1247/100</f>
        <v>2245</v>
      </c>
      <c r="M1247" s="2" t="s">
        <v>94</v>
      </c>
      <c r="N1247" s="2" t="s">
        <v>54</v>
      </c>
      <c r="O1247" s="2">
        <v>2025</v>
      </c>
      <c r="P1247" s="2" t="str">
        <v>January</v>
      </c>
      <c r="Q1247" s="2" t="s">
        <v>47</v>
      </c>
    </row>
    <row r="1248" spans="1:17" x14ac:dyDescent="0.25">
      <c r="A1248" s="2" t="s">
        <v>2469</v>
      </c>
      <c r="B1248" s="7">
        <v>46019</v>
      </c>
      <c r="C1248" s="5" t="s">
        <v>135</v>
      </c>
      <c r="D1248" s="5" t="s">
        <v>58</v>
      </c>
      <c r="E1248" s="5" t="s">
        <v>25</v>
      </c>
      <c r="F1248" s="2" t="s">
        <v>332</v>
      </c>
      <c r="G1248" s="2">
        <v>6</v>
      </c>
      <c r="H1248" s="25">
        <v>19130</v>
      </c>
      <c r="I1248" s="8">
        <v>0</v>
      </c>
      <c r="J1248" s="25">
        <v>114780</v>
      </c>
      <c r="K1248" s="25">
        <f>G1248*H1248</f>
        <v>114780</v>
      </c>
      <c r="L1248" s="8">
        <f>K1248*I1248/100</f>
        <v>0</v>
      </c>
      <c r="M1248" s="2" t="s">
        <v>53</v>
      </c>
      <c r="N1248" s="2" t="s">
        <v>37</v>
      </c>
      <c r="O1248" s="2">
        <v>2025</v>
      </c>
      <c r="P1248" s="2" t="str">
        <v>December</v>
      </c>
      <c r="Q1248" s="2" t="s">
        <v>47</v>
      </c>
    </row>
    <row r="1249" spans="1:17" x14ac:dyDescent="0.25">
      <c r="A1249" s="2" t="s">
        <v>2471</v>
      </c>
      <c r="B1249" s="7">
        <v>45788</v>
      </c>
      <c r="C1249" s="5" t="s">
        <v>32</v>
      </c>
      <c r="D1249" s="5" t="s">
        <v>33</v>
      </c>
      <c r="E1249" s="5" t="s">
        <v>179</v>
      </c>
      <c r="F1249" s="2" t="s">
        <v>180</v>
      </c>
      <c r="G1249" s="2">
        <v>2</v>
      </c>
      <c r="H1249" s="25">
        <v>460</v>
      </c>
      <c r="I1249" s="8">
        <v>15</v>
      </c>
      <c r="J1249" s="25">
        <v>782</v>
      </c>
      <c r="K1249" s="25">
        <f>G1249*H1249</f>
        <v>920</v>
      </c>
      <c r="L1249" s="8">
        <f>K1249*I1249/100</f>
        <v>138</v>
      </c>
      <c r="M1249" s="2" t="s">
        <v>53</v>
      </c>
      <c r="N1249" s="2" t="s">
        <v>883</v>
      </c>
      <c r="O1249" s="2">
        <v>2025</v>
      </c>
      <c r="P1249" s="2" t="str">
        <v>May</v>
      </c>
      <c r="Q1249" s="2" t="s">
        <v>47</v>
      </c>
    </row>
    <row r="1250" spans="1:17" x14ac:dyDescent="0.25">
      <c r="A1250" s="2" t="s">
        <v>2473</v>
      </c>
      <c r="B1250" s="7">
        <v>46022</v>
      </c>
      <c r="C1250" s="5" t="s">
        <v>24</v>
      </c>
      <c r="D1250" s="5" t="s">
        <v>16</v>
      </c>
      <c r="E1250" s="5" t="s">
        <v>295</v>
      </c>
      <c r="F1250" s="2" t="s">
        <v>132</v>
      </c>
      <c r="G1250" s="2">
        <v>10</v>
      </c>
      <c r="H1250" s="25">
        <v>64750</v>
      </c>
      <c r="I1250" s="8">
        <v>5</v>
      </c>
      <c r="J1250" s="25">
        <v>615125</v>
      </c>
      <c r="K1250" s="25">
        <f>G1250*H1250</f>
        <v>647500</v>
      </c>
      <c r="L1250" s="8">
        <f>K1250*I1250/100</f>
        <v>32375</v>
      </c>
      <c r="M1250" s="2" t="s">
        <v>102</v>
      </c>
      <c r="N1250" s="2" t="s">
        <v>344</v>
      </c>
      <c r="O1250" s="2">
        <v>2025</v>
      </c>
      <c r="P1250" s="2" t="str">
        <v>December</v>
      </c>
      <c r="Q1250" s="2" t="s">
        <v>21</v>
      </c>
    </row>
    <row r="1251" spans="1:17" x14ac:dyDescent="0.25">
      <c r="A1251" s="2" t="s">
        <v>2476</v>
      </c>
      <c r="B1251" s="7">
        <v>45723</v>
      </c>
      <c r="C1251" s="5" t="s">
        <v>135</v>
      </c>
      <c r="D1251" s="5" t="s">
        <v>58</v>
      </c>
      <c r="E1251" s="5" t="s">
        <v>295</v>
      </c>
      <c r="F1251" s="2" t="s">
        <v>66</v>
      </c>
      <c r="G1251" s="2">
        <v>4</v>
      </c>
      <c r="H1251" s="25">
        <v>1220</v>
      </c>
      <c r="I1251" s="8">
        <v>0</v>
      </c>
      <c r="J1251" s="25">
        <v>4880</v>
      </c>
      <c r="K1251" s="25">
        <f>G1251*H1251</f>
        <v>4880</v>
      </c>
      <c r="L1251" s="8">
        <f>K1251*I1251/100</f>
        <v>0</v>
      </c>
      <c r="M1251" s="2" t="s">
        <v>139</v>
      </c>
      <c r="N1251" s="2" t="s">
        <v>883</v>
      </c>
      <c r="O1251" s="2">
        <v>2025</v>
      </c>
      <c r="P1251" s="2" t="str">
        <v>March</v>
      </c>
      <c r="Q1251" s="2" t="s">
        <v>21</v>
      </c>
    </row>
    <row r="1252" spans="1:17" x14ac:dyDescent="0.25">
      <c r="A1252" s="2" t="s">
        <v>2478</v>
      </c>
      <c r="B1252" s="7">
        <v>45983</v>
      </c>
      <c r="C1252" s="5" t="s">
        <v>76</v>
      </c>
      <c r="D1252" s="5" t="s">
        <v>33</v>
      </c>
      <c r="E1252" s="5" t="s">
        <v>34</v>
      </c>
      <c r="F1252" s="2" t="s">
        <v>18</v>
      </c>
      <c r="G1252" s="2">
        <v>3</v>
      </c>
      <c r="H1252" s="25">
        <v>24900</v>
      </c>
      <c r="I1252" s="8">
        <v>0</v>
      </c>
      <c r="J1252" s="25">
        <v>74700</v>
      </c>
      <c r="K1252" s="25">
        <f>G1252*H1252</f>
        <v>74700</v>
      </c>
      <c r="L1252" s="8">
        <f>K1252*I1252/100</f>
        <v>0</v>
      </c>
      <c r="M1252" s="2" t="s">
        <v>139</v>
      </c>
      <c r="N1252" s="2" t="s">
        <v>411</v>
      </c>
      <c r="O1252" s="2">
        <v>2025</v>
      </c>
      <c r="P1252" s="2" t="str">
        <v>November</v>
      </c>
      <c r="Q1252" s="2" t="s">
        <v>21</v>
      </c>
    </row>
    <row r="1253" spans="1:17" x14ac:dyDescent="0.25">
      <c r="A1253" s="2" t="s">
        <v>2479</v>
      </c>
      <c r="B1253" s="7">
        <v>45802</v>
      </c>
      <c r="C1253" s="5" t="s">
        <v>76</v>
      </c>
      <c r="D1253" s="5" t="s">
        <v>33</v>
      </c>
      <c r="E1253" s="5" t="s">
        <v>25</v>
      </c>
      <c r="F1253" s="2" t="s">
        <v>248</v>
      </c>
      <c r="G1253" s="2">
        <v>11</v>
      </c>
      <c r="H1253" s="25">
        <v>8360</v>
      </c>
      <c r="I1253" s="8">
        <v>10</v>
      </c>
      <c r="J1253" s="25">
        <v>82764</v>
      </c>
      <c r="K1253" s="25">
        <f>G1253*H1253</f>
        <v>91960</v>
      </c>
      <c r="L1253" s="8">
        <f>K1253*I1253/100</f>
        <v>9196</v>
      </c>
      <c r="M1253" s="2" t="s">
        <v>139</v>
      </c>
      <c r="N1253" s="2" t="s">
        <v>168</v>
      </c>
      <c r="O1253" s="2">
        <v>2025</v>
      </c>
      <c r="P1253" s="2" t="str">
        <v>May</v>
      </c>
      <c r="Q1253" s="2" t="s">
        <v>21</v>
      </c>
    </row>
    <row r="1254" spans="1:17" x14ac:dyDescent="0.25">
      <c r="A1254" s="2" t="s">
        <v>2481</v>
      </c>
      <c r="B1254" s="7">
        <v>45713</v>
      </c>
      <c r="C1254" s="5" t="s">
        <v>24</v>
      </c>
      <c r="D1254" s="5" t="s">
        <v>16</v>
      </c>
      <c r="E1254" s="5" t="s">
        <v>148</v>
      </c>
      <c r="F1254" s="2" t="s">
        <v>435</v>
      </c>
      <c r="G1254" s="2">
        <v>12</v>
      </c>
      <c r="H1254" s="25">
        <v>65190</v>
      </c>
      <c r="I1254" s="8">
        <v>0</v>
      </c>
      <c r="J1254" s="25">
        <v>782280</v>
      </c>
      <c r="K1254" s="25">
        <f>G1254*H1254</f>
        <v>782280</v>
      </c>
      <c r="L1254" s="8">
        <f>K1254*I1254/100</f>
        <v>0</v>
      </c>
      <c r="M1254" s="2" t="s">
        <v>53</v>
      </c>
      <c r="N1254" s="2" t="s">
        <v>406</v>
      </c>
      <c r="O1254" s="2">
        <v>2025</v>
      </c>
      <c r="P1254" s="2" t="str">
        <v>February</v>
      </c>
      <c r="Q1254" s="2" t="s">
        <v>47</v>
      </c>
    </row>
    <row r="1255" spans="1:17" x14ac:dyDescent="0.25">
      <c r="A1255" s="2" t="s">
        <v>2483</v>
      </c>
      <c r="B1255" s="7">
        <v>45733</v>
      </c>
      <c r="C1255" s="5" t="s">
        <v>32</v>
      </c>
      <c r="D1255" s="5" t="s">
        <v>33</v>
      </c>
      <c r="E1255" s="5" t="s">
        <v>179</v>
      </c>
      <c r="F1255" s="2" t="s">
        <v>296</v>
      </c>
      <c r="G1255" s="2">
        <v>3</v>
      </c>
      <c r="H1255" s="25">
        <v>1150</v>
      </c>
      <c r="I1255" s="8">
        <v>0</v>
      </c>
      <c r="J1255" s="25">
        <v>3450</v>
      </c>
      <c r="K1255" s="25">
        <f>G1255*H1255</f>
        <v>3450</v>
      </c>
      <c r="L1255" s="8">
        <f>K1255*I1255/100</f>
        <v>0</v>
      </c>
      <c r="M1255" s="2" t="s">
        <v>94</v>
      </c>
      <c r="N1255" s="2" t="s">
        <v>79</v>
      </c>
      <c r="O1255" s="2">
        <v>2025</v>
      </c>
      <c r="P1255" s="2" t="str">
        <v>March</v>
      </c>
      <c r="Q1255" s="2" t="s">
        <v>21</v>
      </c>
    </row>
    <row r="1256" spans="1:17" x14ac:dyDescent="0.25">
      <c r="A1256" s="2" t="s">
        <v>2485</v>
      </c>
      <c r="B1256" s="7">
        <v>45779</v>
      </c>
      <c r="C1256" s="5" t="s">
        <v>24</v>
      </c>
      <c r="D1256" s="5" t="s">
        <v>33</v>
      </c>
      <c r="E1256" s="5" t="s">
        <v>34</v>
      </c>
      <c r="F1256" s="2" t="s">
        <v>374</v>
      </c>
      <c r="G1256" s="2">
        <v>11</v>
      </c>
      <c r="H1256" s="25">
        <v>7750</v>
      </c>
      <c r="I1256" s="8">
        <v>15</v>
      </c>
      <c r="J1256" s="25">
        <v>72462.5</v>
      </c>
      <c r="K1256" s="25">
        <f>G1256*H1256</f>
        <v>85250</v>
      </c>
      <c r="L1256" s="8">
        <f>K1256*I1256/100</f>
        <v>12787.5</v>
      </c>
      <c r="M1256" s="2" t="s">
        <v>94</v>
      </c>
      <c r="N1256" s="2" t="s">
        <v>176</v>
      </c>
      <c r="O1256" s="2">
        <v>2025</v>
      </c>
      <c r="P1256" s="2" t="str">
        <v>May</v>
      </c>
      <c r="Q1256" s="2" t="s">
        <v>21</v>
      </c>
    </row>
    <row r="1257" spans="1:17" x14ac:dyDescent="0.25">
      <c r="A1257" s="2" t="s">
        <v>2487</v>
      </c>
      <c r="B1257" s="7">
        <v>45951</v>
      </c>
      <c r="C1257" s="5" t="s">
        <v>41</v>
      </c>
      <c r="D1257" s="5" t="s">
        <v>42</v>
      </c>
      <c r="E1257" s="5" t="s">
        <v>295</v>
      </c>
      <c r="F1257" s="2" t="s">
        <v>126</v>
      </c>
      <c r="G1257" s="2">
        <v>5</v>
      </c>
      <c r="H1257" s="25">
        <v>17070</v>
      </c>
      <c r="I1257" s="8">
        <v>0</v>
      </c>
      <c r="J1257" s="25">
        <v>85350</v>
      </c>
      <c r="K1257" s="25">
        <f>G1257*H1257</f>
        <v>85350</v>
      </c>
      <c r="L1257" s="8">
        <f>K1257*I1257/100</f>
        <v>0</v>
      </c>
      <c r="M1257" s="2" t="s">
        <v>102</v>
      </c>
      <c r="N1257" s="2" t="s">
        <v>266</v>
      </c>
      <c r="O1257" s="2">
        <v>2025</v>
      </c>
      <c r="P1257" s="2" t="str">
        <v>October</v>
      </c>
      <c r="Q1257" s="2" t="s">
        <v>21</v>
      </c>
    </row>
    <row r="1258" spans="1:17" x14ac:dyDescent="0.25">
      <c r="A1258" s="2" t="s">
        <v>2489</v>
      </c>
      <c r="B1258" s="7">
        <v>45905</v>
      </c>
      <c r="C1258" s="5" t="s">
        <v>41</v>
      </c>
      <c r="D1258" s="5" t="s">
        <v>42</v>
      </c>
      <c r="E1258" s="5" t="s">
        <v>25</v>
      </c>
      <c r="F1258" s="2" t="s">
        <v>332</v>
      </c>
      <c r="G1258" s="2">
        <v>6</v>
      </c>
      <c r="H1258" s="25">
        <v>64070</v>
      </c>
      <c r="I1258" s="8">
        <v>10</v>
      </c>
      <c r="J1258" s="25">
        <v>345978</v>
      </c>
      <c r="K1258" s="25">
        <f>G1258*H1258</f>
        <v>384420</v>
      </c>
      <c r="L1258" s="8">
        <f>K1258*I1258/100</f>
        <v>38442</v>
      </c>
      <c r="M1258" s="2" t="s">
        <v>94</v>
      </c>
      <c r="N1258" s="2" t="s">
        <v>188</v>
      </c>
      <c r="O1258" s="2">
        <v>2025</v>
      </c>
      <c r="P1258" s="2" t="str">
        <v>September</v>
      </c>
      <c r="Q1258" s="2" t="s">
        <v>21</v>
      </c>
    </row>
    <row r="1259" spans="1:17" x14ac:dyDescent="0.25">
      <c r="A1259" s="2" t="s">
        <v>2490</v>
      </c>
      <c r="B1259" s="7">
        <v>46008</v>
      </c>
      <c r="C1259" s="5" t="s">
        <v>24</v>
      </c>
      <c r="D1259" s="5" t="s">
        <v>16</v>
      </c>
      <c r="E1259" s="5" t="s">
        <v>25</v>
      </c>
      <c r="F1259" s="2" t="s">
        <v>106</v>
      </c>
      <c r="G1259" s="2">
        <v>6</v>
      </c>
      <c r="H1259" s="25">
        <v>5480</v>
      </c>
      <c r="I1259" s="8">
        <v>10</v>
      </c>
      <c r="J1259" s="25">
        <v>29592</v>
      </c>
      <c r="K1259" s="25">
        <f>G1259*H1259</f>
        <v>32880</v>
      </c>
      <c r="L1259" s="8">
        <f>K1259*I1259/100</f>
        <v>3288</v>
      </c>
      <c r="M1259" s="2" t="s">
        <v>53</v>
      </c>
      <c r="N1259" s="2" t="s">
        <v>168</v>
      </c>
      <c r="O1259" s="2">
        <v>2025</v>
      </c>
      <c r="P1259" s="2" t="str">
        <v>December</v>
      </c>
      <c r="Q1259" s="2" t="s">
        <v>47</v>
      </c>
    </row>
    <row r="1260" spans="1:17" x14ac:dyDescent="0.25">
      <c r="A1260" s="2" t="s">
        <v>2492</v>
      </c>
      <c r="B1260" s="7">
        <v>45916</v>
      </c>
      <c r="C1260" s="5" t="s">
        <v>41</v>
      </c>
      <c r="D1260" s="5" t="s">
        <v>42</v>
      </c>
      <c r="E1260" s="5" t="s">
        <v>34</v>
      </c>
      <c r="F1260" s="2" t="s">
        <v>164</v>
      </c>
      <c r="G1260" s="2">
        <v>11</v>
      </c>
      <c r="H1260" s="25">
        <v>7340</v>
      </c>
      <c r="I1260" s="8">
        <v>0</v>
      </c>
      <c r="J1260" s="25">
        <v>80740</v>
      </c>
      <c r="K1260" s="25">
        <f>G1260*H1260</f>
        <v>80740</v>
      </c>
      <c r="L1260" s="8">
        <f>K1260*I1260/100</f>
        <v>0</v>
      </c>
      <c r="M1260" s="2" t="s">
        <v>102</v>
      </c>
      <c r="N1260" s="2" t="s">
        <v>883</v>
      </c>
      <c r="O1260" s="2">
        <v>2025</v>
      </c>
      <c r="P1260" s="2" t="str">
        <v>September</v>
      </c>
      <c r="Q1260" s="2" t="s">
        <v>21</v>
      </c>
    </row>
    <row r="1261" spans="1:17" x14ac:dyDescent="0.25">
      <c r="A1261" s="2" t="s">
        <v>2494</v>
      </c>
      <c r="B1261" s="7">
        <v>45944</v>
      </c>
      <c r="C1261" s="5" t="s">
        <v>41</v>
      </c>
      <c r="D1261" s="5" t="s">
        <v>42</v>
      </c>
      <c r="E1261" s="5" t="s">
        <v>25</v>
      </c>
      <c r="F1261" s="2" t="s">
        <v>332</v>
      </c>
      <c r="G1261" s="2">
        <v>3</v>
      </c>
      <c r="H1261" s="25">
        <v>16990</v>
      </c>
      <c r="I1261" s="8">
        <v>15</v>
      </c>
      <c r="J1261" s="25">
        <v>43324.5</v>
      </c>
      <c r="K1261" s="25">
        <f>G1261*H1261</f>
        <v>50970</v>
      </c>
      <c r="L1261" s="8">
        <f>K1261*I1261/100</f>
        <v>7645.5</v>
      </c>
      <c r="M1261" s="2" t="s">
        <v>139</v>
      </c>
      <c r="N1261" s="2" t="s">
        <v>341</v>
      </c>
      <c r="O1261" s="2">
        <v>2025</v>
      </c>
      <c r="P1261" s="2" t="str">
        <v>October</v>
      </c>
      <c r="Q1261" s="2" t="s">
        <v>21</v>
      </c>
    </row>
    <row r="1262" spans="1:17" x14ac:dyDescent="0.25">
      <c r="A1262" s="2" t="s">
        <v>2496</v>
      </c>
      <c r="B1262" s="7">
        <v>45964</v>
      </c>
      <c r="C1262" s="5" t="s">
        <v>238</v>
      </c>
      <c r="D1262" s="2" t="s">
        <v>51</v>
      </c>
      <c r="E1262" s="2" t="s">
        <v>148</v>
      </c>
      <c r="F1262" s="2" t="s">
        <v>149</v>
      </c>
      <c r="G1262" s="2">
        <v>12</v>
      </c>
      <c r="H1262" s="25">
        <v>3680</v>
      </c>
      <c r="I1262" s="8">
        <v>5</v>
      </c>
      <c r="J1262" s="25">
        <v>41952</v>
      </c>
      <c r="K1262" s="25">
        <f>G1262*H1262</f>
        <v>44160</v>
      </c>
      <c r="L1262" s="8">
        <f>K1262*I1262/100</f>
        <v>2208</v>
      </c>
      <c r="M1262" s="2" t="s">
        <v>102</v>
      </c>
      <c r="N1262" s="2" t="s">
        <v>73</v>
      </c>
      <c r="O1262" s="2">
        <v>2025</v>
      </c>
      <c r="P1262" s="2" t="str">
        <v>November</v>
      </c>
      <c r="Q1262" s="2" t="s">
        <v>47</v>
      </c>
    </row>
    <row r="1263" spans="1:17" x14ac:dyDescent="0.25">
      <c r="A1263" s="2" t="s">
        <v>2498</v>
      </c>
      <c r="B1263" s="7">
        <v>45771</v>
      </c>
      <c r="C1263" s="5" t="s">
        <v>238</v>
      </c>
      <c r="D1263" s="5" t="s">
        <v>51</v>
      </c>
      <c r="E1263" s="5" t="s">
        <v>148</v>
      </c>
      <c r="F1263" s="2" t="s">
        <v>149</v>
      </c>
      <c r="G1263" s="2">
        <v>3</v>
      </c>
      <c r="H1263" s="25">
        <v>8770</v>
      </c>
      <c r="I1263" s="8">
        <v>0</v>
      </c>
      <c r="J1263" s="25">
        <v>26310</v>
      </c>
      <c r="K1263" s="25">
        <f>G1263*H1263</f>
        <v>26310</v>
      </c>
      <c r="L1263" s="8">
        <f>K1263*I1263/100</f>
        <v>0</v>
      </c>
      <c r="M1263" s="2" t="s">
        <v>102</v>
      </c>
      <c r="N1263" s="2" t="s">
        <v>266</v>
      </c>
      <c r="O1263" s="2">
        <v>2025</v>
      </c>
      <c r="P1263" s="2" t="str">
        <v>April</v>
      </c>
      <c r="Q1263" s="2" t="s">
        <v>47</v>
      </c>
    </row>
    <row r="1264" spans="1:17" x14ac:dyDescent="0.25">
      <c r="A1264" s="2" t="s">
        <v>2500</v>
      </c>
      <c r="B1264" s="7">
        <v>45816</v>
      </c>
      <c r="C1264" s="5" t="s">
        <v>76</v>
      </c>
      <c r="D1264" s="5" t="s">
        <v>33</v>
      </c>
      <c r="E1264" s="5" t="s">
        <v>34</v>
      </c>
      <c r="F1264" s="2" t="s">
        <v>18</v>
      </c>
      <c r="G1264" s="2">
        <v>1</v>
      </c>
      <c r="H1264" s="25">
        <v>3820</v>
      </c>
      <c r="I1264" s="8">
        <v>0</v>
      </c>
      <c r="J1264" s="25">
        <v>3820</v>
      </c>
      <c r="K1264" s="25">
        <f>G1264*H1264</f>
        <v>3820</v>
      </c>
      <c r="L1264" s="8">
        <f>K1264*I1264/100</f>
        <v>0</v>
      </c>
      <c r="M1264" s="2" t="s">
        <v>94</v>
      </c>
      <c r="N1264" s="2" t="s">
        <v>188</v>
      </c>
      <c r="O1264" s="2">
        <v>2025</v>
      </c>
      <c r="P1264" s="2" t="str">
        <v>June</v>
      </c>
      <c r="Q1264" s="2" t="s">
        <v>47</v>
      </c>
    </row>
    <row r="1265" spans="1:17" x14ac:dyDescent="0.25">
      <c r="A1265" s="2" t="s">
        <v>2502</v>
      </c>
      <c r="B1265" s="7">
        <v>45863</v>
      </c>
      <c r="C1265" s="5" t="s">
        <v>156</v>
      </c>
      <c r="D1265" s="5" t="s">
        <v>51</v>
      </c>
      <c r="E1265" s="5" t="s">
        <v>25</v>
      </c>
      <c r="F1265" s="2" t="s">
        <v>255</v>
      </c>
      <c r="G1265" s="2">
        <v>3</v>
      </c>
      <c r="H1265" s="25">
        <v>1250</v>
      </c>
      <c r="I1265" s="8">
        <v>0</v>
      </c>
      <c r="J1265" s="25">
        <v>3750</v>
      </c>
      <c r="K1265" s="25">
        <f>G1265*H1265</f>
        <v>3750</v>
      </c>
      <c r="L1265" s="8">
        <f>K1265*I1265/100</f>
        <v>0</v>
      </c>
      <c r="M1265" s="2" t="s">
        <v>53</v>
      </c>
      <c r="N1265" s="2" t="s">
        <v>46</v>
      </c>
      <c r="O1265" s="2">
        <v>2025</v>
      </c>
      <c r="P1265" s="2" t="str">
        <v>July</v>
      </c>
      <c r="Q1265" s="2" t="s">
        <v>21</v>
      </c>
    </row>
    <row r="1266" spans="1:17" x14ac:dyDescent="0.25">
      <c r="A1266" s="2" t="s">
        <v>2503</v>
      </c>
      <c r="B1266" s="7">
        <v>45869</v>
      </c>
      <c r="C1266" s="5" t="s">
        <v>135</v>
      </c>
      <c r="D1266" s="5" t="s">
        <v>58</v>
      </c>
      <c r="E1266" s="5" t="s">
        <v>148</v>
      </c>
      <c r="F1266" s="2" t="s">
        <v>83</v>
      </c>
      <c r="G1266" s="2">
        <v>9</v>
      </c>
      <c r="H1266" s="25">
        <v>510</v>
      </c>
      <c r="I1266" s="8">
        <v>0</v>
      </c>
      <c r="J1266" s="25">
        <v>4590</v>
      </c>
      <c r="K1266" s="25">
        <f>G1266*H1266</f>
        <v>4590</v>
      </c>
      <c r="L1266" s="8">
        <f>K1266*I1266/100</f>
        <v>0</v>
      </c>
      <c r="M1266" s="2" t="s">
        <v>53</v>
      </c>
      <c r="N1266" s="2" t="s">
        <v>54</v>
      </c>
      <c r="O1266" s="2">
        <v>2025</v>
      </c>
      <c r="P1266" s="2" t="str">
        <v>July</v>
      </c>
      <c r="Q1266" s="2" t="s">
        <v>21</v>
      </c>
    </row>
    <row r="1267" spans="1:17" x14ac:dyDescent="0.25">
      <c r="A1267" s="2" t="s">
        <v>2505</v>
      </c>
      <c r="B1267" s="7">
        <v>45992</v>
      </c>
      <c r="C1267" s="5" t="s">
        <v>41</v>
      </c>
      <c r="D1267" s="5" t="s">
        <v>42</v>
      </c>
      <c r="E1267" s="5" t="s">
        <v>34</v>
      </c>
      <c r="F1267" s="2" t="s">
        <v>199</v>
      </c>
      <c r="G1267" s="2">
        <v>9</v>
      </c>
      <c r="H1267" s="25">
        <v>11890</v>
      </c>
      <c r="I1267" s="8">
        <v>0</v>
      </c>
      <c r="J1267" s="25">
        <v>107010</v>
      </c>
      <c r="K1267" s="25">
        <f>G1267*H1267</f>
        <v>107010</v>
      </c>
      <c r="L1267" s="8">
        <f>K1267*I1267/100</f>
        <v>0</v>
      </c>
      <c r="M1267" s="2" t="s">
        <v>53</v>
      </c>
      <c r="N1267" s="2" t="s">
        <v>79</v>
      </c>
      <c r="O1267" s="2">
        <v>2025</v>
      </c>
      <c r="P1267" s="2" t="str">
        <v>December</v>
      </c>
      <c r="Q1267" s="2" t="s">
        <v>47</v>
      </c>
    </row>
    <row r="1268" spans="1:17" x14ac:dyDescent="0.25">
      <c r="A1268" s="2" t="s">
        <v>2506</v>
      </c>
      <c r="B1268" s="7">
        <v>45703</v>
      </c>
      <c r="C1268" s="5" t="s">
        <v>135</v>
      </c>
      <c r="D1268" s="5" t="s">
        <v>58</v>
      </c>
      <c r="E1268" s="5" t="s">
        <v>34</v>
      </c>
      <c r="F1268" s="2" t="s">
        <v>18</v>
      </c>
      <c r="G1268" s="2">
        <v>9</v>
      </c>
      <c r="H1268" s="25">
        <v>43830</v>
      </c>
      <c r="I1268" s="8">
        <v>0</v>
      </c>
      <c r="J1268" s="25">
        <v>394470</v>
      </c>
      <c r="K1268" s="25">
        <f>G1268*H1268</f>
        <v>394470</v>
      </c>
      <c r="L1268" s="8">
        <f>K1268*I1268/100</f>
        <v>0</v>
      </c>
      <c r="M1268" s="2" t="s">
        <v>94</v>
      </c>
      <c r="N1268" s="2" t="s">
        <v>176</v>
      </c>
      <c r="O1268" s="2">
        <v>2025</v>
      </c>
      <c r="P1268" s="2" t="str">
        <v>February</v>
      </c>
      <c r="Q1268" s="2" t="s">
        <v>47</v>
      </c>
    </row>
    <row r="1269" spans="1:17" x14ac:dyDescent="0.25">
      <c r="A1269" s="2" t="s">
        <v>2508</v>
      </c>
      <c r="B1269" s="7">
        <v>45747</v>
      </c>
      <c r="C1269" s="5" t="s">
        <v>135</v>
      </c>
      <c r="D1269" s="5" t="s">
        <v>58</v>
      </c>
      <c r="E1269" s="5" t="s">
        <v>34</v>
      </c>
      <c r="F1269" s="2" t="s">
        <v>199</v>
      </c>
      <c r="G1269" s="2">
        <v>3</v>
      </c>
      <c r="H1269" s="25">
        <v>25300</v>
      </c>
      <c r="I1269" s="8">
        <v>5</v>
      </c>
      <c r="J1269" s="25">
        <v>72105</v>
      </c>
      <c r="K1269" s="25">
        <f>G1269*H1269</f>
        <v>75900</v>
      </c>
      <c r="L1269" s="8">
        <f>K1269*I1269/100</f>
        <v>3795</v>
      </c>
      <c r="M1269" s="2" t="s">
        <v>102</v>
      </c>
      <c r="N1269" s="2" t="s">
        <v>46</v>
      </c>
      <c r="O1269" s="2">
        <v>2025</v>
      </c>
      <c r="P1269" s="2" t="str">
        <v>March</v>
      </c>
      <c r="Q1269" s="2" t="s">
        <v>21</v>
      </c>
    </row>
    <row r="1270" spans="1:17" x14ac:dyDescent="0.25">
      <c r="A1270" s="2" t="s">
        <v>2510</v>
      </c>
      <c r="B1270" s="7">
        <v>45753</v>
      </c>
      <c r="C1270" s="5" t="s">
        <v>135</v>
      </c>
      <c r="D1270" s="5" t="s">
        <v>58</v>
      </c>
      <c r="E1270" s="5" t="s">
        <v>295</v>
      </c>
      <c r="F1270" s="2" t="s">
        <v>66</v>
      </c>
      <c r="G1270" s="2">
        <v>2</v>
      </c>
      <c r="H1270" s="25">
        <v>13450</v>
      </c>
      <c r="I1270" s="8">
        <v>0</v>
      </c>
      <c r="J1270" s="25">
        <v>26900</v>
      </c>
      <c r="K1270" s="25">
        <f>G1270*H1270</f>
        <v>26900</v>
      </c>
      <c r="L1270" s="8">
        <f>K1270*I1270/100</f>
        <v>0</v>
      </c>
      <c r="M1270" s="2" t="s">
        <v>139</v>
      </c>
      <c r="N1270" s="2" t="s">
        <v>79</v>
      </c>
      <c r="O1270" s="2">
        <v>2025</v>
      </c>
      <c r="P1270" s="2" t="str">
        <v>April</v>
      </c>
      <c r="Q1270" s="2" t="s">
        <v>21</v>
      </c>
    </row>
    <row r="1271" spans="1:17" x14ac:dyDescent="0.25">
      <c r="A1271" s="2" t="s">
        <v>2511</v>
      </c>
      <c r="B1271" s="7">
        <v>45815</v>
      </c>
      <c r="C1271" s="5" t="s">
        <v>238</v>
      </c>
      <c r="D1271" s="5" t="s">
        <v>51</v>
      </c>
      <c r="E1271" s="5" t="s">
        <v>148</v>
      </c>
      <c r="F1271" s="2" t="s">
        <v>149</v>
      </c>
      <c r="G1271" s="2">
        <v>4</v>
      </c>
      <c r="H1271" s="25">
        <v>1330</v>
      </c>
      <c r="I1271" s="8">
        <v>0</v>
      </c>
      <c r="J1271" s="25">
        <v>5320</v>
      </c>
      <c r="K1271" s="25">
        <f>G1271*H1271</f>
        <v>5320</v>
      </c>
      <c r="L1271" s="8">
        <f>K1271*I1271/100</f>
        <v>0</v>
      </c>
      <c r="M1271" s="2" t="s">
        <v>53</v>
      </c>
      <c r="N1271" s="2" t="s">
        <v>188</v>
      </c>
      <c r="O1271" s="2">
        <v>2025</v>
      </c>
      <c r="P1271" s="2" t="str">
        <v>June</v>
      </c>
      <c r="Q1271" s="2" t="s">
        <v>21</v>
      </c>
    </row>
    <row r="1272" spans="1:17" x14ac:dyDescent="0.25">
      <c r="A1272" s="2" t="s">
        <v>2513</v>
      </c>
      <c r="B1272" s="7">
        <v>45987</v>
      </c>
      <c r="C1272" s="5" t="s">
        <v>135</v>
      </c>
      <c r="D1272" s="5" t="s">
        <v>58</v>
      </c>
      <c r="E1272" s="5" t="s">
        <v>179</v>
      </c>
      <c r="F1272" s="2" t="s">
        <v>143</v>
      </c>
      <c r="G1272" s="2">
        <v>10</v>
      </c>
      <c r="H1272" s="25">
        <v>8590</v>
      </c>
      <c r="I1272" s="8">
        <v>15</v>
      </c>
      <c r="J1272" s="25">
        <v>73015</v>
      </c>
      <c r="K1272" s="25">
        <f>G1272*H1272</f>
        <v>85900</v>
      </c>
      <c r="L1272" s="8">
        <f>K1272*I1272/100</f>
        <v>12885</v>
      </c>
      <c r="M1272" s="2" t="s">
        <v>139</v>
      </c>
      <c r="N1272" s="2" t="s">
        <v>176</v>
      </c>
      <c r="O1272" s="2">
        <v>2025</v>
      </c>
      <c r="P1272" s="2" t="str">
        <v>November</v>
      </c>
      <c r="Q1272" s="2" t="s">
        <v>21</v>
      </c>
    </row>
    <row r="1273" spans="1:17" x14ac:dyDescent="0.25">
      <c r="A1273" s="2" t="s">
        <v>2515</v>
      </c>
      <c r="B1273" s="7">
        <v>45913</v>
      </c>
      <c r="C1273" s="5" t="s">
        <v>76</v>
      </c>
      <c r="D1273" s="5" t="s">
        <v>33</v>
      </c>
      <c r="E1273" s="5" t="s">
        <v>295</v>
      </c>
      <c r="F1273" s="2" t="s">
        <v>296</v>
      </c>
      <c r="G1273" s="2">
        <v>12</v>
      </c>
      <c r="H1273" s="25">
        <v>24180</v>
      </c>
      <c r="I1273" s="8">
        <v>5</v>
      </c>
      <c r="J1273" s="25">
        <v>275652</v>
      </c>
      <c r="K1273" s="25">
        <f>G1273*H1273</f>
        <v>290160</v>
      </c>
      <c r="L1273" s="8">
        <f>K1273*I1273/100</f>
        <v>14508</v>
      </c>
      <c r="M1273" s="2" t="s">
        <v>139</v>
      </c>
      <c r="N1273" s="2" t="s">
        <v>68</v>
      </c>
      <c r="O1273" s="2">
        <v>2025</v>
      </c>
      <c r="P1273" s="2" t="str">
        <v>September</v>
      </c>
      <c r="Q1273" s="2" t="s">
        <v>21</v>
      </c>
    </row>
    <row r="1274" spans="1:17" x14ac:dyDescent="0.25">
      <c r="A1274" s="2" t="s">
        <v>2516</v>
      </c>
      <c r="B1274" s="7">
        <v>45672</v>
      </c>
      <c r="C1274" s="5" t="s">
        <v>32</v>
      </c>
      <c r="D1274" s="5" t="s">
        <v>33</v>
      </c>
      <c r="E1274" s="5" t="s">
        <v>179</v>
      </c>
      <c r="F1274" s="2" t="s">
        <v>78</v>
      </c>
      <c r="G1274" s="2">
        <v>1</v>
      </c>
      <c r="H1274" s="25">
        <v>1090</v>
      </c>
      <c r="I1274" s="8">
        <v>0</v>
      </c>
      <c r="J1274" s="25">
        <v>1090</v>
      </c>
      <c r="K1274" s="25">
        <f>G1274*H1274</f>
        <v>1090</v>
      </c>
      <c r="L1274" s="8">
        <f>K1274*I1274/100</f>
        <v>0</v>
      </c>
      <c r="M1274" s="2" t="s">
        <v>94</v>
      </c>
      <c r="N1274" s="2" t="s">
        <v>46</v>
      </c>
      <c r="O1274" s="2">
        <v>2025</v>
      </c>
      <c r="P1274" s="2" t="str">
        <v>January</v>
      </c>
      <c r="Q1274" s="2" t="s">
        <v>21</v>
      </c>
    </row>
    <row r="1275" spans="1:17" x14ac:dyDescent="0.25">
      <c r="A1275" s="2" t="s">
        <v>2517</v>
      </c>
      <c r="B1275" s="7">
        <v>45984</v>
      </c>
      <c r="C1275" s="5" t="s">
        <v>156</v>
      </c>
      <c r="D1275" s="5" t="s">
        <v>51</v>
      </c>
      <c r="E1275" s="5" t="s">
        <v>25</v>
      </c>
      <c r="F1275" s="2" t="s">
        <v>115</v>
      </c>
      <c r="G1275" s="2">
        <v>6</v>
      </c>
      <c r="H1275" s="25">
        <v>58990</v>
      </c>
      <c r="I1275" s="8">
        <v>0</v>
      </c>
      <c r="J1275" s="25">
        <v>353940</v>
      </c>
      <c r="K1275" s="25">
        <f>G1275*H1275</f>
        <v>353940</v>
      </c>
      <c r="L1275" s="8">
        <f>K1275*I1275/100</f>
        <v>0</v>
      </c>
      <c r="M1275" s="2" t="s">
        <v>102</v>
      </c>
      <c r="N1275" s="2" t="s">
        <v>176</v>
      </c>
      <c r="O1275" s="2">
        <v>2025</v>
      </c>
      <c r="P1275" s="2" t="str">
        <v>November</v>
      </c>
      <c r="Q1275" s="2" t="s">
        <v>21</v>
      </c>
    </row>
    <row r="1276" spans="1:17" x14ac:dyDescent="0.25">
      <c r="A1276" s="2" t="s">
        <v>2518</v>
      </c>
      <c r="B1276" s="7">
        <v>45936</v>
      </c>
      <c r="C1276" s="5" t="s">
        <v>135</v>
      </c>
      <c r="D1276" s="5" t="s">
        <v>58</v>
      </c>
      <c r="E1276" s="5" t="s">
        <v>179</v>
      </c>
      <c r="F1276" s="2" t="s">
        <v>232</v>
      </c>
      <c r="G1276" s="2">
        <v>12</v>
      </c>
      <c r="H1276" s="25">
        <v>460</v>
      </c>
      <c r="I1276" s="8">
        <v>10</v>
      </c>
      <c r="J1276" s="25">
        <v>4968</v>
      </c>
      <c r="K1276" s="25">
        <f>G1276*H1276</f>
        <v>5520</v>
      </c>
      <c r="L1276" s="8">
        <f>K1276*I1276/100</f>
        <v>552</v>
      </c>
      <c r="M1276" s="2" t="s">
        <v>53</v>
      </c>
      <c r="N1276" s="2" t="s">
        <v>176</v>
      </c>
      <c r="O1276" s="2">
        <v>2025</v>
      </c>
      <c r="P1276" s="2" t="str">
        <v>October</v>
      </c>
      <c r="Q1276" s="2" t="s">
        <v>47</v>
      </c>
    </row>
    <row r="1277" spans="1:17" x14ac:dyDescent="0.25">
      <c r="A1277" s="2" t="s">
        <v>2520</v>
      </c>
      <c r="B1277" s="7">
        <v>45854</v>
      </c>
      <c r="C1277" s="5" t="s">
        <v>238</v>
      </c>
      <c r="D1277" s="5" t="s">
        <v>33</v>
      </c>
      <c r="E1277" s="5" t="s">
        <v>148</v>
      </c>
      <c r="F1277" s="2" t="s">
        <v>209</v>
      </c>
      <c r="G1277" s="2">
        <v>3</v>
      </c>
      <c r="H1277" s="25">
        <v>5310</v>
      </c>
      <c r="I1277" s="8">
        <v>0</v>
      </c>
      <c r="J1277" s="25">
        <v>15930</v>
      </c>
      <c r="K1277" s="25">
        <f>G1277*H1277</f>
        <v>15930</v>
      </c>
      <c r="L1277" s="8">
        <f>K1277*I1277/100</f>
        <v>0</v>
      </c>
      <c r="M1277" s="2" t="s">
        <v>53</v>
      </c>
      <c r="N1277" s="2" t="s">
        <v>168</v>
      </c>
      <c r="O1277" s="2">
        <v>2025</v>
      </c>
      <c r="P1277" s="2" t="str">
        <v>July</v>
      </c>
      <c r="Q1277" s="2" t="s">
        <v>47</v>
      </c>
    </row>
    <row r="1278" spans="1:17" x14ac:dyDescent="0.25">
      <c r="A1278" s="2" t="s">
        <v>2522</v>
      </c>
      <c r="B1278" s="7">
        <v>46009</v>
      </c>
      <c r="C1278" s="5" t="s">
        <v>238</v>
      </c>
      <c r="D1278" s="5" t="s">
        <v>51</v>
      </c>
      <c r="E1278" s="5" t="s">
        <v>34</v>
      </c>
      <c r="F1278" s="2" t="s">
        <v>290</v>
      </c>
      <c r="G1278" s="2">
        <v>7</v>
      </c>
      <c r="H1278" s="25">
        <v>570</v>
      </c>
      <c r="I1278" s="8">
        <v>0</v>
      </c>
      <c r="J1278" s="25">
        <v>3990</v>
      </c>
      <c r="K1278" s="25">
        <f>G1278*H1278</f>
        <v>3990</v>
      </c>
      <c r="L1278" s="8">
        <f>K1278*I1278/100</f>
        <v>0</v>
      </c>
      <c r="M1278" s="2" t="s">
        <v>102</v>
      </c>
      <c r="N1278" s="2" t="s">
        <v>79</v>
      </c>
      <c r="O1278" s="2">
        <v>2025</v>
      </c>
      <c r="P1278" s="2" t="str">
        <v>December</v>
      </c>
      <c r="Q1278" s="2" t="s">
        <v>21</v>
      </c>
    </row>
    <row r="1279" spans="1:17" x14ac:dyDescent="0.25">
      <c r="A1279" s="2" t="s">
        <v>2524</v>
      </c>
      <c r="B1279" s="7">
        <v>45895</v>
      </c>
      <c r="C1279" s="5" t="s">
        <v>238</v>
      </c>
      <c r="D1279" s="5" t="s">
        <v>51</v>
      </c>
      <c r="E1279" s="5" t="s">
        <v>25</v>
      </c>
      <c r="F1279" s="2" t="s">
        <v>44</v>
      </c>
      <c r="G1279" s="2">
        <v>5</v>
      </c>
      <c r="H1279" s="25">
        <v>19470</v>
      </c>
      <c r="I1279" s="8">
        <v>0</v>
      </c>
      <c r="J1279" s="25">
        <v>97350</v>
      </c>
      <c r="K1279" s="25">
        <f>G1279*H1279</f>
        <v>97350</v>
      </c>
      <c r="L1279" s="8">
        <f>K1279*I1279/100</f>
        <v>0</v>
      </c>
      <c r="M1279" s="2" t="s">
        <v>94</v>
      </c>
      <c r="N1279" s="2" t="s">
        <v>406</v>
      </c>
      <c r="O1279" s="2">
        <v>2025</v>
      </c>
      <c r="P1279" s="2" t="str">
        <v>August</v>
      </c>
      <c r="Q1279" s="2" t="s">
        <v>21</v>
      </c>
    </row>
    <row r="1280" spans="1:17" x14ac:dyDescent="0.25">
      <c r="A1280" s="2" t="s">
        <v>2526</v>
      </c>
      <c r="B1280" s="7">
        <v>45690</v>
      </c>
      <c r="C1280" s="5" t="s">
        <v>135</v>
      </c>
      <c r="D1280" s="5" t="s">
        <v>58</v>
      </c>
      <c r="E1280" s="5" t="s">
        <v>25</v>
      </c>
      <c r="F1280" s="2" t="s">
        <v>44</v>
      </c>
      <c r="G1280" s="2">
        <v>4</v>
      </c>
      <c r="H1280" s="25">
        <v>23530</v>
      </c>
      <c r="I1280" s="8">
        <v>15</v>
      </c>
      <c r="J1280" s="25">
        <v>80002</v>
      </c>
      <c r="K1280" s="25">
        <f>G1280*H1280</f>
        <v>94120</v>
      </c>
      <c r="L1280" s="8">
        <f>K1280*I1280/100</f>
        <v>14118</v>
      </c>
      <c r="M1280" s="2" t="s">
        <v>94</v>
      </c>
      <c r="N1280" s="2" t="s">
        <v>188</v>
      </c>
      <c r="O1280" s="2">
        <v>2025</v>
      </c>
      <c r="P1280" s="2" t="str">
        <v>February</v>
      </c>
      <c r="Q1280" s="2" t="s">
        <v>21</v>
      </c>
    </row>
    <row r="1281" spans="1:17" x14ac:dyDescent="0.25">
      <c r="A1281" s="2" t="s">
        <v>2528</v>
      </c>
      <c r="B1281" s="7">
        <v>45782</v>
      </c>
      <c r="C1281" s="5" t="s">
        <v>156</v>
      </c>
      <c r="D1281" s="5" t="s">
        <v>51</v>
      </c>
      <c r="E1281" s="5" t="s">
        <v>34</v>
      </c>
      <c r="F1281" s="2" t="s">
        <v>199</v>
      </c>
      <c r="G1281" s="2">
        <v>12</v>
      </c>
      <c r="H1281" s="25">
        <v>460</v>
      </c>
      <c r="I1281" s="8">
        <v>0</v>
      </c>
      <c r="J1281" s="25">
        <v>5520</v>
      </c>
      <c r="K1281" s="25">
        <f>G1281*H1281</f>
        <v>5520</v>
      </c>
      <c r="L1281" s="8">
        <f>K1281*I1281/100</f>
        <v>0</v>
      </c>
      <c r="M1281" s="2" t="s">
        <v>102</v>
      </c>
      <c r="N1281" s="2" t="s">
        <v>54</v>
      </c>
      <c r="O1281" s="2">
        <v>2025</v>
      </c>
      <c r="P1281" s="2" t="str">
        <v>May</v>
      </c>
      <c r="Q1281" s="2" t="s">
        <v>21</v>
      </c>
    </row>
    <row r="1282" spans="1:17" x14ac:dyDescent="0.25">
      <c r="A1282" s="2" t="s">
        <v>2530</v>
      </c>
      <c r="B1282" s="7">
        <v>45975</v>
      </c>
      <c r="C1282" s="5" t="s">
        <v>135</v>
      </c>
      <c r="D1282" s="5" t="s">
        <v>58</v>
      </c>
      <c r="E1282" s="5" t="s">
        <v>34</v>
      </c>
      <c r="F1282" s="2" t="s">
        <v>35</v>
      </c>
      <c r="G1282" s="2">
        <v>7</v>
      </c>
      <c r="H1282" s="25">
        <v>2440</v>
      </c>
      <c r="I1282" s="8">
        <v>15</v>
      </c>
      <c r="J1282" s="25">
        <v>14518</v>
      </c>
      <c r="K1282" s="25">
        <f>G1282*H1282</f>
        <v>17080</v>
      </c>
      <c r="L1282" s="8">
        <f>K1282*I1282/100</f>
        <v>2562</v>
      </c>
      <c r="M1282" s="2" t="s">
        <v>94</v>
      </c>
      <c r="N1282" s="2" t="s">
        <v>79</v>
      </c>
      <c r="O1282" s="2">
        <v>2025</v>
      </c>
      <c r="P1282" s="2" t="str">
        <v>November</v>
      </c>
      <c r="Q1282" s="2" t="s">
        <v>21</v>
      </c>
    </row>
    <row r="1283" spans="1:17" x14ac:dyDescent="0.25">
      <c r="A1283" s="2" t="s">
        <v>2532</v>
      </c>
      <c r="B1283" s="7">
        <v>45767</v>
      </c>
      <c r="C1283" s="5" t="s">
        <v>24</v>
      </c>
      <c r="D1283" s="2" t="s">
        <v>16</v>
      </c>
      <c r="E1283" s="2" t="s">
        <v>25</v>
      </c>
      <c r="F1283" s="2" t="s">
        <v>248</v>
      </c>
      <c r="G1283" s="2">
        <v>3</v>
      </c>
      <c r="H1283" s="25">
        <v>480</v>
      </c>
      <c r="I1283" s="8">
        <v>0</v>
      </c>
      <c r="J1283" s="25">
        <v>1440</v>
      </c>
      <c r="K1283" s="25">
        <f>G1283*H1283</f>
        <v>1440</v>
      </c>
      <c r="L1283" s="8">
        <f>K1283*I1283/100</f>
        <v>0</v>
      </c>
      <c r="M1283" s="2" t="s">
        <v>102</v>
      </c>
      <c r="N1283" s="2" t="s">
        <v>883</v>
      </c>
      <c r="O1283" s="2">
        <v>2025</v>
      </c>
      <c r="P1283" s="2" t="str">
        <v>April</v>
      </c>
      <c r="Q1283" s="2" t="s">
        <v>47</v>
      </c>
    </row>
    <row r="1284" spans="1:17" x14ac:dyDescent="0.25">
      <c r="A1284" s="2" t="s">
        <v>2534</v>
      </c>
      <c r="B1284" s="7">
        <v>45885</v>
      </c>
      <c r="C1284" s="5" t="s">
        <v>41</v>
      </c>
      <c r="D1284" s="5" t="s">
        <v>42</v>
      </c>
      <c r="E1284" s="5" t="s">
        <v>148</v>
      </c>
      <c r="F1284" s="2" t="s">
        <v>83</v>
      </c>
      <c r="G1284" s="2">
        <v>5</v>
      </c>
      <c r="H1284" s="25">
        <v>26630</v>
      </c>
      <c r="I1284" s="8">
        <v>0</v>
      </c>
      <c r="J1284" s="25">
        <v>133150</v>
      </c>
      <c r="K1284" s="25">
        <f>G1284*H1284</f>
        <v>133150</v>
      </c>
      <c r="L1284" s="8">
        <f>K1284*I1284/100</f>
        <v>0</v>
      </c>
      <c r="M1284" s="2" t="s">
        <v>53</v>
      </c>
      <c r="N1284" s="2" t="s">
        <v>73</v>
      </c>
      <c r="O1284" s="2">
        <v>2025</v>
      </c>
      <c r="P1284" s="2" t="str">
        <v>August</v>
      </c>
      <c r="Q1284" s="2" t="s">
        <v>47</v>
      </c>
    </row>
    <row r="1285" spans="1:17" x14ac:dyDescent="0.25">
      <c r="A1285" s="2" t="s">
        <v>2536</v>
      </c>
      <c r="B1285" s="7">
        <v>45773</v>
      </c>
      <c r="C1285" s="5" t="s">
        <v>156</v>
      </c>
      <c r="D1285" s="5" t="s">
        <v>51</v>
      </c>
      <c r="E1285" s="5" t="s">
        <v>34</v>
      </c>
      <c r="F1285" s="2" t="s">
        <v>35</v>
      </c>
      <c r="G1285" s="2">
        <v>10</v>
      </c>
      <c r="H1285" s="25">
        <v>3530</v>
      </c>
      <c r="I1285" s="8">
        <v>15</v>
      </c>
      <c r="J1285" s="25">
        <v>30005</v>
      </c>
      <c r="K1285" s="25">
        <f>G1285*H1285</f>
        <v>35300</v>
      </c>
      <c r="L1285" s="8">
        <f>K1285*I1285/100</f>
        <v>5295</v>
      </c>
      <c r="M1285" s="2" t="s">
        <v>94</v>
      </c>
      <c r="N1285" s="2" t="s">
        <v>344</v>
      </c>
      <c r="O1285" s="2">
        <v>2025</v>
      </c>
      <c r="P1285" s="2" t="str">
        <v>April</v>
      </c>
      <c r="Q1285" s="2" t="s">
        <v>47</v>
      </c>
    </row>
    <row r="1286" spans="1:17" x14ac:dyDescent="0.25">
      <c r="A1286" s="2" t="s">
        <v>2538</v>
      </c>
      <c r="B1286" s="7">
        <v>45822</v>
      </c>
      <c r="C1286" s="5" t="s">
        <v>135</v>
      </c>
      <c r="D1286" s="5" t="s">
        <v>58</v>
      </c>
      <c r="E1286" s="5" t="s">
        <v>295</v>
      </c>
      <c r="F1286" s="2" t="s">
        <v>219</v>
      </c>
      <c r="G1286" s="2">
        <v>2</v>
      </c>
      <c r="H1286" s="25">
        <v>59190</v>
      </c>
      <c r="I1286" s="8">
        <v>15</v>
      </c>
      <c r="J1286" s="25">
        <v>100623</v>
      </c>
      <c r="K1286" s="25">
        <f>G1286*H1286</f>
        <v>118380</v>
      </c>
      <c r="L1286" s="8">
        <f>K1286*I1286/100</f>
        <v>17757</v>
      </c>
      <c r="M1286" s="2" t="s">
        <v>139</v>
      </c>
      <c r="N1286" s="2" t="s">
        <v>176</v>
      </c>
      <c r="O1286" s="2">
        <v>2025</v>
      </c>
      <c r="P1286" s="2" t="str">
        <v>June</v>
      </c>
      <c r="Q1286" s="2" t="s">
        <v>47</v>
      </c>
    </row>
    <row r="1287" spans="1:17" x14ac:dyDescent="0.25">
      <c r="A1287" s="2" t="s">
        <v>2540</v>
      </c>
      <c r="B1287" s="7">
        <v>45695</v>
      </c>
      <c r="C1287" s="5" t="s">
        <v>32</v>
      </c>
      <c r="D1287" s="5" t="s">
        <v>33</v>
      </c>
      <c r="E1287" s="5" t="s">
        <v>179</v>
      </c>
      <c r="F1287" s="2" t="s">
        <v>101</v>
      </c>
      <c r="G1287" s="2">
        <v>2</v>
      </c>
      <c r="H1287" s="25">
        <v>510</v>
      </c>
      <c r="I1287" s="8">
        <v>0</v>
      </c>
      <c r="J1287" s="25">
        <v>1020</v>
      </c>
      <c r="K1287" s="25">
        <f>G1287*H1287</f>
        <v>1020</v>
      </c>
      <c r="L1287" s="8">
        <f>K1287*I1287/100</f>
        <v>0</v>
      </c>
      <c r="M1287" s="2" t="s">
        <v>139</v>
      </c>
      <c r="N1287" s="2" t="s">
        <v>37</v>
      </c>
      <c r="O1287" s="2">
        <v>2025</v>
      </c>
      <c r="P1287" s="2" t="str">
        <v>February</v>
      </c>
      <c r="Q1287" s="2" t="s">
        <v>47</v>
      </c>
    </row>
    <row r="1288" spans="1:17" x14ac:dyDescent="0.25">
      <c r="A1288" s="2" t="s">
        <v>2541</v>
      </c>
      <c r="B1288" s="7">
        <v>45677</v>
      </c>
      <c r="C1288" s="5" t="s">
        <v>32</v>
      </c>
      <c r="D1288" s="5" t="s">
        <v>33</v>
      </c>
      <c r="E1288" s="5" t="s">
        <v>34</v>
      </c>
      <c r="F1288" s="2" t="s">
        <v>374</v>
      </c>
      <c r="G1288" s="2">
        <v>2</v>
      </c>
      <c r="H1288" s="25">
        <v>3240</v>
      </c>
      <c r="I1288" s="8">
        <v>15</v>
      </c>
      <c r="J1288" s="25">
        <v>5508</v>
      </c>
      <c r="K1288" s="25">
        <f>G1288*H1288</f>
        <v>6480</v>
      </c>
      <c r="L1288" s="8">
        <f>K1288*I1288/100</f>
        <v>972</v>
      </c>
      <c r="M1288" s="2" t="s">
        <v>53</v>
      </c>
      <c r="N1288" s="2" t="s">
        <v>176</v>
      </c>
      <c r="O1288" s="2">
        <v>2025</v>
      </c>
      <c r="P1288" s="2" t="str">
        <v>January</v>
      </c>
      <c r="Q1288" s="2" t="s">
        <v>47</v>
      </c>
    </row>
    <row r="1289" spans="1:17" x14ac:dyDescent="0.25">
      <c r="A1289" s="2" t="s">
        <v>2542</v>
      </c>
      <c r="B1289" s="7">
        <v>45840</v>
      </c>
      <c r="C1289" s="5" t="s">
        <v>156</v>
      </c>
      <c r="D1289" s="5" t="s">
        <v>51</v>
      </c>
      <c r="E1289" s="5" t="s">
        <v>34</v>
      </c>
      <c r="F1289" s="2" t="s">
        <v>71</v>
      </c>
      <c r="G1289" s="2">
        <v>3</v>
      </c>
      <c r="H1289" s="25">
        <v>1110</v>
      </c>
      <c r="I1289" s="8">
        <v>5</v>
      </c>
      <c r="J1289" s="25">
        <v>3163.5</v>
      </c>
      <c r="K1289" s="25">
        <f>G1289*H1289</f>
        <v>3330</v>
      </c>
      <c r="L1289" s="8">
        <f>K1289*I1289/100</f>
        <v>166.5</v>
      </c>
      <c r="M1289" s="2" t="s">
        <v>53</v>
      </c>
      <c r="N1289" s="2" t="s">
        <v>344</v>
      </c>
      <c r="O1289" s="2">
        <v>2025</v>
      </c>
      <c r="P1289" s="2" t="str">
        <v>July</v>
      </c>
      <c r="Q1289" s="2" t="s">
        <v>47</v>
      </c>
    </row>
    <row r="1290" spans="1:17" x14ac:dyDescent="0.25">
      <c r="A1290" s="2" t="s">
        <v>2543</v>
      </c>
      <c r="B1290" s="7">
        <v>45976</v>
      </c>
      <c r="C1290" s="5" t="s">
        <v>238</v>
      </c>
      <c r="D1290" s="5" t="s">
        <v>51</v>
      </c>
      <c r="E1290" s="5" t="s">
        <v>34</v>
      </c>
      <c r="F1290" s="2" t="s">
        <v>164</v>
      </c>
      <c r="G1290" s="2">
        <v>9</v>
      </c>
      <c r="H1290" s="25">
        <v>8220</v>
      </c>
      <c r="I1290" s="8">
        <v>15</v>
      </c>
      <c r="J1290" s="25">
        <v>62883</v>
      </c>
      <c r="K1290" s="25">
        <f>G1290*H1290</f>
        <v>73980</v>
      </c>
      <c r="L1290" s="8">
        <f>K1290*I1290/100</f>
        <v>11097</v>
      </c>
      <c r="M1290" s="2" t="s">
        <v>53</v>
      </c>
      <c r="N1290" s="2" t="s">
        <v>344</v>
      </c>
      <c r="O1290" s="2">
        <v>2025</v>
      </c>
      <c r="P1290" s="2" t="str">
        <v>November</v>
      </c>
      <c r="Q1290" s="2" t="s">
        <v>47</v>
      </c>
    </row>
    <row r="1291" spans="1:17" x14ac:dyDescent="0.25">
      <c r="A1291" s="2" t="s">
        <v>2545</v>
      </c>
      <c r="B1291" s="7">
        <v>45916</v>
      </c>
      <c r="C1291" s="5" t="s">
        <v>41</v>
      </c>
      <c r="D1291" s="5" t="s">
        <v>42</v>
      </c>
      <c r="E1291" s="5" t="s">
        <v>25</v>
      </c>
      <c r="F1291" s="2" t="s">
        <v>44</v>
      </c>
      <c r="G1291" s="2">
        <v>6</v>
      </c>
      <c r="H1291" s="25">
        <v>11730</v>
      </c>
      <c r="I1291" s="8">
        <v>15</v>
      </c>
      <c r="J1291" s="25">
        <v>59823</v>
      </c>
      <c r="K1291" s="25">
        <f>G1291*H1291</f>
        <v>70380</v>
      </c>
      <c r="L1291" s="8">
        <f>K1291*I1291/100</f>
        <v>10557</v>
      </c>
      <c r="M1291" s="2" t="s">
        <v>102</v>
      </c>
      <c r="N1291" s="2" t="s">
        <v>54</v>
      </c>
      <c r="O1291" s="2">
        <v>2025</v>
      </c>
      <c r="P1291" s="2" t="str">
        <v>September</v>
      </c>
      <c r="Q1291" s="2" t="s">
        <v>21</v>
      </c>
    </row>
    <row r="1292" spans="1:17" x14ac:dyDescent="0.25">
      <c r="A1292" s="2" t="s">
        <v>2547</v>
      </c>
      <c r="B1292" s="7">
        <v>45773</v>
      </c>
      <c r="C1292" s="5" t="s">
        <v>135</v>
      </c>
      <c r="D1292" s="5" t="s">
        <v>58</v>
      </c>
      <c r="E1292" s="5" t="s">
        <v>148</v>
      </c>
      <c r="F1292" s="2" t="s">
        <v>252</v>
      </c>
      <c r="G1292" s="2">
        <v>3</v>
      </c>
      <c r="H1292" s="25">
        <v>12220</v>
      </c>
      <c r="I1292" s="8">
        <v>5</v>
      </c>
      <c r="J1292" s="25">
        <v>34827</v>
      </c>
      <c r="K1292" s="25">
        <f>G1292*H1292</f>
        <v>36660</v>
      </c>
      <c r="L1292" s="8">
        <f>K1292*I1292/100</f>
        <v>1833</v>
      </c>
      <c r="M1292" s="2" t="s">
        <v>94</v>
      </c>
      <c r="N1292" s="2" t="s">
        <v>168</v>
      </c>
      <c r="O1292" s="2">
        <v>2025</v>
      </c>
      <c r="P1292" s="2" t="str">
        <v>April</v>
      </c>
      <c r="Q1292" s="2" t="s">
        <v>47</v>
      </c>
    </row>
    <row r="1293" spans="1:17" x14ac:dyDescent="0.25">
      <c r="A1293" s="2" t="s">
        <v>2548</v>
      </c>
      <c r="B1293" s="7">
        <v>45954</v>
      </c>
      <c r="C1293" s="5" t="s">
        <v>32</v>
      </c>
      <c r="D1293" s="5" t="s">
        <v>33</v>
      </c>
      <c r="E1293" s="5" t="s">
        <v>34</v>
      </c>
      <c r="F1293" s="2" t="s">
        <v>374</v>
      </c>
      <c r="G1293" s="2">
        <v>1</v>
      </c>
      <c r="H1293" s="25">
        <v>1200</v>
      </c>
      <c r="I1293" s="8">
        <v>0</v>
      </c>
      <c r="J1293" s="25">
        <v>1200</v>
      </c>
      <c r="K1293" s="25">
        <f>G1293*H1293</f>
        <v>1200</v>
      </c>
      <c r="L1293" s="8">
        <f>K1293*I1293/100</f>
        <v>0</v>
      </c>
      <c r="M1293" s="2" t="s">
        <v>139</v>
      </c>
      <c r="N1293" s="2" t="s">
        <v>73</v>
      </c>
      <c r="O1293" s="2">
        <v>2025</v>
      </c>
      <c r="P1293" s="2" t="str">
        <v>October</v>
      </c>
      <c r="Q1293" s="2" t="s">
        <v>47</v>
      </c>
    </row>
    <row r="1294" spans="1:17" x14ac:dyDescent="0.25">
      <c r="A1294" s="2" t="s">
        <v>2550</v>
      </c>
      <c r="B1294" s="7">
        <v>45702</v>
      </c>
      <c r="C1294" s="5" t="s">
        <v>32</v>
      </c>
      <c r="D1294" s="5" t="s">
        <v>33</v>
      </c>
      <c r="E1294" s="5" t="s">
        <v>25</v>
      </c>
      <c r="F1294" s="2" t="s">
        <v>26</v>
      </c>
      <c r="G1294" s="2">
        <v>7</v>
      </c>
      <c r="H1294" s="25">
        <v>3410</v>
      </c>
      <c r="I1294" s="8">
        <v>0</v>
      </c>
      <c r="J1294" s="25">
        <v>23870</v>
      </c>
      <c r="K1294" s="25">
        <f>G1294*H1294</f>
        <v>23870</v>
      </c>
      <c r="L1294" s="8">
        <f>K1294*I1294/100</f>
        <v>0</v>
      </c>
      <c r="M1294" s="2" t="s">
        <v>94</v>
      </c>
      <c r="N1294" s="2" t="s">
        <v>411</v>
      </c>
      <c r="O1294" s="2">
        <v>2025</v>
      </c>
      <c r="P1294" s="2" t="str">
        <v>February</v>
      </c>
      <c r="Q1294" s="2" t="s">
        <v>47</v>
      </c>
    </row>
    <row r="1295" spans="1:17" x14ac:dyDescent="0.25">
      <c r="A1295" s="2" t="s">
        <v>2552</v>
      </c>
      <c r="B1295" s="7">
        <v>45785</v>
      </c>
      <c r="C1295" s="5" t="s">
        <v>156</v>
      </c>
      <c r="D1295" s="5" t="s">
        <v>51</v>
      </c>
      <c r="E1295" s="5" t="s">
        <v>179</v>
      </c>
      <c r="F1295" s="2" t="s">
        <v>543</v>
      </c>
      <c r="G1295" s="2">
        <v>6</v>
      </c>
      <c r="H1295" s="25">
        <v>450</v>
      </c>
      <c r="I1295" s="8">
        <v>0</v>
      </c>
      <c r="J1295" s="25">
        <v>2700</v>
      </c>
      <c r="K1295" s="25">
        <f>G1295*H1295</f>
        <v>2700</v>
      </c>
      <c r="L1295" s="8">
        <f>K1295*I1295/100</f>
        <v>0</v>
      </c>
      <c r="M1295" s="2" t="s">
        <v>102</v>
      </c>
      <c r="N1295" s="2" t="s">
        <v>54</v>
      </c>
      <c r="O1295" s="2">
        <v>2025</v>
      </c>
      <c r="P1295" s="2" t="str">
        <v>May</v>
      </c>
      <c r="Q1295" s="2" t="s">
        <v>47</v>
      </c>
    </row>
    <row r="1296" spans="1:17" x14ac:dyDescent="0.25">
      <c r="A1296" s="2" t="s">
        <v>2554</v>
      </c>
      <c r="B1296" s="7">
        <v>45702</v>
      </c>
      <c r="C1296" s="5" t="s">
        <v>156</v>
      </c>
      <c r="D1296" s="5" t="s">
        <v>51</v>
      </c>
      <c r="E1296" s="5" t="s">
        <v>295</v>
      </c>
      <c r="F1296" s="2" t="s">
        <v>132</v>
      </c>
      <c r="G1296" s="2">
        <v>2</v>
      </c>
      <c r="H1296" s="25">
        <v>11550</v>
      </c>
      <c r="I1296" s="8">
        <v>0</v>
      </c>
      <c r="J1296" s="25">
        <v>23100</v>
      </c>
      <c r="K1296" s="25">
        <f>G1296*H1296</f>
        <v>23100</v>
      </c>
      <c r="L1296" s="8">
        <f>K1296*I1296/100</f>
        <v>0</v>
      </c>
      <c r="M1296" s="2" t="s">
        <v>139</v>
      </c>
      <c r="N1296" s="2" t="s">
        <v>46</v>
      </c>
      <c r="O1296" s="2">
        <v>2025</v>
      </c>
      <c r="P1296" s="2" t="str">
        <v>February</v>
      </c>
      <c r="Q1296" s="2" t="s">
        <v>21</v>
      </c>
    </row>
    <row r="1297" spans="1:17" x14ac:dyDescent="0.25">
      <c r="A1297" s="2" t="s">
        <v>2555</v>
      </c>
      <c r="B1297" s="7">
        <v>45805</v>
      </c>
      <c r="C1297" s="5" t="s">
        <v>238</v>
      </c>
      <c r="D1297" s="5" t="s">
        <v>51</v>
      </c>
      <c r="E1297" s="5" t="s">
        <v>179</v>
      </c>
      <c r="F1297" s="2" t="s">
        <v>232</v>
      </c>
      <c r="G1297" s="2">
        <v>12</v>
      </c>
      <c r="H1297" s="25">
        <v>8790</v>
      </c>
      <c r="I1297" s="8">
        <v>0</v>
      </c>
      <c r="J1297" s="25">
        <v>105480</v>
      </c>
      <c r="K1297" s="25">
        <f>G1297*H1297</f>
        <v>105480</v>
      </c>
      <c r="L1297" s="8">
        <f>K1297*I1297/100</f>
        <v>0</v>
      </c>
      <c r="M1297" s="2" t="s">
        <v>102</v>
      </c>
      <c r="N1297" s="2" t="s">
        <v>176</v>
      </c>
      <c r="O1297" s="2">
        <v>2025</v>
      </c>
      <c r="P1297" s="2" t="str">
        <v>May</v>
      </c>
      <c r="Q1297" s="2" t="s">
        <v>47</v>
      </c>
    </row>
    <row r="1298" spans="1:17" x14ac:dyDescent="0.25">
      <c r="A1298" s="2" t="s">
        <v>2556</v>
      </c>
      <c r="B1298" s="7">
        <v>45772</v>
      </c>
      <c r="C1298" s="5" t="s">
        <v>135</v>
      </c>
      <c r="D1298" s="5" t="s">
        <v>58</v>
      </c>
      <c r="E1298" s="5" t="s">
        <v>295</v>
      </c>
      <c r="F1298" s="2" t="s">
        <v>219</v>
      </c>
      <c r="G1298" s="2">
        <v>4</v>
      </c>
      <c r="H1298" s="25">
        <v>12220</v>
      </c>
      <c r="I1298" s="8">
        <v>0</v>
      </c>
      <c r="J1298" s="25">
        <v>48880</v>
      </c>
      <c r="K1298" s="25">
        <f>G1298*H1298</f>
        <v>48880</v>
      </c>
      <c r="L1298" s="8">
        <f>K1298*I1298/100</f>
        <v>0</v>
      </c>
      <c r="M1298" s="2" t="s">
        <v>102</v>
      </c>
      <c r="N1298" s="2" t="s">
        <v>188</v>
      </c>
      <c r="O1298" s="2">
        <v>2025</v>
      </c>
      <c r="P1298" s="2" t="str">
        <v>April</v>
      </c>
      <c r="Q1298" s="2" t="s">
        <v>21</v>
      </c>
    </row>
    <row r="1299" spans="1:17" x14ac:dyDescent="0.25">
      <c r="A1299" s="2" t="s">
        <v>2557</v>
      </c>
      <c r="B1299" s="7">
        <v>45878</v>
      </c>
      <c r="C1299" s="5" t="s">
        <v>238</v>
      </c>
      <c r="D1299" s="5" t="s">
        <v>51</v>
      </c>
      <c r="E1299" s="5" t="s">
        <v>179</v>
      </c>
      <c r="F1299" s="2" t="s">
        <v>543</v>
      </c>
      <c r="G1299" s="2">
        <v>11</v>
      </c>
      <c r="H1299" s="25">
        <v>3820</v>
      </c>
      <c r="I1299" s="8">
        <v>0</v>
      </c>
      <c r="J1299" s="25">
        <v>42020</v>
      </c>
      <c r="K1299" s="25">
        <f>G1299*H1299</f>
        <v>42020</v>
      </c>
      <c r="L1299" s="8">
        <f>K1299*I1299/100</f>
        <v>0</v>
      </c>
      <c r="M1299" s="2" t="s">
        <v>94</v>
      </c>
      <c r="N1299" s="2" t="s">
        <v>266</v>
      </c>
      <c r="O1299" s="2">
        <v>2025</v>
      </c>
      <c r="P1299" s="2" t="str">
        <v>August</v>
      </c>
      <c r="Q1299" s="2" t="s">
        <v>47</v>
      </c>
    </row>
    <row r="1300" spans="1:17" x14ac:dyDescent="0.25">
      <c r="A1300" s="2" t="s">
        <v>2558</v>
      </c>
      <c r="B1300" s="7">
        <v>45940</v>
      </c>
      <c r="C1300" s="5" t="s">
        <v>32</v>
      </c>
      <c r="D1300" s="5" t="s">
        <v>33</v>
      </c>
      <c r="E1300" s="5" t="s">
        <v>34</v>
      </c>
      <c r="F1300" s="2" t="s">
        <v>171</v>
      </c>
      <c r="G1300" s="2">
        <v>9</v>
      </c>
      <c r="H1300" s="25">
        <v>8310</v>
      </c>
      <c r="I1300" s="8">
        <v>0</v>
      </c>
      <c r="J1300" s="25">
        <v>74790</v>
      </c>
      <c r="K1300" s="25">
        <f>G1300*H1300</f>
        <v>74790</v>
      </c>
      <c r="L1300" s="8">
        <f>K1300*I1300/100</f>
        <v>0</v>
      </c>
      <c r="M1300" s="2" t="s">
        <v>139</v>
      </c>
      <c r="N1300" s="2" t="s">
        <v>176</v>
      </c>
      <c r="O1300" s="2">
        <v>2025</v>
      </c>
      <c r="P1300" s="2" t="str">
        <v>October</v>
      </c>
      <c r="Q1300" s="2" t="s">
        <v>47</v>
      </c>
    </row>
    <row r="1301" spans="1:17" x14ac:dyDescent="0.25">
      <c r="A1301" s="2" t="s">
        <v>2560</v>
      </c>
      <c r="B1301" s="7">
        <v>45738</v>
      </c>
      <c r="C1301" s="5" t="s">
        <v>41</v>
      </c>
      <c r="D1301" s="5" t="s">
        <v>42</v>
      </c>
      <c r="E1301" s="5" t="s">
        <v>148</v>
      </c>
      <c r="F1301" s="2" t="s">
        <v>435</v>
      </c>
      <c r="G1301" s="2">
        <v>5</v>
      </c>
      <c r="H1301" s="25">
        <v>13070</v>
      </c>
      <c r="I1301" s="8">
        <v>0</v>
      </c>
      <c r="J1301" s="25">
        <v>65350</v>
      </c>
      <c r="K1301" s="25">
        <f>G1301*H1301</f>
        <v>65350</v>
      </c>
      <c r="L1301" s="8">
        <f>K1301*I1301/100</f>
        <v>0</v>
      </c>
      <c r="M1301" s="2" t="s">
        <v>94</v>
      </c>
      <c r="N1301" s="2" t="s">
        <v>46</v>
      </c>
      <c r="O1301" s="2">
        <v>2025</v>
      </c>
      <c r="P1301" s="2" t="str">
        <v>March</v>
      </c>
      <c r="Q1301" s="2" t="s">
        <v>47</v>
      </c>
    </row>
    <row r="1302" spans="1:17" x14ac:dyDescent="0.25">
      <c r="A1302" s="2" t="s">
        <v>2561</v>
      </c>
      <c r="B1302" s="7">
        <v>45968</v>
      </c>
      <c r="C1302" s="5" t="s">
        <v>41</v>
      </c>
      <c r="D1302" s="5" t="s">
        <v>42</v>
      </c>
      <c r="E1302" s="5" t="s">
        <v>148</v>
      </c>
      <c r="F1302" s="2" t="s">
        <v>435</v>
      </c>
      <c r="G1302" s="2">
        <v>5</v>
      </c>
      <c r="H1302" s="25">
        <v>23310</v>
      </c>
      <c r="I1302" s="8">
        <v>15</v>
      </c>
      <c r="J1302" s="25">
        <v>99067.5</v>
      </c>
      <c r="K1302" s="25">
        <f>G1302*H1302</f>
        <v>116550</v>
      </c>
      <c r="L1302" s="8">
        <f>K1302*I1302/100</f>
        <v>17482.5</v>
      </c>
      <c r="M1302" s="2" t="s">
        <v>102</v>
      </c>
      <c r="N1302" s="2" t="s">
        <v>406</v>
      </c>
      <c r="O1302" s="2">
        <v>2025</v>
      </c>
      <c r="P1302" s="2" t="str">
        <v>November</v>
      </c>
      <c r="Q1302" s="2" t="s">
        <v>21</v>
      </c>
    </row>
    <row r="1303" spans="1:17" x14ac:dyDescent="0.25">
      <c r="A1303" s="2" t="s">
        <v>2562</v>
      </c>
      <c r="B1303" s="7">
        <v>45977</v>
      </c>
      <c r="C1303" s="5" t="s">
        <v>135</v>
      </c>
      <c r="D1303" s="5" t="s">
        <v>58</v>
      </c>
      <c r="E1303" s="5" t="s">
        <v>179</v>
      </c>
      <c r="F1303" s="2" t="s">
        <v>232</v>
      </c>
      <c r="G1303" s="2">
        <v>9</v>
      </c>
      <c r="H1303" s="25">
        <v>68840</v>
      </c>
      <c r="I1303" s="8">
        <v>0</v>
      </c>
      <c r="J1303" s="25">
        <v>619560</v>
      </c>
      <c r="K1303" s="25">
        <f>G1303*H1303</f>
        <v>619560</v>
      </c>
      <c r="L1303" s="8">
        <f>K1303*I1303/100</f>
        <v>0</v>
      </c>
      <c r="M1303" s="2" t="s">
        <v>102</v>
      </c>
      <c r="N1303" s="2" t="s">
        <v>176</v>
      </c>
      <c r="O1303" s="2">
        <v>2025</v>
      </c>
      <c r="P1303" s="2" t="str">
        <v>November</v>
      </c>
      <c r="Q1303" s="2" t="s">
        <v>21</v>
      </c>
    </row>
    <row r="1304" spans="1:17" x14ac:dyDescent="0.25">
      <c r="A1304" s="2" t="s">
        <v>2564</v>
      </c>
      <c r="B1304" s="7">
        <v>45822</v>
      </c>
      <c r="C1304" s="5" t="s">
        <v>76</v>
      </c>
      <c r="D1304" s="5" t="s">
        <v>33</v>
      </c>
      <c r="E1304" s="5" t="s">
        <v>34</v>
      </c>
      <c r="F1304" s="2" t="s">
        <v>199</v>
      </c>
      <c r="G1304" s="2">
        <v>4</v>
      </c>
      <c r="H1304" s="25">
        <v>7090</v>
      </c>
      <c r="I1304" s="8">
        <v>0</v>
      </c>
      <c r="J1304" s="25">
        <v>28360</v>
      </c>
      <c r="K1304" s="25">
        <f>G1304*H1304</f>
        <v>28360</v>
      </c>
      <c r="L1304" s="8">
        <f>K1304*I1304/100</f>
        <v>0</v>
      </c>
      <c r="M1304" s="2" t="s">
        <v>94</v>
      </c>
      <c r="N1304" s="2" t="s">
        <v>344</v>
      </c>
      <c r="O1304" s="2">
        <v>2025</v>
      </c>
      <c r="P1304" s="2" t="str">
        <v>June</v>
      </c>
      <c r="Q1304" s="2" t="s">
        <v>47</v>
      </c>
    </row>
    <row r="1305" spans="1:17" x14ac:dyDescent="0.25">
      <c r="A1305" s="2" t="s">
        <v>2565</v>
      </c>
      <c r="B1305" s="7">
        <v>45920</v>
      </c>
      <c r="C1305" s="5" t="s">
        <v>135</v>
      </c>
      <c r="D1305" s="5" t="s">
        <v>58</v>
      </c>
      <c r="E1305" s="5" t="s">
        <v>34</v>
      </c>
      <c r="F1305" s="2" t="s">
        <v>290</v>
      </c>
      <c r="G1305" s="2">
        <v>4</v>
      </c>
      <c r="H1305" s="25">
        <v>470</v>
      </c>
      <c r="I1305" s="8">
        <v>0</v>
      </c>
      <c r="J1305" s="25">
        <v>1880</v>
      </c>
      <c r="K1305" s="25">
        <f>G1305*H1305</f>
        <v>1880</v>
      </c>
      <c r="L1305" s="8">
        <f>K1305*I1305/100</f>
        <v>0</v>
      </c>
      <c r="M1305" s="2" t="s">
        <v>53</v>
      </c>
      <c r="N1305" s="2" t="s">
        <v>46</v>
      </c>
      <c r="O1305" s="2">
        <v>2025</v>
      </c>
      <c r="P1305" s="2" t="str">
        <v>September</v>
      </c>
      <c r="Q1305" s="2" t="s">
        <v>21</v>
      </c>
    </row>
    <row r="1306" spans="1:17" x14ac:dyDescent="0.25">
      <c r="A1306" s="2" t="s">
        <v>2566</v>
      </c>
      <c r="B1306" s="7">
        <v>45668</v>
      </c>
      <c r="C1306" s="5" t="s">
        <v>135</v>
      </c>
      <c r="D1306" s="5" t="s">
        <v>58</v>
      </c>
      <c r="E1306" s="5" t="s">
        <v>179</v>
      </c>
      <c r="F1306" s="2" t="s">
        <v>232</v>
      </c>
      <c r="G1306" s="2">
        <v>9</v>
      </c>
      <c r="H1306" s="25">
        <v>5100</v>
      </c>
      <c r="I1306" s="8">
        <v>5</v>
      </c>
      <c r="J1306" s="25">
        <v>43605</v>
      </c>
      <c r="K1306" s="25">
        <f>G1306*H1306</f>
        <v>45900</v>
      </c>
      <c r="L1306" s="8">
        <f>K1306*I1306/100</f>
        <v>2295</v>
      </c>
      <c r="M1306" s="2" t="s">
        <v>94</v>
      </c>
      <c r="N1306" s="2" t="s">
        <v>54</v>
      </c>
      <c r="O1306" s="2">
        <v>2025</v>
      </c>
      <c r="P1306" s="2" t="str">
        <v>January</v>
      </c>
      <c r="Q1306" s="2" t="s">
        <v>21</v>
      </c>
    </row>
    <row r="1307" spans="1:17" x14ac:dyDescent="0.25">
      <c r="A1307" s="2" t="s">
        <v>2567</v>
      </c>
      <c r="B1307" s="7">
        <v>45784</v>
      </c>
      <c r="C1307" s="5" t="s">
        <v>76</v>
      </c>
      <c r="D1307" s="5" t="s">
        <v>33</v>
      </c>
      <c r="E1307" s="5" t="s">
        <v>25</v>
      </c>
      <c r="F1307" s="2" t="s">
        <v>106</v>
      </c>
      <c r="G1307" s="2">
        <v>2</v>
      </c>
      <c r="H1307" s="25">
        <v>46610</v>
      </c>
      <c r="I1307" s="8">
        <v>0</v>
      </c>
      <c r="J1307" s="25">
        <v>93220</v>
      </c>
      <c r="K1307" s="25">
        <f>G1307*H1307</f>
        <v>93220</v>
      </c>
      <c r="L1307" s="8">
        <f>K1307*I1307/100</f>
        <v>0</v>
      </c>
      <c r="M1307" s="2" t="s">
        <v>102</v>
      </c>
      <c r="N1307" s="2" t="s">
        <v>68</v>
      </c>
      <c r="O1307" s="2">
        <v>2025</v>
      </c>
      <c r="P1307" s="2" t="str">
        <v>May</v>
      </c>
      <c r="Q1307" s="2" t="s">
        <v>21</v>
      </c>
    </row>
    <row r="1308" spans="1:17" x14ac:dyDescent="0.25">
      <c r="A1308" s="2" t="s">
        <v>2568</v>
      </c>
      <c r="B1308" s="7">
        <v>45682</v>
      </c>
      <c r="C1308" s="5" t="s">
        <v>76</v>
      </c>
      <c r="D1308" s="5" t="s">
        <v>33</v>
      </c>
      <c r="E1308" s="5" t="s">
        <v>295</v>
      </c>
      <c r="F1308" s="2" t="s">
        <v>132</v>
      </c>
      <c r="G1308" s="2">
        <v>11</v>
      </c>
      <c r="H1308" s="25">
        <v>47820</v>
      </c>
      <c r="I1308" s="8">
        <v>0</v>
      </c>
      <c r="J1308" s="25">
        <v>526020</v>
      </c>
      <c r="K1308" s="25">
        <f>G1308*H1308</f>
        <v>526020</v>
      </c>
      <c r="L1308" s="8">
        <f>K1308*I1308/100</f>
        <v>0</v>
      </c>
      <c r="M1308" s="2" t="s">
        <v>102</v>
      </c>
      <c r="N1308" s="2" t="s">
        <v>188</v>
      </c>
      <c r="O1308" s="2">
        <v>2025</v>
      </c>
      <c r="P1308" s="2" t="str">
        <v>January</v>
      </c>
      <c r="Q1308" s="2" t="s">
        <v>47</v>
      </c>
    </row>
    <row r="1309" spans="1:17" x14ac:dyDescent="0.25">
      <c r="A1309" s="2" t="s">
        <v>2570</v>
      </c>
      <c r="B1309" s="7">
        <v>45860</v>
      </c>
      <c r="C1309" s="5" t="s">
        <v>41</v>
      </c>
      <c r="D1309" s="5" t="s">
        <v>42</v>
      </c>
      <c r="E1309" s="5" t="s">
        <v>179</v>
      </c>
      <c r="F1309" s="2" t="s">
        <v>224</v>
      </c>
      <c r="G1309" s="2">
        <v>5</v>
      </c>
      <c r="H1309" s="25">
        <v>6780</v>
      </c>
      <c r="I1309" s="8">
        <v>0</v>
      </c>
      <c r="J1309" s="25">
        <v>33900</v>
      </c>
      <c r="K1309" s="25">
        <f>G1309*H1309</f>
        <v>33900</v>
      </c>
      <c r="L1309" s="8">
        <f>K1309*I1309/100</f>
        <v>0</v>
      </c>
      <c r="M1309" s="2" t="s">
        <v>139</v>
      </c>
      <c r="N1309" s="2" t="s">
        <v>46</v>
      </c>
      <c r="O1309" s="2">
        <v>2025</v>
      </c>
      <c r="P1309" s="2" t="str">
        <v>July</v>
      </c>
      <c r="Q1309" s="2" t="s">
        <v>47</v>
      </c>
    </row>
    <row r="1310" spans="1:17" x14ac:dyDescent="0.25">
      <c r="A1310" s="2" t="s">
        <v>2571</v>
      </c>
      <c r="B1310" s="7">
        <v>45760</v>
      </c>
      <c r="C1310" s="5" t="s">
        <v>24</v>
      </c>
      <c r="D1310" s="5" t="s">
        <v>16</v>
      </c>
      <c r="E1310" s="5" t="s">
        <v>295</v>
      </c>
      <c r="F1310" s="2" t="s">
        <v>314</v>
      </c>
      <c r="G1310" s="2">
        <v>5</v>
      </c>
      <c r="H1310" s="25">
        <v>1190</v>
      </c>
      <c r="I1310" s="8">
        <v>0</v>
      </c>
      <c r="J1310" s="25">
        <v>5950</v>
      </c>
      <c r="K1310" s="25">
        <f>G1310*H1310</f>
        <v>5950</v>
      </c>
      <c r="L1310" s="8">
        <f>K1310*I1310/100</f>
        <v>0</v>
      </c>
      <c r="M1310" s="2" t="s">
        <v>102</v>
      </c>
      <c r="N1310" s="2" t="s">
        <v>73</v>
      </c>
      <c r="O1310" s="2">
        <v>2025</v>
      </c>
      <c r="P1310" s="2" t="str">
        <v>April</v>
      </c>
      <c r="Q1310" s="2" t="s">
        <v>47</v>
      </c>
    </row>
    <row r="1311" spans="1:17" x14ac:dyDescent="0.25">
      <c r="A1311" s="2" t="s">
        <v>2573</v>
      </c>
      <c r="B1311" s="7">
        <v>45791</v>
      </c>
      <c r="C1311" s="5" t="s">
        <v>24</v>
      </c>
      <c r="D1311" s="5" t="s">
        <v>16</v>
      </c>
      <c r="E1311" s="5" t="s">
        <v>179</v>
      </c>
      <c r="F1311" s="2" t="s">
        <v>543</v>
      </c>
      <c r="G1311" s="2">
        <v>4</v>
      </c>
      <c r="H1311" s="25">
        <v>4740</v>
      </c>
      <c r="I1311" s="8">
        <v>0</v>
      </c>
      <c r="J1311" s="25">
        <v>18960</v>
      </c>
      <c r="K1311" s="25">
        <f>G1311*H1311</f>
        <v>18960</v>
      </c>
      <c r="L1311" s="8">
        <f>K1311*I1311/100</f>
        <v>0</v>
      </c>
      <c r="M1311" s="2" t="s">
        <v>102</v>
      </c>
      <c r="N1311" s="2" t="s">
        <v>344</v>
      </c>
      <c r="O1311" s="2">
        <v>2025</v>
      </c>
      <c r="P1311" s="2" t="str">
        <v>May</v>
      </c>
      <c r="Q1311" s="2" t="s">
        <v>47</v>
      </c>
    </row>
    <row r="1312" spans="1:17" x14ac:dyDescent="0.25">
      <c r="A1312" s="2" t="s">
        <v>2575</v>
      </c>
      <c r="B1312" s="7">
        <v>45994</v>
      </c>
      <c r="C1312" s="5" t="s">
        <v>32</v>
      </c>
      <c r="D1312" s="5" t="s">
        <v>33</v>
      </c>
      <c r="E1312" s="5" t="s">
        <v>25</v>
      </c>
      <c r="F1312" s="2" t="s">
        <v>332</v>
      </c>
      <c r="G1312" s="2">
        <v>1</v>
      </c>
      <c r="H1312" s="25">
        <v>1350</v>
      </c>
      <c r="I1312" s="8">
        <v>15</v>
      </c>
      <c r="J1312" s="25">
        <v>1147.5</v>
      </c>
      <c r="K1312" s="25">
        <f>G1312*H1312</f>
        <v>1350</v>
      </c>
      <c r="L1312" s="8">
        <f>K1312*I1312/100</f>
        <v>202.5</v>
      </c>
      <c r="M1312" s="2" t="s">
        <v>53</v>
      </c>
      <c r="N1312" s="2" t="s">
        <v>46</v>
      </c>
      <c r="O1312" s="2">
        <v>2025</v>
      </c>
      <c r="P1312" s="2" t="str">
        <v>December</v>
      </c>
      <c r="Q1312" s="2" t="s">
        <v>47</v>
      </c>
    </row>
    <row r="1313" spans="1:17" x14ac:dyDescent="0.25">
      <c r="A1313" s="2" t="s">
        <v>2577</v>
      </c>
      <c r="B1313" s="7">
        <v>45819</v>
      </c>
      <c r="C1313" s="5" t="s">
        <v>238</v>
      </c>
      <c r="D1313" s="5" t="s">
        <v>51</v>
      </c>
      <c r="E1313" s="5" t="s">
        <v>25</v>
      </c>
      <c r="F1313" s="2" t="s">
        <v>26</v>
      </c>
      <c r="G1313" s="2">
        <v>2</v>
      </c>
      <c r="H1313" s="25">
        <v>8620</v>
      </c>
      <c r="I1313" s="8">
        <v>15</v>
      </c>
      <c r="J1313" s="25">
        <v>14654</v>
      </c>
      <c r="K1313" s="25">
        <f>G1313*H1313</f>
        <v>17240</v>
      </c>
      <c r="L1313" s="8">
        <f>K1313*I1313/100</f>
        <v>2586</v>
      </c>
      <c r="M1313" s="2" t="s">
        <v>102</v>
      </c>
      <c r="N1313" s="2" t="s">
        <v>37</v>
      </c>
      <c r="O1313" s="2">
        <v>2025</v>
      </c>
      <c r="P1313" s="2" t="str">
        <v>June</v>
      </c>
      <c r="Q1313" s="2" t="s">
        <v>21</v>
      </c>
    </row>
    <row r="1314" spans="1:17" x14ac:dyDescent="0.25">
      <c r="A1314" s="2" t="s">
        <v>2578</v>
      </c>
      <c r="B1314" s="7">
        <v>45928</v>
      </c>
      <c r="C1314" s="5" t="s">
        <v>156</v>
      </c>
      <c r="D1314" s="5" t="s">
        <v>33</v>
      </c>
      <c r="E1314" s="5" t="s">
        <v>179</v>
      </c>
      <c r="F1314" s="2" t="s">
        <v>143</v>
      </c>
      <c r="G1314" s="2">
        <v>10</v>
      </c>
      <c r="H1314" s="25">
        <v>3590</v>
      </c>
      <c r="I1314" s="8">
        <v>0</v>
      </c>
      <c r="J1314" s="25">
        <v>35900</v>
      </c>
      <c r="K1314" s="25">
        <f>G1314*H1314</f>
        <v>35900</v>
      </c>
      <c r="L1314" s="8">
        <f>K1314*I1314/100</f>
        <v>0</v>
      </c>
      <c r="M1314" s="2" t="s">
        <v>94</v>
      </c>
      <c r="N1314" s="2" t="s">
        <v>411</v>
      </c>
      <c r="O1314" s="2">
        <v>2025</v>
      </c>
      <c r="P1314" s="2" t="str">
        <v>September</v>
      </c>
      <c r="Q1314" s="2" t="s">
        <v>21</v>
      </c>
    </row>
    <row r="1315" spans="1:17" x14ac:dyDescent="0.25">
      <c r="A1315" s="2" t="s">
        <v>2579</v>
      </c>
      <c r="B1315" s="7">
        <v>45825</v>
      </c>
      <c r="C1315" s="5" t="s">
        <v>41</v>
      </c>
      <c r="D1315" s="5" t="s">
        <v>42</v>
      </c>
      <c r="E1315" s="5" t="s">
        <v>295</v>
      </c>
      <c r="F1315" s="2" t="s">
        <v>101</v>
      </c>
      <c r="G1315" s="2">
        <v>12</v>
      </c>
      <c r="H1315" s="25">
        <v>480</v>
      </c>
      <c r="I1315" s="8">
        <v>0</v>
      </c>
      <c r="J1315" s="25">
        <v>5760</v>
      </c>
      <c r="K1315" s="25">
        <f>G1315*H1315</f>
        <v>5760</v>
      </c>
      <c r="L1315" s="8">
        <f>K1315*I1315/100</f>
        <v>0</v>
      </c>
      <c r="M1315" s="2" t="s">
        <v>102</v>
      </c>
      <c r="N1315" s="2" t="s">
        <v>411</v>
      </c>
      <c r="O1315" s="2">
        <v>2025</v>
      </c>
      <c r="P1315" s="2" t="str">
        <v>June</v>
      </c>
      <c r="Q1315" s="2" t="s">
        <v>21</v>
      </c>
    </row>
    <row r="1316" spans="1:17" x14ac:dyDescent="0.25">
      <c r="A1316" s="2" t="s">
        <v>2581</v>
      </c>
      <c r="B1316" s="7">
        <v>45983</v>
      </c>
      <c r="C1316" s="5" t="s">
        <v>76</v>
      </c>
      <c r="D1316" s="5" t="s">
        <v>33</v>
      </c>
      <c r="E1316" s="5" t="s">
        <v>34</v>
      </c>
      <c r="F1316" s="2" t="s">
        <v>290</v>
      </c>
      <c r="G1316" s="2">
        <v>9</v>
      </c>
      <c r="H1316" s="25">
        <v>18680</v>
      </c>
      <c r="I1316" s="8">
        <v>15</v>
      </c>
      <c r="J1316" s="25">
        <v>142902</v>
      </c>
      <c r="K1316" s="25">
        <f>G1316*H1316</f>
        <v>168120</v>
      </c>
      <c r="L1316" s="8">
        <f>K1316*I1316/100</f>
        <v>25218</v>
      </c>
      <c r="M1316" s="2" t="s">
        <v>102</v>
      </c>
      <c r="N1316" s="2" t="s">
        <v>46</v>
      </c>
      <c r="O1316" s="2">
        <v>2025</v>
      </c>
      <c r="P1316" s="2" t="str">
        <v>November</v>
      </c>
      <c r="Q1316" s="2" t="s">
        <v>21</v>
      </c>
    </row>
    <row r="1317" spans="1:17" x14ac:dyDescent="0.25">
      <c r="A1317" s="2" t="s">
        <v>2582</v>
      </c>
      <c r="B1317" s="7">
        <v>45768</v>
      </c>
      <c r="C1317" s="5" t="s">
        <v>238</v>
      </c>
      <c r="D1317" s="5" t="s">
        <v>51</v>
      </c>
      <c r="E1317" s="5" t="s">
        <v>25</v>
      </c>
      <c r="F1317" s="2" t="s">
        <v>44</v>
      </c>
      <c r="G1317" s="2">
        <v>5</v>
      </c>
      <c r="H1317" s="25">
        <v>59640</v>
      </c>
      <c r="I1317" s="8">
        <v>0</v>
      </c>
      <c r="J1317" s="25">
        <v>298200</v>
      </c>
      <c r="K1317" s="25">
        <f>G1317*H1317</f>
        <v>298200</v>
      </c>
      <c r="L1317" s="8">
        <f>K1317*I1317/100</f>
        <v>0</v>
      </c>
      <c r="M1317" s="2" t="s">
        <v>94</v>
      </c>
      <c r="N1317" s="2" t="s">
        <v>54</v>
      </c>
      <c r="O1317" s="2">
        <v>2025</v>
      </c>
      <c r="P1317" s="2" t="str">
        <v>April</v>
      </c>
      <c r="Q1317" s="2" t="s">
        <v>21</v>
      </c>
    </row>
    <row r="1318" spans="1:17" x14ac:dyDescent="0.25">
      <c r="A1318" s="2" t="s">
        <v>2583</v>
      </c>
      <c r="B1318" s="7">
        <v>45757</v>
      </c>
      <c r="C1318" s="5" t="s">
        <v>135</v>
      </c>
      <c r="D1318" s="5" t="s">
        <v>58</v>
      </c>
      <c r="E1318" s="5" t="s">
        <v>179</v>
      </c>
      <c r="F1318" s="2" t="s">
        <v>543</v>
      </c>
      <c r="G1318" s="2">
        <v>10</v>
      </c>
      <c r="H1318" s="25">
        <v>71900</v>
      </c>
      <c r="I1318" s="8">
        <v>0</v>
      </c>
      <c r="J1318" s="25">
        <v>719000</v>
      </c>
      <c r="K1318" s="25">
        <f>G1318*H1318</f>
        <v>719000</v>
      </c>
      <c r="L1318" s="8">
        <f>K1318*I1318/100</f>
        <v>0</v>
      </c>
      <c r="M1318" s="2" t="s">
        <v>94</v>
      </c>
      <c r="N1318" s="2" t="s">
        <v>406</v>
      </c>
      <c r="O1318" s="2">
        <v>2025</v>
      </c>
      <c r="P1318" s="2" t="str">
        <v>April</v>
      </c>
      <c r="Q1318" s="2" t="s">
        <v>21</v>
      </c>
    </row>
    <row r="1319" spans="1:17" x14ac:dyDescent="0.25">
      <c r="A1319" s="2" t="s">
        <v>2584</v>
      </c>
      <c r="B1319" s="7">
        <v>45991</v>
      </c>
      <c r="C1319" s="5" t="s">
        <v>41</v>
      </c>
      <c r="D1319" s="5" t="s">
        <v>42</v>
      </c>
      <c r="E1319" s="5" t="s">
        <v>25</v>
      </c>
      <c r="F1319" s="2" t="s">
        <v>255</v>
      </c>
      <c r="G1319" s="2">
        <v>10</v>
      </c>
      <c r="H1319" s="25">
        <v>5700</v>
      </c>
      <c r="I1319" s="8">
        <v>0</v>
      </c>
      <c r="J1319" s="25">
        <v>57000</v>
      </c>
      <c r="K1319" s="25">
        <f>G1319*H1319</f>
        <v>57000</v>
      </c>
      <c r="L1319" s="8">
        <f>K1319*I1319/100</f>
        <v>0</v>
      </c>
      <c r="M1319" s="2" t="s">
        <v>94</v>
      </c>
      <c r="N1319" s="2" t="s">
        <v>266</v>
      </c>
      <c r="O1319" s="2">
        <v>2025</v>
      </c>
      <c r="P1319" s="2" t="str">
        <v>November</v>
      </c>
      <c r="Q1319" s="2" t="s">
        <v>21</v>
      </c>
    </row>
    <row r="1320" spans="1:17" x14ac:dyDescent="0.25">
      <c r="A1320" s="2" t="s">
        <v>2586</v>
      </c>
      <c r="B1320" s="7">
        <v>45750</v>
      </c>
      <c r="C1320" s="5" t="s">
        <v>135</v>
      </c>
      <c r="D1320" s="5" t="s">
        <v>58</v>
      </c>
      <c r="E1320" s="5" t="s">
        <v>179</v>
      </c>
      <c r="F1320" s="2" t="s">
        <v>314</v>
      </c>
      <c r="G1320" s="2">
        <v>10</v>
      </c>
      <c r="H1320" s="25">
        <v>12320</v>
      </c>
      <c r="I1320" s="8">
        <v>0</v>
      </c>
      <c r="J1320" s="25">
        <v>123200</v>
      </c>
      <c r="K1320" s="25">
        <f>G1320*H1320</f>
        <v>123200</v>
      </c>
      <c r="L1320" s="8">
        <f>K1320*I1320/100</f>
        <v>0</v>
      </c>
      <c r="M1320" s="2" t="s">
        <v>102</v>
      </c>
      <c r="N1320" s="2" t="s">
        <v>176</v>
      </c>
      <c r="O1320" s="2">
        <v>2025</v>
      </c>
      <c r="P1320" s="2" t="str">
        <v>April</v>
      </c>
      <c r="Q1320" s="2" t="s">
        <v>21</v>
      </c>
    </row>
    <row r="1321" spans="1:17" x14ac:dyDescent="0.25">
      <c r="A1321" s="2" t="s">
        <v>2588</v>
      </c>
      <c r="B1321" s="7">
        <v>45829</v>
      </c>
      <c r="C1321" s="5" t="s">
        <v>135</v>
      </c>
      <c r="D1321" s="5" t="s">
        <v>58</v>
      </c>
      <c r="E1321" s="5" t="s">
        <v>295</v>
      </c>
      <c r="F1321" s="2" t="s">
        <v>219</v>
      </c>
      <c r="G1321" s="2">
        <v>10</v>
      </c>
      <c r="H1321" s="25">
        <v>450</v>
      </c>
      <c r="I1321" s="8">
        <v>0</v>
      </c>
      <c r="J1321" s="25">
        <v>4500</v>
      </c>
      <c r="K1321" s="25">
        <f>G1321*H1321</f>
        <v>4500</v>
      </c>
      <c r="L1321" s="8">
        <f>K1321*I1321/100</f>
        <v>0</v>
      </c>
      <c r="M1321" s="2" t="s">
        <v>94</v>
      </c>
      <c r="N1321" s="2" t="s">
        <v>341</v>
      </c>
      <c r="O1321" s="2">
        <v>2025</v>
      </c>
      <c r="P1321" s="2" t="str">
        <v>June</v>
      </c>
      <c r="Q1321" s="2" t="s">
        <v>47</v>
      </c>
    </row>
    <row r="1322" spans="1:17" x14ac:dyDescent="0.25">
      <c r="A1322" s="2" t="s">
        <v>2589</v>
      </c>
      <c r="B1322" s="7">
        <v>45722</v>
      </c>
      <c r="C1322" s="5" t="s">
        <v>41</v>
      </c>
      <c r="D1322" s="5" t="s">
        <v>42</v>
      </c>
      <c r="E1322" s="5" t="s">
        <v>148</v>
      </c>
      <c r="F1322" s="2" t="s">
        <v>149</v>
      </c>
      <c r="G1322" s="2">
        <v>8</v>
      </c>
      <c r="H1322" s="25">
        <v>8150</v>
      </c>
      <c r="I1322" s="8">
        <v>5</v>
      </c>
      <c r="J1322" s="25">
        <v>61940</v>
      </c>
      <c r="K1322" s="25">
        <f>G1322*H1322</f>
        <v>65200</v>
      </c>
      <c r="L1322" s="8">
        <f>K1322*I1322/100</f>
        <v>3260</v>
      </c>
      <c r="M1322" s="2" t="s">
        <v>94</v>
      </c>
      <c r="N1322" s="2" t="s">
        <v>406</v>
      </c>
      <c r="O1322" s="2">
        <v>2025</v>
      </c>
      <c r="P1322" s="2" t="str">
        <v>March</v>
      </c>
      <c r="Q1322" s="2" t="s">
        <v>47</v>
      </c>
    </row>
    <row r="1323" spans="1:17" x14ac:dyDescent="0.25">
      <c r="A1323" s="2" t="s">
        <v>2591</v>
      </c>
      <c r="B1323" s="7">
        <v>46020</v>
      </c>
      <c r="C1323" s="5" t="s">
        <v>76</v>
      </c>
      <c r="D1323" s="5" t="s">
        <v>33</v>
      </c>
      <c r="E1323" s="5" t="s">
        <v>179</v>
      </c>
      <c r="F1323" s="2" t="s">
        <v>167</v>
      </c>
      <c r="G1323" s="2">
        <v>9</v>
      </c>
      <c r="H1323" s="25">
        <v>2860</v>
      </c>
      <c r="I1323" s="8">
        <v>5</v>
      </c>
      <c r="J1323" s="25">
        <v>24453</v>
      </c>
      <c r="K1323" s="25">
        <f>G1323*H1323</f>
        <v>25740</v>
      </c>
      <c r="L1323" s="8">
        <f>K1323*I1323/100</f>
        <v>1287</v>
      </c>
      <c r="M1323" s="2" t="s">
        <v>102</v>
      </c>
      <c r="N1323" s="2" t="s">
        <v>168</v>
      </c>
      <c r="O1323" s="2">
        <v>2025</v>
      </c>
      <c r="P1323" s="2" t="str">
        <v>December</v>
      </c>
      <c r="Q1323" s="2" t="s">
        <v>21</v>
      </c>
    </row>
    <row r="1324" spans="1:17" x14ac:dyDescent="0.25">
      <c r="A1324" s="2" t="s">
        <v>2592</v>
      </c>
      <c r="B1324" s="7">
        <v>45768</v>
      </c>
      <c r="C1324" s="5" t="s">
        <v>135</v>
      </c>
      <c r="D1324" s="5" t="s">
        <v>58</v>
      </c>
      <c r="E1324" s="5" t="s">
        <v>148</v>
      </c>
      <c r="F1324" s="2" t="s">
        <v>149</v>
      </c>
      <c r="G1324" s="2">
        <v>9</v>
      </c>
      <c r="H1324" s="25">
        <v>490</v>
      </c>
      <c r="I1324" s="8">
        <v>0</v>
      </c>
      <c r="J1324" s="25">
        <v>4410</v>
      </c>
      <c r="K1324" s="25">
        <f>G1324*H1324</f>
        <v>4410</v>
      </c>
      <c r="L1324" s="8">
        <f>K1324*I1324/100</f>
        <v>0</v>
      </c>
      <c r="M1324" s="2" t="s">
        <v>102</v>
      </c>
      <c r="N1324" s="2" t="s">
        <v>406</v>
      </c>
      <c r="O1324" s="2">
        <v>2025</v>
      </c>
      <c r="P1324" s="2" t="str">
        <v>April</v>
      </c>
      <c r="Q1324" s="2" t="s">
        <v>47</v>
      </c>
    </row>
    <row r="1325" spans="1:17" x14ac:dyDescent="0.25">
      <c r="A1325" s="2" t="s">
        <v>2593</v>
      </c>
      <c r="B1325" s="7">
        <v>45684</v>
      </c>
      <c r="C1325" s="5" t="s">
        <v>32</v>
      </c>
      <c r="D1325" s="5" t="s">
        <v>33</v>
      </c>
      <c r="E1325" s="5" t="s">
        <v>34</v>
      </c>
      <c r="F1325" s="2" t="s">
        <v>290</v>
      </c>
      <c r="G1325" s="2">
        <v>5</v>
      </c>
      <c r="H1325" s="25">
        <v>49430</v>
      </c>
      <c r="I1325" s="8">
        <v>15</v>
      </c>
      <c r="J1325" s="25">
        <v>210077.5</v>
      </c>
      <c r="K1325" s="25">
        <f>G1325*H1325</f>
        <v>247150</v>
      </c>
      <c r="L1325" s="8">
        <f>K1325*I1325/100</f>
        <v>37072.5</v>
      </c>
      <c r="M1325" s="2" t="s">
        <v>102</v>
      </c>
      <c r="N1325" s="2" t="s">
        <v>341</v>
      </c>
      <c r="O1325" s="2">
        <v>2025</v>
      </c>
      <c r="P1325" s="2" t="str">
        <v>January</v>
      </c>
      <c r="Q1325" s="2" t="s">
        <v>47</v>
      </c>
    </row>
    <row r="1326" spans="1:17" x14ac:dyDescent="0.25">
      <c r="A1326" s="2" t="s">
        <v>2595</v>
      </c>
      <c r="B1326" s="7">
        <v>46004</v>
      </c>
      <c r="C1326" s="5" t="s">
        <v>135</v>
      </c>
      <c r="D1326" s="5" t="s">
        <v>58</v>
      </c>
      <c r="E1326" s="5" t="s">
        <v>148</v>
      </c>
      <c r="F1326" s="2" t="s">
        <v>149</v>
      </c>
      <c r="G1326" s="2">
        <v>5</v>
      </c>
      <c r="H1326" s="25">
        <v>490</v>
      </c>
      <c r="I1326" s="8">
        <v>15</v>
      </c>
      <c r="J1326" s="25">
        <v>2082.5</v>
      </c>
      <c r="K1326" s="25">
        <f>G1326*H1326</f>
        <v>2450</v>
      </c>
      <c r="L1326" s="8">
        <f>K1326*I1326/100</f>
        <v>367.5</v>
      </c>
      <c r="M1326" s="2" t="s">
        <v>102</v>
      </c>
      <c r="N1326" s="2" t="s">
        <v>46</v>
      </c>
      <c r="O1326" s="2">
        <v>2025</v>
      </c>
      <c r="P1326" s="2" t="str">
        <v>December</v>
      </c>
      <c r="Q1326" s="2" t="s">
        <v>21</v>
      </c>
    </row>
    <row r="1327" spans="1:17" x14ac:dyDescent="0.25">
      <c r="A1327" s="2" t="s">
        <v>2597</v>
      </c>
      <c r="B1327" s="7">
        <v>45832</v>
      </c>
      <c r="C1327" s="5" t="s">
        <v>41</v>
      </c>
      <c r="D1327" s="5" t="s">
        <v>42</v>
      </c>
      <c r="E1327" s="5" t="s">
        <v>148</v>
      </c>
      <c r="F1327" s="2" t="s">
        <v>209</v>
      </c>
      <c r="G1327" s="2">
        <v>6</v>
      </c>
      <c r="H1327" s="25">
        <v>46090</v>
      </c>
      <c r="I1327" s="8">
        <v>0</v>
      </c>
      <c r="J1327" s="25">
        <v>276540</v>
      </c>
      <c r="K1327" s="25">
        <f>G1327*H1327</f>
        <v>276540</v>
      </c>
      <c r="L1327" s="8">
        <f>K1327*I1327/100</f>
        <v>0</v>
      </c>
      <c r="M1327" s="2" t="s">
        <v>102</v>
      </c>
      <c r="N1327" s="2" t="s">
        <v>79</v>
      </c>
      <c r="O1327" s="2">
        <v>2025</v>
      </c>
      <c r="P1327" s="2" t="str">
        <v>June</v>
      </c>
      <c r="Q1327" s="2" t="s">
        <v>21</v>
      </c>
    </row>
    <row r="1328" spans="1:17" x14ac:dyDescent="0.25">
      <c r="A1328" s="2" t="s">
        <v>2598</v>
      </c>
      <c r="B1328" s="7">
        <v>45852</v>
      </c>
      <c r="C1328" s="5" t="s">
        <v>76</v>
      </c>
      <c r="D1328" s="5" t="s">
        <v>33</v>
      </c>
      <c r="E1328" s="5" t="s">
        <v>295</v>
      </c>
      <c r="F1328" s="2" t="s">
        <v>296</v>
      </c>
      <c r="G1328" s="2">
        <v>6</v>
      </c>
      <c r="H1328" s="25">
        <v>1310</v>
      </c>
      <c r="I1328" s="8">
        <v>15</v>
      </c>
      <c r="J1328" s="25">
        <v>6681</v>
      </c>
      <c r="K1328" s="25">
        <f>G1328*H1328</f>
        <v>7860</v>
      </c>
      <c r="L1328" s="8">
        <f>K1328*I1328/100</f>
        <v>1179</v>
      </c>
      <c r="M1328" s="2" t="s">
        <v>53</v>
      </c>
      <c r="N1328" s="2" t="s">
        <v>341</v>
      </c>
      <c r="O1328" s="2">
        <v>2025</v>
      </c>
      <c r="P1328" s="2" t="str">
        <v>July</v>
      </c>
      <c r="Q1328" s="2" t="s">
        <v>21</v>
      </c>
    </row>
    <row r="1329" spans="1:17" x14ac:dyDescent="0.25">
      <c r="A1329" s="2" t="s">
        <v>2599</v>
      </c>
      <c r="B1329" s="7">
        <v>45683</v>
      </c>
      <c r="C1329" s="5" t="s">
        <v>41</v>
      </c>
      <c r="D1329" s="5" t="s">
        <v>42</v>
      </c>
      <c r="E1329" s="5" t="s">
        <v>34</v>
      </c>
      <c r="F1329" s="2" t="s">
        <v>18</v>
      </c>
      <c r="G1329" s="2">
        <v>2</v>
      </c>
      <c r="H1329" s="25">
        <v>50810</v>
      </c>
      <c r="I1329" s="8">
        <v>0</v>
      </c>
      <c r="J1329" s="25">
        <v>101620</v>
      </c>
      <c r="K1329" s="25">
        <f>G1329*H1329</f>
        <v>101620</v>
      </c>
      <c r="L1329" s="8">
        <f>K1329*I1329/100</f>
        <v>0</v>
      </c>
      <c r="M1329" s="2" t="s">
        <v>139</v>
      </c>
      <c r="N1329" s="2" t="s">
        <v>176</v>
      </c>
      <c r="O1329" s="2">
        <v>2025</v>
      </c>
      <c r="P1329" s="2" t="str">
        <v>January</v>
      </c>
      <c r="Q1329" s="2" t="s">
        <v>21</v>
      </c>
    </row>
    <row r="1330" spans="1:17" x14ac:dyDescent="0.25">
      <c r="A1330" s="2" t="s">
        <v>2600</v>
      </c>
      <c r="B1330" s="7">
        <v>45901</v>
      </c>
      <c r="C1330" s="5" t="s">
        <v>156</v>
      </c>
      <c r="D1330" s="5" t="s">
        <v>51</v>
      </c>
      <c r="E1330" s="5" t="s">
        <v>25</v>
      </c>
      <c r="F1330" s="2" t="s">
        <v>93</v>
      </c>
      <c r="G1330" s="2">
        <v>4</v>
      </c>
      <c r="H1330" s="25">
        <v>570</v>
      </c>
      <c r="I1330" s="8">
        <v>10</v>
      </c>
      <c r="J1330" s="25">
        <v>2052</v>
      </c>
      <c r="K1330" s="25">
        <f>G1330*H1330</f>
        <v>2280</v>
      </c>
      <c r="L1330" s="8">
        <f>K1330*I1330/100</f>
        <v>228</v>
      </c>
      <c r="M1330" s="2" t="s">
        <v>102</v>
      </c>
      <c r="N1330" s="2" t="s">
        <v>176</v>
      </c>
      <c r="O1330" s="2">
        <v>2025</v>
      </c>
      <c r="P1330" s="2" t="str">
        <v>September</v>
      </c>
      <c r="Q1330" s="2" t="s">
        <v>47</v>
      </c>
    </row>
    <row r="1331" spans="1:17" x14ac:dyDescent="0.25">
      <c r="A1331" s="2" t="s">
        <v>2601</v>
      </c>
      <c r="B1331" s="7">
        <v>45681</v>
      </c>
      <c r="C1331" s="5" t="s">
        <v>238</v>
      </c>
      <c r="D1331" s="5" t="s">
        <v>51</v>
      </c>
      <c r="E1331" s="5" t="s">
        <v>148</v>
      </c>
      <c r="F1331" s="2" t="s">
        <v>379</v>
      </c>
      <c r="G1331" s="2">
        <v>7</v>
      </c>
      <c r="H1331" s="25">
        <v>3680</v>
      </c>
      <c r="I1331" s="8">
        <v>0</v>
      </c>
      <c r="J1331" s="25">
        <v>25760</v>
      </c>
      <c r="K1331" s="25">
        <f>G1331*H1331</f>
        <v>25760</v>
      </c>
      <c r="L1331" s="8">
        <f>K1331*I1331/100</f>
        <v>0</v>
      </c>
      <c r="M1331" s="2" t="s">
        <v>94</v>
      </c>
      <c r="N1331" s="2" t="s">
        <v>176</v>
      </c>
      <c r="O1331" s="2">
        <v>2025</v>
      </c>
      <c r="P1331" s="2" t="str">
        <v>January</v>
      </c>
      <c r="Q1331" s="2" t="s">
        <v>21</v>
      </c>
    </row>
    <row r="1332" spans="1:17" x14ac:dyDescent="0.25">
      <c r="A1332" s="2" t="s">
        <v>2602</v>
      </c>
      <c r="B1332" s="7">
        <v>45749</v>
      </c>
      <c r="C1332" s="5" t="s">
        <v>135</v>
      </c>
      <c r="D1332" s="5" t="s">
        <v>58</v>
      </c>
      <c r="E1332" s="5" t="s">
        <v>25</v>
      </c>
      <c r="F1332" s="2" t="s">
        <v>26</v>
      </c>
      <c r="G1332" s="2">
        <v>4</v>
      </c>
      <c r="H1332" s="25">
        <v>73680</v>
      </c>
      <c r="I1332" s="8">
        <v>0</v>
      </c>
      <c r="J1332" s="25">
        <v>294720</v>
      </c>
      <c r="K1332" s="25">
        <f>G1332*H1332</f>
        <v>294720</v>
      </c>
      <c r="L1332" s="8">
        <f>K1332*I1332/100</f>
        <v>0</v>
      </c>
      <c r="M1332" s="2" t="s">
        <v>102</v>
      </c>
      <c r="N1332" s="2" t="s">
        <v>266</v>
      </c>
      <c r="O1332" s="2">
        <v>2025</v>
      </c>
      <c r="P1332" s="2" t="str">
        <v>April</v>
      </c>
      <c r="Q1332" s="2" t="s">
        <v>21</v>
      </c>
    </row>
    <row r="1333" spans="1:17" x14ac:dyDescent="0.25">
      <c r="A1333" s="2" t="s">
        <v>2604</v>
      </c>
      <c r="B1333" s="7">
        <v>45683</v>
      </c>
      <c r="C1333" s="5" t="s">
        <v>76</v>
      </c>
      <c r="D1333" s="5" t="s">
        <v>33</v>
      </c>
      <c r="E1333" s="5" t="s">
        <v>148</v>
      </c>
      <c r="F1333" s="2" t="s">
        <v>435</v>
      </c>
      <c r="G1333" s="2">
        <v>6</v>
      </c>
      <c r="H1333" s="25">
        <v>500</v>
      </c>
      <c r="I1333" s="8">
        <v>5</v>
      </c>
      <c r="J1333" s="25">
        <v>2850</v>
      </c>
      <c r="K1333" s="25">
        <f>G1333*H1333</f>
        <v>3000</v>
      </c>
      <c r="L1333" s="8">
        <f>K1333*I1333/100</f>
        <v>150</v>
      </c>
      <c r="M1333" s="2" t="s">
        <v>102</v>
      </c>
      <c r="N1333" s="2" t="s">
        <v>266</v>
      </c>
      <c r="O1333" s="2">
        <v>2025</v>
      </c>
      <c r="P1333" s="2" t="str">
        <v>January</v>
      </c>
      <c r="Q1333" s="2" t="s">
        <v>47</v>
      </c>
    </row>
    <row r="1334" spans="1:17" x14ac:dyDescent="0.25">
      <c r="A1334" s="2" t="s">
        <v>2605</v>
      </c>
      <c r="B1334" s="7">
        <v>45827</v>
      </c>
      <c r="C1334" s="5" t="s">
        <v>156</v>
      </c>
      <c r="D1334" s="5" t="s">
        <v>51</v>
      </c>
      <c r="E1334" s="5" t="s">
        <v>148</v>
      </c>
      <c r="F1334" s="2" t="s">
        <v>83</v>
      </c>
      <c r="G1334" s="2">
        <v>10</v>
      </c>
      <c r="H1334" s="25">
        <v>47000</v>
      </c>
      <c r="I1334" s="8">
        <v>10</v>
      </c>
      <c r="J1334" s="25">
        <v>423000</v>
      </c>
      <c r="K1334" s="25">
        <f>G1334*H1334</f>
        <v>470000</v>
      </c>
      <c r="L1334" s="8">
        <f>K1334*I1334/100</f>
        <v>47000</v>
      </c>
      <c r="M1334" s="2" t="s">
        <v>139</v>
      </c>
      <c r="N1334" s="2" t="s">
        <v>266</v>
      </c>
      <c r="O1334" s="2">
        <v>2025</v>
      </c>
      <c r="P1334" s="2" t="str">
        <v>June</v>
      </c>
      <c r="Q1334" s="2" t="s">
        <v>21</v>
      </c>
    </row>
    <row r="1335" spans="1:17" x14ac:dyDescent="0.25">
      <c r="A1335" s="2" t="s">
        <v>2606</v>
      </c>
      <c r="B1335" s="7">
        <v>45962</v>
      </c>
      <c r="C1335" s="5" t="s">
        <v>238</v>
      </c>
      <c r="D1335" s="5" t="s">
        <v>51</v>
      </c>
      <c r="E1335" s="5" t="s">
        <v>295</v>
      </c>
      <c r="F1335" s="2" t="s">
        <v>314</v>
      </c>
      <c r="G1335" s="2">
        <v>4</v>
      </c>
      <c r="H1335" s="25">
        <v>460</v>
      </c>
      <c r="I1335" s="8">
        <v>5</v>
      </c>
      <c r="J1335" s="25">
        <v>1748</v>
      </c>
      <c r="K1335" s="25">
        <f>G1335*H1335</f>
        <v>1840</v>
      </c>
      <c r="L1335" s="8">
        <f>K1335*I1335/100</f>
        <v>92</v>
      </c>
      <c r="M1335" s="2" t="s">
        <v>139</v>
      </c>
      <c r="N1335" s="2" t="s">
        <v>266</v>
      </c>
      <c r="O1335" s="2">
        <v>2025</v>
      </c>
      <c r="P1335" s="2" t="str">
        <v>November</v>
      </c>
      <c r="Q1335" s="2" t="s">
        <v>47</v>
      </c>
    </row>
    <row r="1336" spans="1:17" x14ac:dyDescent="0.25">
      <c r="A1336" s="2" t="s">
        <v>2608</v>
      </c>
      <c r="B1336" s="7">
        <v>45669</v>
      </c>
      <c r="C1336" s="5" t="s">
        <v>135</v>
      </c>
      <c r="D1336" s="5" t="s">
        <v>58</v>
      </c>
      <c r="E1336" s="5" t="s">
        <v>25</v>
      </c>
      <c r="F1336" s="2" t="s">
        <v>255</v>
      </c>
      <c r="G1336" s="2">
        <v>3</v>
      </c>
      <c r="H1336" s="25">
        <v>2760</v>
      </c>
      <c r="I1336" s="8">
        <v>0</v>
      </c>
      <c r="J1336" s="25">
        <v>8280</v>
      </c>
      <c r="K1336" s="25">
        <f>G1336*H1336</f>
        <v>8280</v>
      </c>
      <c r="L1336" s="8">
        <f>K1336*I1336/100</f>
        <v>0</v>
      </c>
      <c r="M1336" s="2" t="s">
        <v>53</v>
      </c>
      <c r="N1336" s="2" t="s">
        <v>68</v>
      </c>
      <c r="O1336" s="2">
        <v>2025</v>
      </c>
      <c r="P1336" s="2" t="str">
        <v>January</v>
      </c>
      <c r="Q1336" s="2" t="s">
        <v>21</v>
      </c>
    </row>
    <row r="1337" spans="1:17" x14ac:dyDescent="0.25">
      <c r="A1337" s="2" t="s">
        <v>2610</v>
      </c>
      <c r="B1337" s="7">
        <v>45889</v>
      </c>
      <c r="C1337" s="5" t="s">
        <v>76</v>
      </c>
      <c r="D1337" s="5" t="s">
        <v>33</v>
      </c>
      <c r="E1337" s="5" t="s">
        <v>295</v>
      </c>
      <c r="F1337" s="2" t="s">
        <v>101</v>
      </c>
      <c r="G1337" s="2">
        <v>8</v>
      </c>
      <c r="H1337" s="25">
        <v>7840</v>
      </c>
      <c r="I1337" s="8">
        <v>15</v>
      </c>
      <c r="J1337" s="25">
        <v>53312</v>
      </c>
      <c r="K1337" s="25">
        <f>G1337*H1337</f>
        <v>62720</v>
      </c>
      <c r="L1337" s="8">
        <f>K1337*I1337/100</f>
        <v>9408</v>
      </c>
      <c r="M1337" s="2" t="s">
        <v>94</v>
      </c>
      <c r="N1337" s="2" t="s">
        <v>168</v>
      </c>
      <c r="O1337" s="2">
        <v>2025</v>
      </c>
      <c r="P1337" s="2" t="str">
        <v>August</v>
      </c>
      <c r="Q1337" s="2" t="s">
        <v>21</v>
      </c>
    </row>
    <row r="1338" spans="1:17" x14ac:dyDescent="0.25">
      <c r="A1338" s="2" t="s">
        <v>2612</v>
      </c>
      <c r="B1338" s="7">
        <v>45950</v>
      </c>
      <c r="C1338" s="5" t="s">
        <v>32</v>
      </c>
      <c r="D1338" s="2" t="s">
        <v>33</v>
      </c>
      <c r="E1338" s="2" t="s">
        <v>179</v>
      </c>
      <c r="F1338" s="2" t="s">
        <v>180</v>
      </c>
      <c r="G1338" s="2">
        <v>8</v>
      </c>
      <c r="H1338" s="25">
        <v>51170</v>
      </c>
      <c r="I1338" s="8">
        <v>10</v>
      </c>
      <c r="J1338" s="25">
        <v>368424</v>
      </c>
      <c r="K1338" s="25">
        <f>G1338*H1338</f>
        <v>409360</v>
      </c>
      <c r="L1338" s="8">
        <f>K1338*I1338/100</f>
        <v>40936</v>
      </c>
      <c r="M1338" s="2" t="s">
        <v>53</v>
      </c>
      <c r="N1338" s="2" t="s">
        <v>411</v>
      </c>
      <c r="O1338" s="2">
        <v>2025</v>
      </c>
      <c r="P1338" s="2" t="str">
        <v>October</v>
      </c>
      <c r="Q1338" s="2" t="s">
        <v>47</v>
      </c>
    </row>
    <row r="1339" spans="1:17" x14ac:dyDescent="0.25">
      <c r="A1339" s="2" t="s">
        <v>2614</v>
      </c>
      <c r="B1339" s="7">
        <v>45664</v>
      </c>
      <c r="C1339" s="5" t="s">
        <v>135</v>
      </c>
      <c r="D1339" s="5" t="s">
        <v>33</v>
      </c>
      <c r="E1339" s="5" t="s">
        <v>148</v>
      </c>
      <c r="F1339" s="2" t="s">
        <v>435</v>
      </c>
      <c r="G1339" s="2">
        <v>3</v>
      </c>
      <c r="H1339" s="25">
        <v>5480</v>
      </c>
      <c r="I1339" s="8">
        <v>0</v>
      </c>
      <c r="J1339" s="25">
        <v>16440</v>
      </c>
      <c r="K1339" s="25">
        <f>G1339*H1339</f>
        <v>16440</v>
      </c>
      <c r="L1339" s="8">
        <f>K1339*I1339/100</f>
        <v>0</v>
      </c>
      <c r="M1339" s="2" t="s">
        <v>139</v>
      </c>
      <c r="N1339" s="2" t="s">
        <v>79</v>
      </c>
      <c r="O1339" s="2">
        <v>2025</v>
      </c>
      <c r="P1339" s="2" t="str">
        <v>January</v>
      </c>
      <c r="Q1339" s="2" t="s">
        <v>47</v>
      </c>
    </row>
    <row r="1340" spans="1:17" x14ac:dyDescent="0.25">
      <c r="A1340" s="2" t="s">
        <v>2616</v>
      </c>
      <c r="B1340" s="7">
        <v>45730</v>
      </c>
      <c r="C1340" s="5" t="s">
        <v>238</v>
      </c>
      <c r="D1340" s="5" t="s">
        <v>51</v>
      </c>
      <c r="E1340" s="5" t="s">
        <v>148</v>
      </c>
      <c r="F1340" s="2" t="s">
        <v>435</v>
      </c>
      <c r="G1340" s="2">
        <v>8</v>
      </c>
      <c r="H1340" s="25">
        <v>5030</v>
      </c>
      <c r="I1340" s="8">
        <v>0</v>
      </c>
      <c r="J1340" s="25">
        <v>40240</v>
      </c>
      <c r="K1340" s="25">
        <f>G1340*H1340</f>
        <v>40240</v>
      </c>
      <c r="L1340" s="8">
        <f>K1340*I1340/100</f>
        <v>0</v>
      </c>
      <c r="M1340" s="2" t="s">
        <v>94</v>
      </c>
      <c r="N1340" s="2" t="s">
        <v>176</v>
      </c>
      <c r="O1340" s="2">
        <v>2025</v>
      </c>
      <c r="P1340" s="2" t="str">
        <v>March</v>
      </c>
      <c r="Q1340" s="2" t="s">
        <v>47</v>
      </c>
    </row>
    <row r="1341" spans="1:17" x14ac:dyDescent="0.25">
      <c r="A1341" s="2" t="s">
        <v>2618</v>
      </c>
      <c r="B1341" s="7">
        <v>45899</v>
      </c>
      <c r="C1341" s="5" t="s">
        <v>32</v>
      </c>
      <c r="D1341" s="5" t="s">
        <v>33</v>
      </c>
      <c r="E1341" s="5" t="s">
        <v>295</v>
      </c>
      <c r="F1341" s="2" t="s">
        <v>219</v>
      </c>
      <c r="G1341" s="2">
        <v>7</v>
      </c>
      <c r="H1341" s="25">
        <v>70060</v>
      </c>
      <c r="I1341" s="8">
        <v>15</v>
      </c>
      <c r="J1341" s="25">
        <v>416857</v>
      </c>
      <c r="K1341" s="25">
        <f>G1341*H1341</f>
        <v>490420</v>
      </c>
      <c r="L1341" s="8">
        <f>K1341*I1341/100</f>
        <v>73563</v>
      </c>
      <c r="M1341" s="2" t="s">
        <v>94</v>
      </c>
      <c r="N1341" s="2" t="s">
        <v>341</v>
      </c>
      <c r="O1341" s="2">
        <v>2025</v>
      </c>
      <c r="P1341" s="2" t="str">
        <v>August</v>
      </c>
      <c r="Q1341" s="2" t="s">
        <v>47</v>
      </c>
    </row>
    <row r="1342" spans="1:17" x14ac:dyDescent="0.25">
      <c r="A1342" s="2" t="s">
        <v>2620</v>
      </c>
      <c r="B1342" s="7">
        <v>46002</v>
      </c>
      <c r="C1342" s="5" t="s">
        <v>156</v>
      </c>
      <c r="D1342" s="5" t="s">
        <v>51</v>
      </c>
      <c r="E1342" s="5" t="s">
        <v>179</v>
      </c>
      <c r="F1342" s="2" t="s">
        <v>78</v>
      </c>
      <c r="G1342" s="2">
        <v>5</v>
      </c>
      <c r="H1342" s="25">
        <v>9510</v>
      </c>
      <c r="I1342" s="8">
        <v>0</v>
      </c>
      <c r="J1342" s="25">
        <v>47550</v>
      </c>
      <c r="K1342" s="25">
        <f>G1342*H1342</f>
        <v>47550</v>
      </c>
      <c r="L1342" s="8">
        <f>K1342*I1342/100</f>
        <v>0</v>
      </c>
      <c r="M1342" s="2" t="s">
        <v>94</v>
      </c>
      <c r="N1342" s="2" t="s">
        <v>406</v>
      </c>
      <c r="O1342" s="2">
        <v>2025</v>
      </c>
      <c r="P1342" s="2" t="str">
        <v>December</v>
      </c>
      <c r="Q1342" s="2" t="s">
        <v>21</v>
      </c>
    </row>
    <row r="1343" spans="1:17" x14ac:dyDescent="0.25">
      <c r="A1343" s="2" t="s">
        <v>2621</v>
      </c>
      <c r="B1343" s="7">
        <v>45896</v>
      </c>
      <c r="C1343" s="5" t="s">
        <v>76</v>
      </c>
      <c r="D1343" s="5" t="s">
        <v>33</v>
      </c>
      <c r="E1343" s="5" t="s">
        <v>34</v>
      </c>
      <c r="F1343" s="2" t="s">
        <v>290</v>
      </c>
      <c r="G1343" s="2">
        <v>12</v>
      </c>
      <c r="H1343" s="25">
        <v>540</v>
      </c>
      <c r="I1343" s="8">
        <v>0</v>
      </c>
      <c r="J1343" s="25">
        <v>6480</v>
      </c>
      <c r="K1343" s="25">
        <f>G1343*H1343</f>
        <v>6480</v>
      </c>
      <c r="L1343" s="8">
        <f>K1343*I1343/100</f>
        <v>0</v>
      </c>
      <c r="M1343" s="2" t="s">
        <v>102</v>
      </c>
      <c r="N1343" s="2" t="s">
        <v>344</v>
      </c>
      <c r="O1343" s="2">
        <v>2025</v>
      </c>
      <c r="P1343" s="2" t="str">
        <v>August</v>
      </c>
      <c r="Q1343" s="2" t="s">
        <v>21</v>
      </c>
    </row>
    <row r="1344" spans="1:17" x14ac:dyDescent="0.25">
      <c r="A1344" s="2" t="s">
        <v>2623</v>
      </c>
      <c r="B1344" s="7">
        <v>45892</v>
      </c>
      <c r="C1344" s="5" t="s">
        <v>41</v>
      </c>
      <c r="D1344" s="5" t="s">
        <v>33</v>
      </c>
      <c r="E1344" s="5" t="s">
        <v>148</v>
      </c>
      <c r="F1344" s="2" t="s">
        <v>379</v>
      </c>
      <c r="G1344" s="2">
        <v>12</v>
      </c>
      <c r="H1344" s="25">
        <v>7840</v>
      </c>
      <c r="I1344" s="8">
        <v>0</v>
      </c>
      <c r="J1344" s="25">
        <v>94080</v>
      </c>
      <c r="K1344" s="25">
        <f>G1344*H1344</f>
        <v>94080</v>
      </c>
      <c r="L1344" s="8">
        <f>K1344*I1344/100</f>
        <v>0</v>
      </c>
      <c r="M1344" s="2" t="s">
        <v>94</v>
      </c>
      <c r="N1344" s="2" t="s">
        <v>79</v>
      </c>
      <c r="O1344" s="2">
        <v>2025</v>
      </c>
      <c r="P1344" s="2" t="str">
        <v>August</v>
      </c>
      <c r="Q1344" s="2" t="s">
        <v>47</v>
      </c>
    </row>
    <row r="1345" spans="1:17" x14ac:dyDescent="0.25">
      <c r="A1345" s="2" t="s">
        <v>2625</v>
      </c>
      <c r="B1345" s="7">
        <v>45788</v>
      </c>
      <c r="C1345" s="5" t="s">
        <v>135</v>
      </c>
      <c r="D1345" s="5" t="s">
        <v>58</v>
      </c>
      <c r="E1345" s="5" t="s">
        <v>25</v>
      </c>
      <c r="F1345" s="2" t="s">
        <v>115</v>
      </c>
      <c r="G1345" s="2">
        <v>4</v>
      </c>
      <c r="H1345" s="25">
        <v>500</v>
      </c>
      <c r="I1345" s="8">
        <v>0</v>
      </c>
      <c r="J1345" s="25">
        <v>2000</v>
      </c>
      <c r="K1345" s="25">
        <f>G1345*H1345</f>
        <v>2000</v>
      </c>
      <c r="L1345" s="8">
        <f>K1345*I1345/100</f>
        <v>0</v>
      </c>
      <c r="M1345" s="2" t="s">
        <v>139</v>
      </c>
      <c r="N1345" s="2" t="s">
        <v>344</v>
      </c>
      <c r="O1345" s="2">
        <v>2025</v>
      </c>
      <c r="P1345" s="2" t="str">
        <v>May</v>
      </c>
      <c r="Q1345" s="2" t="s">
        <v>47</v>
      </c>
    </row>
    <row r="1346" spans="1:17" x14ac:dyDescent="0.25">
      <c r="A1346" s="2" t="s">
        <v>2626</v>
      </c>
      <c r="B1346" s="7">
        <v>45861</v>
      </c>
      <c r="C1346" s="5" t="s">
        <v>238</v>
      </c>
      <c r="D1346" s="5" t="s">
        <v>51</v>
      </c>
      <c r="E1346" s="5" t="s">
        <v>25</v>
      </c>
      <c r="F1346" s="2" t="s">
        <v>115</v>
      </c>
      <c r="G1346" s="2">
        <v>1</v>
      </c>
      <c r="H1346" s="25">
        <v>480</v>
      </c>
      <c r="I1346" s="8">
        <v>0</v>
      </c>
      <c r="J1346" s="25">
        <v>480</v>
      </c>
      <c r="K1346" s="25">
        <f>G1346*H1346</f>
        <v>480</v>
      </c>
      <c r="L1346" s="8">
        <f>K1346*I1346/100</f>
        <v>0</v>
      </c>
      <c r="M1346" s="2" t="s">
        <v>94</v>
      </c>
      <c r="N1346" s="2" t="s">
        <v>406</v>
      </c>
      <c r="O1346" s="2">
        <v>2025</v>
      </c>
      <c r="P1346" s="2" t="str">
        <v>July</v>
      </c>
      <c r="Q1346" s="2" t="s">
        <v>21</v>
      </c>
    </row>
    <row r="1347" spans="1:17" x14ac:dyDescent="0.25">
      <c r="A1347" s="2" t="s">
        <v>2627</v>
      </c>
      <c r="B1347" s="7">
        <v>45730</v>
      </c>
      <c r="C1347" s="5" t="s">
        <v>24</v>
      </c>
      <c r="D1347" s="5" t="s">
        <v>16</v>
      </c>
      <c r="E1347" s="5" t="s">
        <v>34</v>
      </c>
      <c r="F1347" s="2" t="s">
        <v>35</v>
      </c>
      <c r="G1347" s="2">
        <v>4</v>
      </c>
      <c r="H1347" s="25">
        <v>1140</v>
      </c>
      <c r="I1347" s="8">
        <v>10</v>
      </c>
      <c r="J1347" s="25">
        <v>4104</v>
      </c>
      <c r="K1347" s="25">
        <f>G1347*H1347</f>
        <v>4560</v>
      </c>
      <c r="L1347" s="8">
        <f>K1347*I1347/100</f>
        <v>456</v>
      </c>
      <c r="M1347" s="2" t="s">
        <v>94</v>
      </c>
      <c r="N1347" s="2" t="s">
        <v>266</v>
      </c>
      <c r="O1347" s="2">
        <v>2025</v>
      </c>
      <c r="P1347" s="2" t="str">
        <v>March</v>
      </c>
      <c r="Q1347" s="2" t="s">
        <v>21</v>
      </c>
    </row>
    <row r="1348" spans="1:17" x14ac:dyDescent="0.25">
      <c r="A1348" s="2" t="s">
        <v>2628</v>
      </c>
      <c r="B1348" s="7">
        <v>45882</v>
      </c>
      <c r="C1348" s="5" t="s">
        <v>41</v>
      </c>
      <c r="D1348" s="5" t="s">
        <v>42</v>
      </c>
      <c r="E1348" s="5" t="s">
        <v>295</v>
      </c>
      <c r="F1348" s="2" t="s">
        <v>219</v>
      </c>
      <c r="G1348" s="2">
        <v>4</v>
      </c>
      <c r="H1348" s="25">
        <v>24370</v>
      </c>
      <c r="I1348" s="8">
        <v>0</v>
      </c>
      <c r="J1348" s="25">
        <v>97480</v>
      </c>
      <c r="K1348" s="25">
        <f>G1348*H1348</f>
        <v>97480</v>
      </c>
      <c r="L1348" s="8">
        <f>K1348*I1348/100</f>
        <v>0</v>
      </c>
      <c r="M1348" s="2" t="s">
        <v>53</v>
      </c>
      <c r="N1348" s="2" t="s">
        <v>168</v>
      </c>
      <c r="O1348" s="2">
        <v>2025</v>
      </c>
      <c r="P1348" s="2" t="str">
        <v>August</v>
      </c>
      <c r="Q1348" s="2" t="s">
        <v>21</v>
      </c>
    </row>
    <row r="1349" spans="1:17" x14ac:dyDescent="0.25">
      <c r="A1349" s="2" t="s">
        <v>2630</v>
      </c>
      <c r="B1349" s="7">
        <v>45835</v>
      </c>
      <c r="C1349" s="5" t="s">
        <v>41</v>
      </c>
      <c r="D1349" s="5" t="s">
        <v>42</v>
      </c>
      <c r="E1349" s="5" t="s">
        <v>34</v>
      </c>
      <c r="F1349" s="2" t="s">
        <v>374</v>
      </c>
      <c r="G1349" s="2">
        <v>2</v>
      </c>
      <c r="H1349" s="25">
        <v>2460</v>
      </c>
      <c r="I1349" s="8">
        <v>5</v>
      </c>
      <c r="J1349" s="25">
        <v>4674</v>
      </c>
      <c r="K1349" s="25">
        <f>G1349*H1349</f>
        <v>4920</v>
      </c>
      <c r="L1349" s="8">
        <f>K1349*I1349/100</f>
        <v>246</v>
      </c>
      <c r="M1349" s="2" t="s">
        <v>53</v>
      </c>
      <c r="N1349" s="2" t="s">
        <v>341</v>
      </c>
      <c r="O1349" s="2">
        <v>2025</v>
      </c>
      <c r="P1349" s="2" t="str">
        <v>June</v>
      </c>
      <c r="Q1349" s="2" t="s">
        <v>47</v>
      </c>
    </row>
    <row r="1350" spans="1:17" x14ac:dyDescent="0.25">
      <c r="A1350" s="2" t="s">
        <v>2631</v>
      </c>
      <c r="B1350" s="7">
        <v>45770</v>
      </c>
      <c r="C1350" s="5" t="s">
        <v>41</v>
      </c>
      <c r="D1350" s="5" t="s">
        <v>42</v>
      </c>
      <c r="E1350" s="5" t="s">
        <v>179</v>
      </c>
      <c r="F1350" s="2" t="s">
        <v>239</v>
      </c>
      <c r="G1350" s="2">
        <v>9</v>
      </c>
      <c r="H1350" s="25">
        <v>7870</v>
      </c>
      <c r="I1350" s="8">
        <v>5</v>
      </c>
      <c r="J1350" s="25">
        <v>67288.5</v>
      </c>
      <c r="K1350" s="25">
        <f>G1350*H1350</f>
        <v>70830</v>
      </c>
      <c r="L1350" s="8">
        <f>K1350*I1350/100</f>
        <v>3541.5</v>
      </c>
      <c r="M1350" s="2" t="s">
        <v>53</v>
      </c>
      <c r="N1350" s="2" t="s">
        <v>168</v>
      </c>
      <c r="O1350" s="2">
        <v>2025</v>
      </c>
      <c r="P1350" s="2" t="str">
        <v>April</v>
      </c>
      <c r="Q1350" s="2" t="s">
        <v>47</v>
      </c>
    </row>
    <row r="1351" spans="1:17" x14ac:dyDescent="0.25">
      <c r="A1351" s="2" t="s">
        <v>2633</v>
      </c>
      <c r="B1351" s="7">
        <v>45756</v>
      </c>
      <c r="C1351" s="5" t="s">
        <v>32</v>
      </c>
      <c r="D1351" s="5" t="s">
        <v>33</v>
      </c>
      <c r="E1351" s="5" t="s">
        <v>179</v>
      </c>
      <c r="F1351" s="2" t="s">
        <v>319</v>
      </c>
      <c r="G1351" s="2">
        <v>10</v>
      </c>
      <c r="H1351" s="25">
        <v>1140</v>
      </c>
      <c r="I1351" s="8">
        <v>0</v>
      </c>
      <c r="J1351" s="25">
        <v>11400</v>
      </c>
      <c r="K1351" s="25">
        <f>G1351*H1351</f>
        <v>11400</v>
      </c>
      <c r="L1351" s="8">
        <f>K1351*I1351/100</f>
        <v>0</v>
      </c>
      <c r="M1351" s="2" t="s">
        <v>139</v>
      </c>
      <c r="N1351" s="2" t="s">
        <v>341</v>
      </c>
      <c r="O1351" s="2">
        <v>2025</v>
      </c>
      <c r="P1351" s="2" t="str">
        <v>April</v>
      </c>
      <c r="Q1351" s="2" t="s">
        <v>47</v>
      </c>
    </row>
    <row r="1352" spans="1:17" x14ac:dyDescent="0.25">
      <c r="A1352" s="2" t="s">
        <v>2635</v>
      </c>
      <c r="B1352" s="7">
        <v>45689</v>
      </c>
      <c r="C1352" s="5" t="s">
        <v>32</v>
      </c>
      <c r="D1352" s="5" t="s">
        <v>33</v>
      </c>
      <c r="E1352" s="5" t="s">
        <v>179</v>
      </c>
      <c r="F1352" s="2" t="s">
        <v>35</v>
      </c>
      <c r="G1352" s="2">
        <v>9</v>
      </c>
      <c r="H1352" s="25">
        <v>12040</v>
      </c>
      <c r="I1352" s="8">
        <v>0</v>
      </c>
      <c r="J1352" s="25">
        <v>108360</v>
      </c>
      <c r="K1352" s="25">
        <f>G1352*H1352</f>
        <v>108360</v>
      </c>
      <c r="L1352" s="8">
        <f>K1352*I1352/100</f>
        <v>0</v>
      </c>
      <c r="M1352" s="2" t="s">
        <v>139</v>
      </c>
      <c r="N1352" s="2" t="s">
        <v>344</v>
      </c>
      <c r="O1352" s="2">
        <v>2025</v>
      </c>
      <c r="P1352" s="2" t="str">
        <v>February</v>
      </c>
      <c r="Q1352" s="2" t="s">
        <v>47</v>
      </c>
    </row>
    <row r="1353" spans="1:17" x14ac:dyDescent="0.25">
      <c r="A1353" s="2" t="s">
        <v>2636</v>
      </c>
      <c r="B1353" s="7">
        <v>46017</v>
      </c>
      <c r="C1353" s="5" t="s">
        <v>156</v>
      </c>
      <c r="D1353" s="5" t="s">
        <v>51</v>
      </c>
      <c r="E1353" s="5" t="s">
        <v>148</v>
      </c>
      <c r="F1353" s="2" t="s">
        <v>60</v>
      </c>
      <c r="G1353" s="2">
        <v>6</v>
      </c>
      <c r="H1353" s="25">
        <v>1350</v>
      </c>
      <c r="I1353" s="8">
        <v>0</v>
      </c>
      <c r="J1353" s="25">
        <v>8100</v>
      </c>
      <c r="K1353" s="25">
        <f>G1353*H1353</f>
        <v>8100</v>
      </c>
      <c r="L1353" s="8">
        <f>K1353*I1353/100</f>
        <v>0</v>
      </c>
      <c r="M1353" s="2" t="s">
        <v>94</v>
      </c>
      <c r="N1353" s="2" t="s">
        <v>176</v>
      </c>
      <c r="O1353" s="2">
        <v>2025</v>
      </c>
      <c r="P1353" s="2" t="str">
        <v>December</v>
      </c>
      <c r="Q1353" s="2" t="s">
        <v>21</v>
      </c>
    </row>
    <row r="1354" spans="1:17" x14ac:dyDescent="0.25">
      <c r="A1354" s="2" t="s">
        <v>2637</v>
      </c>
      <c r="B1354" s="7">
        <v>45926</v>
      </c>
      <c r="C1354" s="5" t="s">
        <v>41</v>
      </c>
      <c r="D1354" s="5" t="s">
        <v>42</v>
      </c>
      <c r="E1354" s="5" t="s">
        <v>25</v>
      </c>
      <c r="F1354" s="2" t="s">
        <v>106</v>
      </c>
      <c r="G1354" s="2">
        <v>8</v>
      </c>
      <c r="H1354" s="25">
        <v>59330</v>
      </c>
      <c r="I1354" s="8">
        <v>0</v>
      </c>
      <c r="J1354" s="25">
        <v>474640</v>
      </c>
      <c r="K1354" s="25">
        <f>G1354*H1354</f>
        <v>474640</v>
      </c>
      <c r="L1354" s="8">
        <f>K1354*I1354/100</f>
        <v>0</v>
      </c>
      <c r="M1354" s="2" t="s">
        <v>102</v>
      </c>
      <c r="N1354" s="2" t="s">
        <v>188</v>
      </c>
      <c r="O1354" s="2">
        <v>2025</v>
      </c>
      <c r="P1354" s="2" t="str">
        <v>September</v>
      </c>
      <c r="Q1354" s="2" t="s">
        <v>21</v>
      </c>
    </row>
    <row r="1355" spans="1:17" x14ac:dyDescent="0.25">
      <c r="A1355" s="2" t="s">
        <v>2639</v>
      </c>
      <c r="B1355" s="7">
        <v>45717</v>
      </c>
      <c r="C1355" s="5" t="s">
        <v>32</v>
      </c>
      <c r="D1355" s="5" t="s">
        <v>33</v>
      </c>
      <c r="E1355" s="5" t="s">
        <v>34</v>
      </c>
      <c r="F1355" s="2" t="s">
        <v>164</v>
      </c>
      <c r="G1355" s="2">
        <v>3</v>
      </c>
      <c r="H1355" s="25">
        <v>41670</v>
      </c>
      <c r="I1355" s="8">
        <v>10</v>
      </c>
      <c r="J1355" s="25">
        <v>112509</v>
      </c>
      <c r="K1355" s="25">
        <f>G1355*H1355</f>
        <v>125010</v>
      </c>
      <c r="L1355" s="8">
        <f>K1355*I1355/100</f>
        <v>12501</v>
      </c>
      <c r="M1355" s="2" t="s">
        <v>139</v>
      </c>
      <c r="N1355" s="2" t="s">
        <v>344</v>
      </c>
      <c r="O1355" s="2">
        <v>2025</v>
      </c>
      <c r="P1355" s="2" t="str">
        <v>March</v>
      </c>
      <c r="Q1355" s="2" t="s">
        <v>47</v>
      </c>
    </row>
    <row r="1356" spans="1:17" x14ac:dyDescent="0.25">
      <c r="A1356" s="2" t="s">
        <v>2640</v>
      </c>
      <c r="B1356" s="7">
        <v>45891</v>
      </c>
      <c r="C1356" s="5" t="s">
        <v>32</v>
      </c>
      <c r="D1356" s="5" t="s">
        <v>33</v>
      </c>
      <c r="E1356" s="5" t="s">
        <v>295</v>
      </c>
      <c r="F1356" s="2" t="s">
        <v>66</v>
      </c>
      <c r="G1356" s="2">
        <v>9</v>
      </c>
      <c r="H1356" s="25">
        <v>510</v>
      </c>
      <c r="I1356" s="8">
        <v>0</v>
      </c>
      <c r="J1356" s="25">
        <v>4590</v>
      </c>
      <c r="K1356" s="25">
        <f>G1356*H1356</f>
        <v>4590</v>
      </c>
      <c r="L1356" s="8">
        <f>K1356*I1356/100</f>
        <v>0</v>
      </c>
      <c r="M1356" s="2" t="s">
        <v>102</v>
      </c>
      <c r="N1356" s="2" t="s">
        <v>341</v>
      </c>
      <c r="O1356" s="2">
        <v>2025</v>
      </c>
      <c r="P1356" s="2" t="str">
        <v>August</v>
      </c>
      <c r="Q1356" s="2" t="s">
        <v>47</v>
      </c>
    </row>
    <row r="1357" spans="1:17" x14ac:dyDescent="0.25">
      <c r="A1357" s="2" t="s">
        <v>2641</v>
      </c>
      <c r="B1357" s="7">
        <v>46022</v>
      </c>
      <c r="C1357" s="5" t="s">
        <v>156</v>
      </c>
      <c r="D1357" s="5" t="s">
        <v>51</v>
      </c>
      <c r="E1357" s="5" t="s">
        <v>179</v>
      </c>
      <c r="F1357" s="2" t="s">
        <v>379</v>
      </c>
      <c r="G1357" s="2">
        <v>2</v>
      </c>
      <c r="H1357" s="25">
        <v>16950</v>
      </c>
      <c r="I1357" s="8">
        <v>0</v>
      </c>
      <c r="J1357" s="25">
        <v>33900</v>
      </c>
      <c r="K1357" s="25">
        <f>G1357*H1357</f>
        <v>33900</v>
      </c>
      <c r="L1357" s="8">
        <f>K1357*I1357/100</f>
        <v>0</v>
      </c>
      <c r="M1357" s="2" t="s">
        <v>53</v>
      </c>
      <c r="N1357" s="2" t="s">
        <v>46</v>
      </c>
      <c r="O1357" s="2">
        <v>2025</v>
      </c>
      <c r="P1357" s="2" t="str">
        <v>December</v>
      </c>
      <c r="Q1357" s="2" t="s">
        <v>47</v>
      </c>
    </row>
    <row r="1358" spans="1:17" x14ac:dyDescent="0.25">
      <c r="A1358" s="2" t="s">
        <v>2642</v>
      </c>
      <c r="B1358" s="7">
        <v>45760</v>
      </c>
      <c r="C1358" s="5" t="s">
        <v>41</v>
      </c>
      <c r="D1358" s="5" t="s">
        <v>42</v>
      </c>
      <c r="E1358" s="5" t="s">
        <v>34</v>
      </c>
      <c r="F1358" s="2" t="s">
        <v>374</v>
      </c>
      <c r="G1358" s="2">
        <v>4</v>
      </c>
      <c r="H1358" s="25">
        <v>1190</v>
      </c>
      <c r="I1358" s="8">
        <v>15</v>
      </c>
      <c r="J1358" s="25">
        <v>4046</v>
      </c>
      <c r="K1358" s="25">
        <f>G1358*H1358</f>
        <v>4760</v>
      </c>
      <c r="L1358" s="8">
        <f>K1358*I1358/100</f>
        <v>714</v>
      </c>
      <c r="M1358" s="2" t="s">
        <v>94</v>
      </c>
      <c r="N1358" s="2" t="s">
        <v>883</v>
      </c>
      <c r="O1358" s="2">
        <v>2025</v>
      </c>
      <c r="P1358" s="2" t="str">
        <v>April</v>
      </c>
      <c r="Q1358" s="2" t="s">
        <v>21</v>
      </c>
    </row>
    <row r="1359" spans="1:17" x14ac:dyDescent="0.25">
      <c r="A1359" s="2" t="s">
        <v>2644</v>
      </c>
      <c r="B1359" s="7">
        <v>46006</v>
      </c>
      <c r="C1359" s="5" t="s">
        <v>76</v>
      </c>
      <c r="D1359" s="5" t="s">
        <v>33</v>
      </c>
      <c r="E1359" s="5" t="s">
        <v>25</v>
      </c>
      <c r="F1359" s="2" t="s">
        <v>332</v>
      </c>
      <c r="G1359" s="2">
        <v>6</v>
      </c>
      <c r="H1359" s="25">
        <v>1180</v>
      </c>
      <c r="I1359" s="8">
        <v>0</v>
      </c>
      <c r="J1359" s="25">
        <v>7080</v>
      </c>
      <c r="K1359" s="25">
        <f>G1359*H1359</f>
        <v>7080</v>
      </c>
      <c r="L1359" s="8">
        <f>K1359*I1359/100</f>
        <v>0</v>
      </c>
      <c r="M1359" s="2" t="s">
        <v>139</v>
      </c>
      <c r="N1359" s="2" t="s">
        <v>168</v>
      </c>
      <c r="O1359" s="2">
        <v>2025</v>
      </c>
      <c r="P1359" s="2" t="str">
        <v>December</v>
      </c>
      <c r="Q1359" s="2" t="s">
        <v>21</v>
      </c>
    </row>
    <row r="1360" spans="1:17" x14ac:dyDescent="0.25">
      <c r="A1360" s="2" t="s">
        <v>2646</v>
      </c>
      <c r="B1360" s="7">
        <v>45797</v>
      </c>
      <c r="C1360" s="5" t="s">
        <v>24</v>
      </c>
      <c r="D1360" s="5" t="s">
        <v>16</v>
      </c>
      <c r="E1360" s="5" t="s">
        <v>34</v>
      </c>
      <c r="F1360" s="2" t="s">
        <v>18</v>
      </c>
      <c r="G1360" s="2">
        <v>6</v>
      </c>
      <c r="H1360" s="25">
        <v>1360</v>
      </c>
      <c r="I1360" s="8">
        <v>10</v>
      </c>
      <c r="J1360" s="25">
        <v>7344</v>
      </c>
      <c r="K1360" s="25">
        <f>G1360*H1360</f>
        <v>8160</v>
      </c>
      <c r="L1360" s="8">
        <f>K1360*I1360/100</f>
        <v>816</v>
      </c>
      <c r="M1360" s="2" t="s">
        <v>139</v>
      </c>
      <c r="N1360" s="2" t="s">
        <v>411</v>
      </c>
      <c r="O1360" s="2">
        <v>2025</v>
      </c>
      <c r="P1360" s="2" t="str">
        <v>May</v>
      </c>
      <c r="Q1360" s="2" t="s">
        <v>47</v>
      </c>
    </row>
    <row r="1361" spans="1:17" x14ac:dyDescent="0.25">
      <c r="A1361" s="2" t="s">
        <v>2647</v>
      </c>
      <c r="B1361" s="7">
        <v>45674</v>
      </c>
      <c r="C1361" s="5" t="s">
        <v>76</v>
      </c>
      <c r="D1361" s="5" t="s">
        <v>33</v>
      </c>
      <c r="E1361" s="5" t="s">
        <v>179</v>
      </c>
      <c r="F1361" s="2" t="s">
        <v>143</v>
      </c>
      <c r="G1361" s="2">
        <v>12</v>
      </c>
      <c r="H1361" s="25">
        <v>4740</v>
      </c>
      <c r="I1361" s="8">
        <v>0</v>
      </c>
      <c r="J1361" s="25">
        <v>56880</v>
      </c>
      <c r="K1361" s="25">
        <f>G1361*H1361</f>
        <v>56880</v>
      </c>
      <c r="L1361" s="8">
        <f>K1361*I1361/100</f>
        <v>0</v>
      </c>
      <c r="M1361" s="2" t="s">
        <v>102</v>
      </c>
      <c r="N1361" s="2" t="s">
        <v>68</v>
      </c>
      <c r="O1361" s="2">
        <v>2025</v>
      </c>
      <c r="P1361" s="2" t="str">
        <v>January</v>
      </c>
      <c r="Q1361" s="2" t="s">
        <v>21</v>
      </c>
    </row>
    <row r="1362" spans="1:17" x14ac:dyDescent="0.25">
      <c r="A1362" s="2" t="s">
        <v>2649</v>
      </c>
      <c r="B1362" s="7">
        <v>45674</v>
      </c>
      <c r="C1362" s="5" t="s">
        <v>32</v>
      </c>
      <c r="D1362" s="5" t="s">
        <v>33</v>
      </c>
      <c r="E1362" s="5" t="s">
        <v>148</v>
      </c>
      <c r="F1362" s="2" t="s">
        <v>252</v>
      </c>
      <c r="G1362" s="2">
        <v>5</v>
      </c>
      <c r="H1362" s="25">
        <v>4720</v>
      </c>
      <c r="I1362" s="8">
        <v>0</v>
      </c>
      <c r="J1362" s="25">
        <v>23600</v>
      </c>
      <c r="K1362" s="25">
        <f>G1362*H1362</f>
        <v>23600</v>
      </c>
      <c r="L1362" s="8">
        <f>K1362*I1362/100</f>
        <v>0</v>
      </c>
      <c r="M1362" s="2" t="s">
        <v>102</v>
      </c>
      <c r="N1362" s="2" t="s">
        <v>46</v>
      </c>
      <c r="O1362" s="2">
        <v>2025</v>
      </c>
      <c r="P1362" s="2" t="str">
        <v>January</v>
      </c>
      <c r="Q1362" s="2" t="s">
        <v>21</v>
      </c>
    </row>
    <row r="1363" spans="1:17" x14ac:dyDescent="0.25">
      <c r="A1363" s="2" t="s">
        <v>2650</v>
      </c>
      <c r="B1363" s="7">
        <v>45793</v>
      </c>
      <c r="C1363" s="5" t="s">
        <v>135</v>
      </c>
      <c r="D1363" s="5" t="s">
        <v>33</v>
      </c>
      <c r="E1363" s="5" t="s">
        <v>295</v>
      </c>
      <c r="F1363" s="2" t="s">
        <v>296</v>
      </c>
      <c r="G1363" s="2">
        <v>6</v>
      </c>
      <c r="H1363" s="25">
        <v>17260</v>
      </c>
      <c r="I1363" s="8">
        <v>0</v>
      </c>
      <c r="J1363" s="25">
        <v>103560</v>
      </c>
      <c r="K1363" s="25">
        <f>G1363*H1363</f>
        <v>103560</v>
      </c>
      <c r="L1363" s="8">
        <f>K1363*I1363/100</f>
        <v>0</v>
      </c>
      <c r="M1363" s="2" t="s">
        <v>102</v>
      </c>
      <c r="N1363" s="2" t="s">
        <v>411</v>
      </c>
      <c r="O1363" s="2">
        <v>2025</v>
      </c>
      <c r="P1363" s="2" t="str">
        <v>May</v>
      </c>
      <c r="Q1363" s="2" t="s">
        <v>21</v>
      </c>
    </row>
    <row r="1364" spans="1:17" x14ac:dyDescent="0.25">
      <c r="A1364" s="2" t="s">
        <v>2651</v>
      </c>
      <c r="B1364" s="7">
        <v>45752</v>
      </c>
      <c r="C1364" s="5" t="s">
        <v>32</v>
      </c>
      <c r="D1364" s="5" t="s">
        <v>33</v>
      </c>
      <c r="E1364" s="5" t="s">
        <v>179</v>
      </c>
      <c r="F1364" s="2" t="s">
        <v>143</v>
      </c>
      <c r="G1364" s="2">
        <v>1</v>
      </c>
      <c r="H1364" s="25">
        <v>17850</v>
      </c>
      <c r="I1364" s="8">
        <v>0</v>
      </c>
      <c r="J1364" s="25">
        <v>17850</v>
      </c>
      <c r="K1364" s="25">
        <f>G1364*H1364</f>
        <v>17850</v>
      </c>
      <c r="L1364" s="8">
        <f>K1364*I1364/100</f>
        <v>0</v>
      </c>
      <c r="M1364" s="2" t="s">
        <v>139</v>
      </c>
      <c r="N1364" s="2" t="s">
        <v>188</v>
      </c>
      <c r="O1364" s="2">
        <v>2025</v>
      </c>
      <c r="P1364" s="2" t="str">
        <v>April</v>
      </c>
      <c r="Q1364" s="2" t="s">
        <v>47</v>
      </c>
    </row>
    <row r="1365" spans="1:17" x14ac:dyDescent="0.25">
      <c r="A1365" s="2" t="s">
        <v>2652</v>
      </c>
      <c r="B1365" s="7">
        <v>45826</v>
      </c>
      <c r="C1365" s="5" t="s">
        <v>238</v>
      </c>
      <c r="D1365" s="5" t="s">
        <v>51</v>
      </c>
      <c r="E1365" s="5" t="s">
        <v>34</v>
      </c>
      <c r="F1365" s="2" t="s">
        <v>35</v>
      </c>
      <c r="G1365" s="2">
        <v>7</v>
      </c>
      <c r="H1365" s="25">
        <v>8000</v>
      </c>
      <c r="I1365" s="8">
        <v>0</v>
      </c>
      <c r="J1365" s="25">
        <v>56000</v>
      </c>
      <c r="K1365" s="25">
        <f>G1365*H1365</f>
        <v>56000</v>
      </c>
      <c r="L1365" s="8">
        <f>K1365*I1365/100</f>
        <v>0</v>
      </c>
      <c r="M1365" s="2" t="s">
        <v>102</v>
      </c>
      <c r="N1365" s="2" t="s">
        <v>883</v>
      </c>
      <c r="O1365" s="2">
        <v>2025</v>
      </c>
      <c r="P1365" s="2" t="str">
        <v>June</v>
      </c>
      <c r="Q1365" s="2" t="s">
        <v>21</v>
      </c>
    </row>
    <row r="1366" spans="1:17" x14ac:dyDescent="0.25">
      <c r="A1366" s="2" t="s">
        <v>2653</v>
      </c>
      <c r="B1366" s="7">
        <v>45759</v>
      </c>
      <c r="C1366" s="5" t="s">
        <v>32</v>
      </c>
      <c r="D1366" s="5" t="s">
        <v>33</v>
      </c>
      <c r="E1366" s="5" t="s">
        <v>179</v>
      </c>
      <c r="F1366" s="2" t="s">
        <v>543</v>
      </c>
      <c r="G1366" s="2">
        <v>5</v>
      </c>
      <c r="H1366" s="25">
        <v>9160</v>
      </c>
      <c r="I1366" s="8">
        <v>0</v>
      </c>
      <c r="J1366" s="25">
        <v>45800</v>
      </c>
      <c r="K1366" s="25">
        <f>G1366*H1366</f>
        <v>45800</v>
      </c>
      <c r="L1366" s="8">
        <f>K1366*I1366/100</f>
        <v>0</v>
      </c>
      <c r="M1366" s="2" t="s">
        <v>53</v>
      </c>
      <c r="N1366" s="2" t="s">
        <v>73</v>
      </c>
      <c r="O1366" s="2">
        <v>2025</v>
      </c>
      <c r="P1366" s="2" t="str">
        <v>April</v>
      </c>
      <c r="Q1366" s="2" t="s">
        <v>21</v>
      </c>
    </row>
    <row r="1367" spans="1:17" x14ac:dyDescent="0.25">
      <c r="A1367" s="2" t="s">
        <v>2654</v>
      </c>
      <c r="B1367" s="7">
        <v>45833</v>
      </c>
      <c r="C1367" s="5" t="s">
        <v>24</v>
      </c>
      <c r="D1367" s="5" t="s">
        <v>16</v>
      </c>
      <c r="E1367" s="5" t="s">
        <v>179</v>
      </c>
      <c r="F1367" s="2" t="s">
        <v>239</v>
      </c>
      <c r="G1367" s="2">
        <v>9</v>
      </c>
      <c r="H1367" s="25">
        <v>11340</v>
      </c>
      <c r="I1367" s="8">
        <v>0</v>
      </c>
      <c r="J1367" s="25">
        <v>102060</v>
      </c>
      <c r="K1367" s="25">
        <f>G1367*H1367</f>
        <v>102060</v>
      </c>
      <c r="L1367" s="8">
        <f>K1367*I1367/100</f>
        <v>0</v>
      </c>
      <c r="M1367" s="2" t="s">
        <v>94</v>
      </c>
      <c r="N1367" s="2" t="s">
        <v>176</v>
      </c>
      <c r="O1367" s="2">
        <v>2025</v>
      </c>
      <c r="P1367" s="2" t="str">
        <v>June</v>
      </c>
      <c r="Q1367" s="2" t="s">
        <v>21</v>
      </c>
    </row>
    <row r="1368" spans="1:17" x14ac:dyDescent="0.25">
      <c r="A1368" s="2" t="s">
        <v>2655</v>
      </c>
      <c r="B1368" s="7">
        <v>45689</v>
      </c>
      <c r="C1368" s="5" t="s">
        <v>238</v>
      </c>
      <c r="D1368" s="5" t="s">
        <v>51</v>
      </c>
      <c r="E1368" s="5" t="s">
        <v>25</v>
      </c>
      <c r="F1368" s="2" t="s">
        <v>255</v>
      </c>
      <c r="G1368" s="2">
        <v>4</v>
      </c>
      <c r="H1368" s="25">
        <v>500</v>
      </c>
      <c r="I1368" s="8">
        <v>0</v>
      </c>
      <c r="J1368" s="25">
        <v>2000</v>
      </c>
      <c r="K1368" s="25">
        <f>G1368*H1368</f>
        <v>2000</v>
      </c>
      <c r="L1368" s="8">
        <f>K1368*I1368/100</f>
        <v>0</v>
      </c>
      <c r="M1368" s="2" t="s">
        <v>102</v>
      </c>
      <c r="N1368" s="2" t="s">
        <v>344</v>
      </c>
      <c r="O1368" s="2">
        <v>2025</v>
      </c>
      <c r="P1368" s="2" t="str">
        <v>February</v>
      </c>
      <c r="Q1368" s="2" t="s">
        <v>47</v>
      </c>
    </row>
    <row r="1369" spans="1:17" x14ac:dyDescent="0.25">
      <c r="A1369" s="2" t="s">
        <v>2656</v>
      </c>
      <c r="B1369" s="7">
        <v>45912</v>
      </c>
      <c r="C1369" s="5" t="s">
        <v>24</v>
      </c>
      <c r="D1369" s="5" t="s">
        <v>16</v>
      </c>
      <c r="E1369" s="5" t="s">
        <v>34</v>
      </c>
      <c r="F1369" s="2" t="s">
        <v>35</v>
      </c>
      <c r="G1369" s="2">
        <v>1</v>
      </c>
      <c r="H1369" s="25">
        <v>5610</v>
      </c>
      <c r="I1369" s="8">
        <v>5</v>
      </c>
      <c r="J1369" s="25">
        <v>5329.5</v>
      </c>
      <c r="K1369" s="25">
        <f>G1369*H1369</f>
        <v>5610</v>
      </c>
      <c r="L1369" s="8">
        <f>K1369*I1369/100</f>
        <v>280.5</v>
      </c>
      <c r="M1369" s="2" t="s">
        <v>139</v>
      </c>
      <c r="N1369" s="2" t="s">
        <v>79</v>
      </c>
      <c r="O1369" s="2">
        <v>2025</v>
      </c>
      <c r="P1369" s="2" t="str">
        <v>September</v>
      </c>
      <c r="Q1369" s="2" t="s">
        <v>47</v>
      </c>
    </row>
    <row r="1370" spans="1:17" x14ac:dyDescent="0.25">
      <c r="A1370" s="2" t="s">
        <v>2658</v>
      </c>
      <c r="B1370" s="7">
        <v>46021</v>
      </c>
      <c r="C1370" s="5" t="s">
        <v>32</v>
      </c>
      <c r="D1370" s="5" t="s">
        <v>33</v>
      </c>
      <c r="E1370" s="5" t="s">
        <v>179</v>
      </c>
      <c r="F1370" s="2" t="s">
        <v>143</v>
      </c>
      <c r="G1370" s="2">
        <v>11</v>
      </c>
      <c r="H1370" s="25">
        <v>1360</v>
      </c>
      <c r="I1370" s="8">
        <v>10</v>
      </c>
      <c r="J1370" s="25">
        <v>13464</v>
      </c>
      <c r="K1370" s="25">
        <f>G1370*H1370</f>
        <v>14960</v>
      </c>
      <c r="L1370" s="8">
        <f>K1370*I1370/100</f>
        <v>1496</v>
      </c>
      <c r="M1370" s="2" t="s">
        <v>139</v>
      </c>
      <c r="N1370" s="2" t="s">
        <v>411</v>
      </c>
      <c r="O1370" s="2">
        <v>2025</v>
      </c>
      <c r="P1370" s="2" t="str">
        <v>December</v>
      </c>
      <c r="Q1370" s="2" t="s">
        <v>47</v>
      </c>
    </row>
    <row r="1371" spans="1:17" x14ac:dyDescent="0.25">
      <c r="A1371" s="2" t="s">
        <v>2659</v>
      </c>
      <c r="B1371" s="7">
        <v>45806</v>
      </c>
      <c r="C1371" s="5" t="s">
        <v>76</v>
      </c>
      <c r="D1371" s="5" t="s">
        <v>33</v>
      </c>
      <c r="E1371" s="5" t="s">
        <v>179</v>
      </c>
      <c r="F1371" s="2" t="s">
        <v>232</v>
      </c>
      <c r="G1371" s="2">
        <v>3</v>
      </c>
      <c r="H1371" s="25">
        <v>13330</v>
      </c>
      <c r="I1371" s="8">
        <v>0</v>
      </c>
      <c r="J1371" s="25">
        <v>39990</v>
      </c>
      <c r="K1371" s="25">
        <f>G1371*H1371</f>
        <v>39990</v>
      </c>
      <c r="L1371" s="8">
        <f>K1371*I1371/100</f>
        <v>0</v>
      </c>
      <c r="M1371" s="2" t="s">
        <v>139</v>
      </c>
      <c r="N1371" s="2" t="s">
        <v>68</v>
      </c>
      <c r="O1371" s="2">
        <v>2025</v>
      </c>
      <c r="P1371" s="2" t="str">
        <v>May</v>
      </c>
      <c r="Q1371" s="2" t="s">
        <v>21</v>
      </c>
    </row>
    <row r="1372" spans="1:17" x14ac:dyDescent="0.25">
      <c r="A1372" s="2" t="s">
        <v>2661</v>
      </c>
      <c r="B1372" s="7">
        <v>45689</v>
      </c>
      <c r="C1372" s="5" t="s">
        <v>135</v>
      </c>
      <c r="D1372" s="5" t="s">
        <v>58</v>
      </c>
      <c r="E1372" s="5" t="s">
        <v>148</v>
      </c>
      <c r="F1372" s="2" t="s">
        <v>60</v>
      </c>
      <c r="G1372" s="2">
        <v>2</v>
      </c>
      <c r="H1372" s="25">
        <v>65850</v>
      </c>
      <c r="I1372" s="8">
        <v>5</v>
      </c>
      <c r="J1372" s="25">
        <v>125115</v>
      </c>
      <c r="K1372" s="25">
        <f>G1372*H1372</f>
        <v>131700</v>
      </c>
      <c r="L1372" s="8">
        <f>K1372*I1372/100</f>
        <v>6585</v>
      </c>
      <c r="M1372" s="2" t="s">
        <v>53</v>
      </c>
      <c r="N1372" s="2" t="s">
        <v>883</v>
      </c>
      <c r="O1372" s="2">
        <v>2025</v>
      </c>
      <c r="P1372" s="2" t="str">
        <v>February</v>
      </c>
      <c r="Q1372" s="2" t="s">
        <v>47</v>
      </c>
    </row>
    <row r="1373" spans="1:17" x14ac:dyDescent="0.25">
      <c r="A1373" s="2" t="s">
        <v>2662</v>
      </c>
      <c r="B1373" s="7">
        <v>45994</v>
      </c>
      <c r="C1373" s="5" t="s">
        <v>238</v>
      </c>
      <c r="D1373" s="5" t="s">
        <v>51</v>
      </c>
      <c r="E1373" s="5" t="s">
        <v>25</v>
      </c>
      <c r="F1373" s="2" t="s">
        <v>93</v>
      </c>
      <c r="G1373" s="2">
        <v>8</v>
      </c>
      <c r="H1373" s="25">
        <v>530</v>
      </c>
      <c r="I1373" s="8">
        <v>0</v>
      </c>
      <c r="J1373" s="25">
        <v>4240</v>
      </c>
      <c r="K1373" s="25">
        <f>G1373*H1373</f>
        <v>4240</v>
      </c>
      <c r="L1373" s="8">
        <f>K1373*I1373/100</f>
        <v>0</v>
      </c>
      <c r="M1373" s="2" t="s">
        <v>102</v>
      </c>
      <c r="N1373" s="2" t="s">
        <v>73</v>
      </c>
      <c r="O1373" s="2">
        <v>2025</v>
      </c>
      <c r="P1373" s="2" t="str">
        <v>December</v>
      </c>
      <c r="Q1373" s="2" t="s">
        <v>47</v>
      </c>
    </row>
    <row r="1374" spans="1:17" x14ac:dyDescent="0.25">
      <c r="A1374" s="2" t="s">
        <v>2663</v>
      </c>
      <c r="B1374" s="7">
        <v>45870</v>
      </c>
      <c r="C1374" s="5" t="s">
        <v>238</v>
      </c>
      <c r="D1374" s="5" t="s">
        <v>51</v>
      </c>
      <c r="E1374" s="5" t="s">
        <v>25</v>
      </c>
      <c r="F1374" s="2" t="s">
        <v>93</v>
      </c>
      <c r="G1374" s="2">
        <v>3</v>
      </c>
      <c r="H1374" s="25">
        <v>4214.1176470588234</v>
      </c>
      <c r="I1374" s="8">
        <v>15</v>
      </c>
      <c r="J1374" s="25">
        <v>10746</v>
      </c>
      <c r="K1374" s="25">
        <f>G1374*H1374</f>
        <v>12642.35294117647</v>
      </c>
      <c r="L1374" s="8">
        <f>K1374*I1374/100</f>
        <v>1896.3529411764705</v>
      </c>
      <c r="M1374" s="2" t="s">
        <v>102</v>
      </c>
      <c r="N1374" s="2" t="s">
        <v>883</v>
      </c>
      <c r="O1374" s="2">
        <v>2025</v>
      </c>
      <c r="P1374" s="2" t="str">
        <v>August</v>
      </c>
      <c r="Q1374" s="2" t="s">
        <v>21</v>
      </c>
    </row>
    <row r="1375" spans="1:17" x14ac:dyDescent="0.25">
      <c r="A1375" s="2" t="s">
        <v>2664</v>
      </c>
      <c r="B1375" s="7">
        <v>45798</v>
      </c>
      <c r="C1375" s="5" t="s">
        <v>32</v>
      </c>
      <c r="D1375" s="5" t="s">
        <v>33</v>
      </c>
      <c r="E1375" s="5" t="s">
        <v>148</v>
      </c>
      <c r="F1375" s="2" t="s">
        <v>435</v>
      </c>
      <c r="G1375" s="2">
        <v>9</v>
      </c>
      <c r="H1375" s="25">
        <v>1320</v>
      </c>
      <c r="I1375" s="8">
        <v>0</v>
      </c>
      <c r="J1375" s="25">
        <v>11880</v>
      </c>
      <c r="K1375" s="25">
        <f>G1375*H1375</f>
        <v>11880</v>
      </c>
      <c r="L1375" s="8">
        <f>K1375*I1375/100</f>
        <v>0</v>
      </c>
      <c r="M1375" s="2" t="s">
        <v>102</v>
      </c>
      <c r="N1375" s="2" t="s">
        <v>344</v>
      </c>
      <c r="O1375" s="2">
        <v>2025</v>
      </c>
      <c r="P1375" s="2" t="str">
        <v>May</v>
      </c>
      <c r="Q1375" s="2" t="s">
        <v>21</v>
      </c>
    </row>
    <row r="1376" spans="1:17" x14ac:dyDescent="0.25">
      <c r="A1376" s="2" t="s">
        <v>2666</v>
      </c>
      <c r="B1376" s="7">
        <v>45808</v>
      </c>
      <c r="C1376" s="5" t="s">
        <v>32</v>
      </c>
      <c r="D1376" s="5" t="s">
        <v>33</v>
      </c>
      <c r="E1376" s="5" t="s">
        <v>295</v>
      </c>
      <c r="F1376" s="2" t="s">
        <v>219</v>
      </c>
      <c r="G1376" s="2">
        <v>6</v>
      </c>
      <c r="H1376" s="25">
        <v>560</v>
      </c>
      <c r="I1376" s="8">
        <v>0</v>
      </c>
      <c r="J1376" s="25">
        <v>3360</v>
      </c>
      <c r="K1376" s="25">
        <f>G1376*H1376</f>
        <v>3360</v>
      </c>
      <c r="L1376" s="8">
        <f>K1376*I1376/100</f>
        <v>0</v>
      </c>
      <c r="M1376" s="2" t="s">
        <v>139</v>
      </c>
      <c r="N1376" s="2" t="s">
        <v>341</v>
      </c>
      <c r="O1376" s="2">
        <v>2025</v>
      </c>
      <c r="P1376" s="2" t="str">
        <v>May</v>
      </c>
      <c r="Q1376" s="2" t="s">
        <v>21</v>
      </c>
    </row>
    <row r="1377" spans="1:17" x14ac:dyDescent="0.25">
      <c r="A1377" s="2" t="s">
        <v>2668</v>
      </c>
      <c r="B1377" s="7">
        <v>45814</v>
      </c>
      <c r="C1377" s="5" t="s">
        <v>76</v>
      </c>
      <c r="D1377" s="5" t="s">
        <v>33</v>
      </c>
      <c r="E1377" s="5" t="s">
        <v>295</v>
      </c>
      <c r="F1377" s="2" t="s">
        <v>296</v>
      </c>
      <c r="G1377" s="2">
        <v>7</v>
      </c>
      <c r="H1377" s="25">
        <v>17490</v>
      </c>
      <c r="I1377" s="8">
        <v>5</v>
      </c>
      <c r="J1377" s="25">
        <v>116308.5</v>
      </c>
      <c r="K1377" s="25">
        <f>G1377*H1377</f>
        <v>122430</v>
      </c>
      <c r="L1377" s="8">
        <f>K1377*I1377/100</f>
        <v>6121.5</v>
      </c>
      <c r="M1377" s="2" t="s">
        <v>53</v>
      </c>
      <c r="N1377" s="2" t="s">
        <v>176</v>
      </c>
      <c r="O1377" s="2">
        <v>2025</v>
      </c>
      <c r="P1377" s="2" t="str">
        <v>June</v>
      </c>
      <c r="Q1377" s="2" t="s">
        <v>47</v>
      </c>
    </row>
    <row r="1378" spans="1:17" x14ac:dyDescent="0.25">
      <c r="A1378" s="2" t="s">
        <v>2669</v>
      </c>
      <c r="B1378" s="7">
        <v>45815</v>
      </c>
      <c r="C1378" s="5" t="s">
        <v>76</v>
      </c>
      <c r="D1378" s="2" t="s">
        <v>33</v>
      </c>
      <c r="E1378" s="2" t="s">
        <v>295</v>
      </c>
      <c r="F1378" s="2" t="s">
        <v>219</v>
      </c>
      <c r="G1378" s="2">
        <v>7</v>
      </c>
      <c r="H1378" s="25">
        <v>70830</v>
      </c>
      <c r="I1378" s="8">
        <v>0</v>
      </c>
      <c r="J1378" s="25">
        <v>495810</v>
      </c>
      <c r="K1378" s="25">
        <f>G1378*H1378</f>
        <v>495810</v>
      </c>
      <c r="L1378" s="8">
        <f>K1378*I1378/100</f>
        <v>0</v>
      </c>
      <c r="M1378" s="2" t="s">
        <v>102</v>
      </c>
      <c r="N1378" s="2" t="s">
        <v>46</v>
      </c>
      <c r="O1378" s="2">
        <v>2025</v>
      </c>
      <c r="P1378" s="2" t="str">
        <v>June</v>
      </c>
      <c r="Q1378" s="2" t="s">
        <v>47</v>
      </c>
    </row>
    <row r="1379" spans="1:17" x14ac:dyDescent="0.25">
      <c r="A1379" s="2" t="s">
        <v>2671</v>
      </c>
      <c r="B1379" s="7">
        <v>45727</v>
      </c>
      <c r="C1379" s="5" t="s">
        <v>24</v>
      </c>
      <c r="D1379" s="5" t="s">
        <v>16</v>
      </c>
      <c r="E1379" s="5" t="s">
        <v>179</v>
      </c>
      <c r="F1379" s="2" t="s">
        <v>143</v>
      </c>
      <c r="G1379" s="2">
        <v>3</v>
      </c>
      <c r="H1379" s="25">
        <v>2630</v>
      </c>
      <c r="I1379" s="8">
        <v>0</v>
      </c>
      <c r="J1379" s="25">
        <v>7890</v>
      </c>
      <c r="K1379" s="25">
        <f>G1379*H1379</f>
        <v>7890</v>
      </c>
      <c r="L1379" s="8">
        <f>K1379*I1379/100</f>
        <v>0</v>
      </c>
      <c r="M1379" s="2" t="s">
        <v>53</v>
      </c>
      <c r="N1379" s="2" t="s">
        <v>344</v>
      </c>
      <c r="O1379" s="2">
        <v>2025</v>
      </c>
      <c r="P1379" s="2" t="str">
        <v>March</v>
      </c>
      <c r="Q1379" s="2" t="s">
        <v>47</v>
      </c>
    </row>
    <row r="1380" spans="1:17" x14ac:dyDescent="0.25">
      <c r="A1380" s="2" t="s">
        <v>2672</v>
      </c>
      <c r="B1380" s="7">
        <v>45705</v>
      </c>
      <c r="C1380" s="5" t="s">
        <v>76</v>
      </c>
      <c r="D1380" s="5" t="s">
        <v>33</v>
      </c>
      <c r="E1380" s="5" t="s">
        <v>25</v>
      </c>
      <c r="F1380" s="2" t="s">
        <v>106</v>
      </c>
      <c r="G1380" s="2">
        <v>9</v>
      </c>
      <c r="H1380" s="25">
        <v>530</v>
      </c>
      <c r="I1380" s="8">
        <v>0</v>
      </c>
      <c r="J1380" s="25">
        <v>4770</v>
      </c>
      <c r="K1380" s="25">
        <f>G1380*H1380</f>
        <v>4770</v>
      </c>
      <c r="L1380" s="8">
        <f>K1380*I1380/100</f>
        <v>0</v>
      </c>
      <c r="M1380" s="2" t="s">
        <v>94</v>
      </c>
      <c r="N1380" s="2" t="s">
        <v>176</v>
      </c>
      <c r="O1380" s="2">
        <v>2025</v>
      </c>
      <c r="P1380" s="2" t="str">
        <v>February</v>
      </c>
      <c r="Q1380" s="2" t="s">
        <v>21</v>
      </c>
    </row>
    <row r="1381" spans="1:17" x14ac:dyDescent="0.25">
      <c r="A1381" s="2" t="s">
        <v>2673</v>
      </c>
      <c r="B1381" s="7">
        <v>45972</v>
      </c>
      <c r="C1381" s="5" t="s">
        <v>156</v>
      </c>
      <c r="D1381" s="2" t="s">
        <v>33</v>
      </c>
      <c r="E1381" s="2" t="s">
        <v>25</v>
      </c>
      <c r="F1381" s="2" t="s">
        <v>332</v>
      </c>
      <c r="G1381" s="2">
        <v>3</v>
      </c>
      <c r="H1381" s="25">
        <v>2250</v>
      </c>
      <c r="I1381" s="8">
        <v>5</v>
      </c>
      <c r="J1381" s="25">
        <v>6412.5</v>
      </c>
      <c r="K1381" s="25">
        <f>G1381*H1381</f>
        <v>6750</v>
      </c>
      <c r="L1381" s="8">
        <f>K1381*I1381/100</f>
        <v>337.5</v>
      </c>
      <c r="M1381" s="2" t="s">
        <v>139</v>
      </c>
      <c r="N1381" s="2" t="s">
        <v>266</v>
      </c>
      <c r="O1381" s="2">
        <v>2025</v>
      </c>
      <c r="P1381" s="2" t="str">
        <v>November</v>
      </c>
      <c r="Q1381" s="2" t="s">
        <v>47</v>
      </c>
    </row>
    <row r="1382" spans="1:17" x14ac:dyDescent="0.25">
      <c r="A1382" s="2" t="s">
        <v>2675</v>
      </c>
      <c r="B1382" s="7">
        <v>45821</v>
      </c>
      <c r="C1382" s="5" t="s">
        <v>32</v>
      </c>
      <c r="D1382" s="5" t="s">
        <v>33</v>
      </c>
      <c r="E1382" s="5" t="s">
        <v>295</v>
      </c>
      <c r="F1382" s="2" t="s">
        <v>66</v>
      </c>
      <c r="G1382" s="2">
        <v>11</v>
      </c>
      <c r="H1382" s="25">
        <v>570</v>
      </c>
      <c r="I1382" s="8">
        <v>0</v>
      </c>
      <c r="J1382" s="25">
        <v>6270</v>
      </c>
      <c r="K1382" s="25">
        <f>G1382*H1382</f>
        <v>6270</v>
      </c>
      <c r="L1382" s="8">
        <f>K1382*I1382/100</f>
        <v>0</v>
      </c>
      <c r="M1382" s="2" t="s">
        <v>102</v>
      </c>
      <c r="N1382" s="2" t="s">
        <v>344</v>
      </c>
      <c r="O1382" s="2">
        <v>2025</v>
      </c>
      <c r="P1382" s="2" t="str">
        <v>June</v>
      </c>
      <c r="Q1382" s="2" t="s">
        <v>47</v>
      </c>
    </row>
    <row r="1383" spans="1:17" x14ac:dyDescent="0.25">
      <c r="A1383" s="2" t="s">
        <v>2677</v>
      </c>
      <c r="B1383" s="7">
        <v>45674</v>
      </c>
      <c r="C1383" s="5" t="s">
        <v>135</v>
      </c>
      <c r="D1383" s="5" t="s">
        <v>58</v>
      </c>
      <c r="E1383" s="5" t="s">
        <v>295</v>
      </c>
      <c r="F1383" s="2" t="s">
        <v>319</v>
      </c>
      <c r="G1383" s="2">
        <v>10</v>
      </c>
      <c r="H1383" s="25">
        <v>17880</v>
      </c>
      <c r="I1383" s="8">
        <v>0</v>
      </c>
      <c r="J1383" s="25">
        <v>178800</v>
      </c>
      <c r="K1383" s="25">
        <f>G1383*H1383</f>
        <v>178800</v>
      </c>
      <c r="L1383" s="8">
        <f>K1383*I1383/100</f>
        <v>0</v>
      </c>
      <c r="M1383" s="2" t="s">
        <v>94</v>
      </c>
      <c r="N1383" s="2" t="s">
        <v>168</v>
      </c>
      <c r="O1383" s="2">
        <v>2025</v>
      </c>
      <c r="P1383" s="2" t="str">
        <v>January</v>
      </c>
      <c r="Q1383" s="2" t="s">
        <v>21</v>
      </c>
    </row>
    <row r="1384" spans="1:17" x14ac:dyDescent="0.25">
      <c r="A1384" s="2" t="s">
        <v>2678</v>
      </c>
      <c r="B1384" s="7">
        <v>45811</v>
      </c>
      <c r="C1384" s="5" t="s">
        <v>24</v>
      </c>
      <c r="D1384" s="5" t="s">
        <v>16</v>
      </c>
      <c r="E1384" s="5" t="s">
        <v>25</v>
      </c>
      <c r="F1384" s="2" t="s">
        <v>44</v>
      </c>
      <c r="G1384" s="2">
        <v>10</v>
      </c>
      <c r="H1384" s="25">
        <v>3410</v>
      </c>
      <c r="I1384" s="8">
        <v>15</v>
      </c>
      <c r="J1384" s="25">
        <v>28985</v>
      </c>
      <c r="K1384" s="25">
        <f>G1384*H1384</f>
        <v>34100</v>
      </c>
      <c r="L1384" s="8">
        <f>K1384*I1384/100</f>
        <v>5115</v>
      </c>
      <c r="M1384" s="2" t="s">
        <v>53</v>
      </c>
      <c r="N1384" s="2" t="s">
        <v>341</v>
      </c>
      <c r="O1384" s="2">
        <v>2025</v>
      </c>
      <c r="P1384" s="2" t="str">
        <v>June</v>
      </c>
      <c r="Q1384" s="2" t="s">
        <v>47</v>
      </c>
    </row>
    <row r="1385" spans="1:17" x14ac:dyDescent="0.25">
      <c r="A1385" s="2" t="s">
        <v>2679</v>
      </c>
      <c r="B1385" s="7">
        <v>45833</v>
      </c>
      <c r="C1385" s="5" t="s">
        <v>156</v>
      </c>
      <c r="D1385" s="5" t="s">
        <v>51</v>
      </c>
      <c r="E1385" s="5" t="s">
        <v>148</v>
      </c>
      <c r="F1385" s="2" t="s">
        <v>83</v>
      </c>
      <c r="G1385" s="2">
        <v>3</v>
      </c>
      <c r="H1385" s="25">
        <v>17660</v>
      </c>
      <c r="I1385" s="8">
        <v>15</v>
      </c>
      <c r="J1385" s="25">
        <v>45033</v>
      </c>
      <c r="K1385" s="25">
        <f>G1385*H1385</f>
        <v>52980</v>
      </c>
      <c r="L1385" s="8">
        <f>K1385*I1385/100</f>
        <v>7947</v>
      </c>
      <c r="M1385" s="2" t="s">
        <v>53</v>
      </c>
      <c r="N1385" s="2" t="s">
        <v>37</v>
      </c>
      <c r="O1385" s="2">
        <v>2025</v>
      </c>
      <c r="P1385" s="2" t="str">
        <v>June</v>
      </c>
      <c r="Q1385" s="2" t="s">
        <v>21</v>
      </c>
    </row>
    <row r="1386" spans="1:17" x14ac:dyDescent="0.25">
      <c r="A1386" s="2" t="s">
        <v>2680</v>
      </c>
      <c r="B1386" s="7">
        <v>45897</v>
      </c>
      <c r="C1386" s="5" t="s">
        <v>238</v>
      </c>
      <c r="D1386" s="5" t="s">
        <v>51</v>
      </c>
      <c r="E1386" s="5" t="s">
        <v>34</v>
      </c>
      <c r="F1386" s="2" t="s">
        <v>71</v>
      </c>
      <c r="G1386" s="2">
        <v>3</v>
      </c>
      <c r="H1386" s="25">
        <v>9000</v>
      </c>
      <c r="I1386" s="8">
        <v>0</v>
      </c>
      <c r="J1386" s="25">
        <v>27000</v>
      </c>
      <c r="K1386" s="25">
        <f>G1386*H1386</f>
        <v>27000</v>
      </c>
      <c r="L1386" s="8">
        <f>K1386*I1386/100</f>
        <v>0</v>
      </c>
      <c r="M1386" s="2" t="s">
        <v>53</v>
      </c>
      <c r="N1386" s="2" t="s">
        <v>188</v>
      </c>
      <c r="O1386" s="2">
        <v>2025</v>
      </c>
      <c r="P1386" s="2" t="str">
        <v>August</v>
      </c>
      <c r="Q1386" s="2" t="s">
        <v>21</v>
      </c>
    </row>
    <row r="1387" spans="1:17" x14ac:dyDescent="0.25">
      <c r="A1387" s="2" t="s">
        <v>2682</v>
      </c>
      <c r="B1387" s="7">
        <v>45965</v>
      </c>
      <c r="C1387" s="5" t="s">
        <v>24</v>
      </c>
      <c r="D1387" s="5" t="s">
        <v>16</v>
      </c>
      <c r="E1387" s="5" t="s">
        <v>25</v>
      </c>
      <c r="F1387" s="2" t="s">
        <v>26</v>
      </c>
      <c r="G1387" s="2">
        <v>8</v>
      </c>
      <c r="H1387" s="25">
        <v>60580</v>
      </c>
      <c r="I1387" s="8">
        <v>0</v>
      </c>
      <c r="J1387" s="25">
        <v>484640</v>
      </c>
      <c r="K1387" s="25">
        <f>G1387*H1387</f>
        <v>484640</v>
      </c>
      <c r="L1387" s="8">
        <f>K1387*I1387/100</f>
        <v>0</v>
      </c>
      <c r="M1387" s="2" t="s">
        <v>139</v>
      </c>
      <c r="N1387" s="2" t="s">
        <v>883</v>
      </c>
      <c r="O1387" s="2">
        <v>2025</v>
      </c>
      <c r="P1387" s="2" t="str">
        <v>November</v>
      </c>
      <c r="Q1387" s="2" t="s">
        <v>47</v>
      </c>
    </row>
    <row r="1388" spans="1:17" x14ac:dyDescent="0.25">
      <c r="A1388" s="2" t="s">
        <v>2684</v>
      </c>
      <c r="B1388" s="7">
        <v>45989</v>
      </c>
      <c r="C1388" s="5" t="s">
        <v>32</v>
      </c>
      <c r="D1388" s="5" t="s">
        <v>33</v>
      </c>
      <c r="E1388" s="5" t="s">
        <v>25</v>
      </c>
      <c r="F1388" s="2" t="s">
        <v>26</v>
      </c>
      <c r="G1388" s="2">
        <v>11</v>
      </c>
      <c r="H1388" s="25">
        <v>1260</v>
      </c>
      <c r="I1388" s="8">
        <v>5</v>
      </c>
      <c r="J1388" s="25">
        <v>13167</v>
      </c>
      <c r="K1388" s="25">
        <f>G1388*H1388</f>
        <v>13860</v>
      </c>
      <c r="L1388" s="8">
        <f>K1388*I1388/100</f>
        <v>693</v>
      </c>
      <c r="M1388" s="2" t="s">
        <v>53</v>
      </c>
      <c r="N1388" s="2" t="s">
        <v>168</v>
      </c>
      <c r="O1388" s="2">
        <v>2025</v>
      </c>
      <c r="P1388" s="2" t="str">
        <v>November</v>
      </c>
      <c r="Q1388" s="2" t="s">
        <v>47</v>
      </c>
    </row>
    <row r="1389" spans="1:17" x14ac:dyDescent="0.25">
      <c r="A1389" s="2" t="s">
        <v>2685</v>
      </c>
      <c r="B1389" s="7">
        <v>45896</v>
      </c>
      <c r="C1389" s="5" t="s">
        <v>76</v>
      </c>
      <c r="D1389" s="5" t="s">
        <v>33</v>
      </c>
      <c r="E1389" s="5" t="s">
        <v>295</v>
      </c>
      <c r="F1389" s="2" t="s">
        <v>219</v>
      </c>
      <c r="G1389" s="2">
        <v>9</v>
      </c>
      <c r="H1389" s="25">
        <v>27550</v>
      </c>
      <c r="I1389" s="8">
        <v>0</v>
      </c>
      <c r="J1389" s="25">
        <v>247950</v>
      </c>
      <c r="K1389" s="25">
        <f>G1389*H1389</f>
        <v>247950</v>
      </c>
      <c r="L1389" s="8">
        <f>K1389*I1389/100</f>
        <v>0</v>
      </c>
      <c r="M1389" s="2" t="s">
        <v>139</v>
      </c>
      <c r="N1389" s="2" t="s">
        <v>883</v>
      </c>
      <c r="O1389" s="2">
        <v>2025</v>
      </c>
      <c r="P1389" s="2" t="str">
        <v>August</v>
      </c>
      <c r="Q1389" s="2" t="s">
        <v>47</v>
      </c>
    </row>
    <row r="1390" spans="1:17" x14ac:dyDescent="0.25">
      <c r="A1390" s="2" t="s">
        <v>2686</v>
      </c>
      <c r="B1390" s="7">
        <v>45869</v>
      </c>
      <c r="C1390" s="5" t="s">
        <v>76</v>
      </c>
      <c r="D1390" s="5" t="s">
        <v>33</v>
      </c>
      <c r="E1390" s="5" t="s">
        <v>34</v>
      </c>
      <c r="F1390" s="2" t="s">
        <v>164</v>
      </c>
      <c r="G1390" s="2">
        <v>10</v>
      </c>
      <c r="H1390" s="25">
        <v>9060</v>
      </c>
      <c r="I1390" s="8">
        <v>0</v>
      </c>
      <c r="J1390" s="25">
        <v>90600</v>
      </c>
      <c r="K1390" s="25">
        <f>G1390*H1390</f>
        <v>90600</v>
      </c>
      <c r="L1390" s="8">
        <f>K1390*I1390/100</f>
        <v>0</v>
      </c>
      <c r="M1390" s="2" t="s">
        <v>102</v>
      </c>
      <c r="N1390" s="2" t="s">
        <v>79</v>
      </c>
      <c r="O1390" s="2">
        <v>2025</v>
      </c>
      <c r="P1390" s="2" t="str">
        <v>July</v>
      </c>
      <c r="Q1390" s="2" t="s">
        <v>21</v>
      </c>
    </row>
    <row r="1391" spans="1:17" x14ac:dyDescent="0.25">
      <c r="A1391" s="2" t="s">
        <v>2688</v>
      </c>
      <c r="B1391" s="7">
        <v>45659</v>
      </c>
      <c r="C1391" s="5" t="s">
        <v>135</v>
      </c>
      <c r="D1391" s="5" t="s">
        <v>58</v>
      </c>
      <c r="E1391" s="5" t="s">
        <v>148</v>
      </c>
      <c r="F1391" s="2" t="s">
        <v>149</v>
      </c>
      <c r="G1391" s="2">
        <v>8</v>
      </c>
      <c r="H1391" s="25">
        <v>8210</v>
      </c>
      <c r="I1391" s="8">
        <v>0</v>
      </c>
      <c r="J1391" s="25">
        <v>65680</v>
      </c>
      <c r="K1391" s="25">
        <f>G1391*H1391</f>
        <v>65680</v>
      </c>
      <c r="L1391" s="8">
        <f>K1391*I1391/100</f>
        <v>0</v>
      </c>
      <c r="M1391" s="2" t="s">
        <v>53</v>
      </c>
      <c r="N1391" s="2" t="s">
        <v>406</v>
      </c>
      <c r="O1391" s="2">
        <v>2025</v>
      </c>
      <c r="P1391" s="2" t="str">
        <v>January</v>
      </c>
      <c r="Q1391" s="2" t="s">
        <v>21</v>
      </c>
    </row>
    <row r="1392" spans="1:17" x14ac:dyDescent="0.25">
      <c r="A1392" s="2" t="s">
        <v>2689</v>
      </c>
      <c r="B1392" s="7">
        <v>46019</v>
      </c>
      <c r="C1392" s="5" t="s">
        <v>156</v>
      </c>
      <c r="D1392" s="5" t="s">
        <v>33</v>
      </c>
      <c r="E1392" s="5" t="s">
        <v>148</v>
      </c>
      <c r="F1392" s="2" t="s">
        <v>60</v>
      </c>
      <c r="G1392" s="2">
        <v>2</v>
      </c>
      <c r="H1392" s="25">
        <v>2820</v>
      </c>
      <c r="I1392" s="8">
        <v>0</v>
      </c>
      <c r="J1392" s="25">
        <v>5640</v>
      </c>
      <c r="K1392" s="25">
        <f>G1392*H1392</f>
        <v>5640</v>
      </c>
      <c r="L1392" s="8">
        <f>K1392*I1392/100</f>
        <v>0</v>
      </c>
      <c r="M1392" s="2" t="s">
        <v>102</v>
      </c>
      <c r="N1392" s="2" t="s">
        <v>168</v>
      </c>
      <c r="O1392" s="2">
        <v>2025</v>
      </c>
      <c r="P1392" s="2" t="str">
        <v>December</v>
      </c>
      <c r="Q1392" s="2" t="s">
        <v>47</v>
      </c>
    </row>
    <row r="1393" spans="1:17" x14ac:dyDescent="0.25">
      <c r="A1393" s="2" t="s">
        <v>2690</v>
      </c>
      <c r="B1393" s="7">
        <v>45833</v>
      </c>
      <c r="C1393" s="5" t="s">
        <v>24</v>
      </c>
      <c r="D1393" s="5" t="s">
        <v>16</v>
      </c>
      <c r="E1393" s="5" t="s">
        <v>25</v>
      </c>
      <c r="F1393" s="2" t="s">
        <v>332</v>
      </c>
      <c r="G1393" s="2">
        <v>7</v>
      </c>
      <c r="H1393" s="25">
        <v>65990</v>
      </c>
      <c r="I1393" s="8">
        <v>0</v>
      </c>
      <c r="J1393" s="25">
        <v>461930</v>
      </c>
      <c r="K1393" s="25">
        <f>G1393*H1393</f>
        <v>461930</v>
      </c>
      <c r="L1393" s="8">
        <f>K1393*I1393/100</f>
        <v>0</v>
      </c>
      <c r="M1393" s="2" t="s">
        <v>94</v>
      </c>
      <c r="N1393" s="2" t="s">
        <v>188</v>
      </c>
      <c r="O1393" s="2">
        <v>2025</v>
      </c>
      <c r="P1393" s="2" t="str">
        <v>June</v>
      </c>
      <c r="Q1393" s="2" t="s">
        <v>21</v>
      </c>
    </row>
    <row r="1394" spans="1:17" x14ac:dyDescent="0.25">
      <c r="A1394" s="2" t="s">
        <v>2692</v>
      </c>
      <c r="B1394" s="7">
        <v>45877</v>
      </c>
      <c r="C1394" s="5" t="s">
        <v>76</v>
      </c>
      <c r="D1394" s="5" t="s">
        <v>33</v>
      </c>
      <c r="E1394" s="5" t="s">
        <v>179</v>
      </c>
      <c r="F1394" s="2" t="s">
        <v>78</v>
      </c>
      <c r="G1394" s="2">
        <v>8</v>
      </c>
      <c r="H1394" s="25">
        <v>520</v>
      </c>
      <c r="I1394" s="8">
        <v>0</v>
      </c>
      <c r="J1394" s="25">
        <v>4160</v>
      </c>
      <c r="K1394" s="25">
        <f>G1394*H1394</f>
        <v>4160</v>
      </c>
      <c r="L1394" s="8">
        <f>K1394*I1394/100</f>
        <v>0</v>
      </c>
      <c r="M1394" s="2" t="s">
        <v>94</v>
      </c>
      <c r="N1394" s="2" t="s">
        <v>168</v>
      </c>
      <c r="O1394" s="2">
        <v>2025</v>
      </c>
      <c r="P1394" s="2" t="str">
        <v>August</v>
      </c>
      <c r="Q1394" s="2" t="s">
        <v>21</v>
      </c>
    </row>
    <row r="1395" spans="1:17" x14ac:dyDescent="0.25">
      <c r="A1395" s="2" t="s">
        <v>2694</v>
      </c>
      <c r="B1395" s="7">
        <v>45923</v>
      </c>
      <c r="C1395" s="5" t="s">
        <v>32</v>
      </c>
      <c r="D1395" s="5" t="s">
        <v>33</v>
      </c>
      <c r="E1395" s="5" t="s">
        <v>179</v>
      </c>
      <c r="F1395" s="2" t="s">
        <v>232</v>
      </c>
      <c r="G1395" s="2">
        <v>6</v>
      </c>
      <c r="H1395" s="25">
        <v>24640</v>
      </c>
      <c r="I1395" s="8">
        <v>0</v>
      </c>
      <c r="J1395" s="25">
        <v>147840</v>
      </c>
      <c r="K1395" s="25">
        <f>G1395*H1395</f>
        <v>147840</v>
      </c>
      <c r="L1395" s="8">
        <f>K1395*I1395/100</f>
        <v>0</v>
      </c>
      <c r="M1395" s="2" t="s">
        <v>102</v>
      </c>
      <c r="N1395" s="2" t="s">
        <v>79</v>
      </c>
      <c r="O1395" s="2">
        <v>2025</v>
      </c>
      <c r="P1395" s="2" t="str">
        <v>September</v>
      </c>
      <c r="Q1395" s="2" t="s">
        <v>47</v>
      </c>
    </row>
    <row r="1396" spans="1:17" x14ac:dyDescent="0.25">
      <c r="A1396" s="2" t="s">
        <v>2695</v>
      </c>
      <c r="B1396" s="7">
        <v>45856</v>
      </c>
      <c r="C1396" s="5" t="s">
        <v>32</v>
      </c>
      <c r="D1396" s="5" t="s">
        <v>33</v>
      </c>
      <c r="E1396" s="5" t="s">
        <v>179</v>
      </c>
      <c r="F1396" s="2" t="s">
        <v>66</v>
      </c>
      <c r="G1396" s="2">
        <v>8</v>
      </c>
      <c r="H1396" s="25">
        <v>51010</v>
      </c>
      <c r="I1396" s="8">
        <v>0</v>
      </c>
      <c r="J1396" s="25">
        <v>408080</v>
      </c>
      <c r="K1396" s="25">
        <f>G1396*H1396</f>
        <v>408080</v>
      </c>
      <c r="L1396" s="8">
        <f>K1396*I1396/100</f>
        <v>0</v>
      </c>
      <c r="M1396" s="2" t="s">
        <v>102</v>
      </c>
      <c r="N1396" s="2" t="s">
        <v>883</v>
      </c>
      <c r="O1396" s="2">
        <v>2025</v>
      </c>
      <c r="P1396" s="2" t="str">
        <v>July</v>
      </c>
      <c r="Q1396" s="2" t="s">
        <v>21</v>
      </c>
    </row>
    <row r="1397" spans="1:17" x14ac:dyDescent="0.25">
      <c r="A1397" s="2" t="s">
        <v>2697</v>
      </c>
      <c r="B1397" s="7">
        <v>45902</v>
      </c>
      <c r="C1397" s="5" t="s">
        <v>32</v>
      </c>
      <c r="D1397" s="5" t="s">
        <v>33</v>
      </c>
      <c r="E1397" s="5" t="s">
        <v>148</v>
      </c>
      <c r="F1397" s="2" t="s">
        <v>379</v>
      </c>
      <c r="G1397" s="2">
        <v>11</v>
      </c>
      <c r="H1397" s="25">
        <v>5200</v>
      </c>
      <c r="I1397" s="8">
        <v>0</v>
      </c>
      <c r="J1397" s="25">
        <v>57200</v>
      </c>
      <c r="K1397" s="25">
        <f>G1397*H1397</f>
        <v>57200</v>
      </c>
      <c r="L1397" s="8">
        <f>K1397*I1397/100</f>
        <v>0</v>
      </c>
      <c r="M1397" s="2" t="s">
        <v>139</v>
      </c>
      <c r="N1397" s="2" t="s">
        <v>406</v>
      </c>
      <c r="O1397" s="2">
        <v>2025</v>
      </c>
      <c r="P1397" s="2" t="str">
        <v>September</v>
      </c>
      <c r="Q1397" s="2" t="s">
        <v>47</v>
      </c>
    </row>
    <row r="1398" spans="1:17" x14ac:dyDescent="0.25">
      <c r="A1398" s="2" t="s">
        <v>2698</v>
      </c>
      <c r="B1398" s="7">
        <v>45891</v>
      </c>
      <c r="C1398" s="5" t="s">
        <v>135</v>
      </c>
      <c r="D1398" s="5" t="s">
        <v>58</v>
      </c>
      <c r="E1398" s="5" t="s">
        <v>295</v>
      </c>
      <c r="F1398" s="2" t="s">
        <v>126</v>
      </c>
      <c r="G1398" s="2">
        <v>10</v>
      </c>
      <c r="H1398" s="25">
        <v>25870</v>
      </c>
      <c r="I1398" s="8">
        <v>10</v>
      </c>
      <c r="J1398" s="25">
        <v>232830</v>
      </c>
      <c r="K1398" s="25">
        <f>G1398*H1398</f>
        <v>258700</v>
      </c>
      <c r="L1398" s="8">
        <f>K1398*I1398/100</f>
        <v>25870</v>
      </c>
      <c r="M1398" s="2" t="s">
        <v>94</v>
      </c>
      <c r="N1398" s="2" t="s">
        <v>411</v>
      </c>
      <c r="O1398" s="2">
        <v>2025</v>
      </c>
      <c r="P1398" s="2" t="str">
        <v>August</v>
      </c>
      <c r="Q1398" s="2" t="s">
        <v>47</v>
      </c>
    </row>
    <row r="1399" spans="1:17" x14ac:dyDescent="0.25">
      <c r="A1399" s="2" t="s">
        <v>2700</v>
      </c>
      <c r="B1399" s="7">
        <v>45858</v>
      </c>
      <c r="C1399" s="5" t="s">
        <v>76</v>
      </c>
      <c r="D1399" s="5" t="s">
        <v>33</v>
      </c>
      <c r="E1399" s="5" t="s">
        <v>148</v>
      </c>
      <c r="F1399" s="2" t="s">
        <v>167</v>
      </c>
      <c r="G1399" s="2">
        <v>6</v>
      </c>
      <c r="H1399" s="25">
        <v>1100</v>
      </c>
      <c r="I1399" s="8">
        <v>5</v>
      </c>
      <c r="J1399" s="25">
        <v>6270</v>
      </c>
      <c r="K1399" s="25">
        <f>G1399*H1399</f>
        <v>6600</v>
      </c>
      <c r="L1399" s="8">
        <f>K1399*I1399/100</f>
        <v>330</v>
      </c>
      <c r="M1399" s="2" t="s">
        <v>94</v>
      </c>
      <c r="N1399" s="2" t="s">
        <v>341</v>
      </c>
      <c r="O1399" s="2">
        <v>2025</v>
      </c>
      <c r="P1399" s="2" t="str">
        <v>July</v>
      </c>
      <c r="Q1399" s="2" t="s">
        <v>21</v>
      </c>
    </row>
    <row r="1400" spans="1:17" x14ac:dyDescent="0.25">
      <c r="A1400" s="2" t="s">
        <v>2702</v>
      </c>
      <c r="B1400" s="7">
        <v>45994</v>
      </c>
      <c r="C1400" s="5" t="s">
        <v>156</v>
      </c>
      <c r="D1400" s="5" t="s">
        <v>51</v>
      </c>
      <c r="E1400" s="5" t="s">
        <v>25</v>
      </c>
      <c r="F1400" s="2" t="s">
        <v>106</v>
      </c>
      <c r="G1400" s="2">
        <v>1</v>
      </c>
      <c r="H1400" s="25">
        <v>8490</v>
      </c>
      <c r="I1400" s="8">
        <v>0</v>
      </c>
      <c r="J1400" s="25">
        <v>8490</v>
      </c>
      <c r="K1400" s="25">
        <f>G1400*H1400</f>
        <v>8490</v>
      </c>
      <c r="L1400" s="8">
        <f>K1400*I1400/100</f>
        <v>0</v>
      </c>
      <c r="M1400" s="2" t="s">
        <v>53</v>
      </c>
      <c r="N1400" s="2" t="s">
        <v>411</v>
      </c>
      <c r="O1400" s="2">
        <v>2025</v>
      </c>
      <c r="P1400" s="2" t="str">
        <v>December</v>
      </c>
      <c r="Q1400" s="2" t="s">
        <v>47</v>
      </c>
    </row>
    <row r="1401" spans="1:17" x14ac:dyDescent="0.25">
      <c r="A1401" s="2" t="s">
        <v>2703</v>
      </c>
      <c r="B1401" s="7">
        <v>45856</v>
      </c>
      <c r="C1401" s="5" t="s">
        <v>24</v>
      </c>
      <c r="D1401" s="5" t="s">
        <v>16</v>
      </c>
      <c r="E1401" s="5" t="s">
        <v>179</v>
      </c>
      <c r="F1401" s="2" t="s">
        <v>543</v>
      </c>
      <c r="G1401" s="2">
        <v>4</v>
      </c>
      <c r="H1401" s="25">
        <v>1090</v>
      </c>
      <c r="I1401" s="8">
        <v>0</v>
      </c>
      <c r="J1401" s="25">
        <v>4360</v>
      </c>
      <c r="K1401" s="25">
        <f>G1401*H1401</f>
        <v>4360</v>
      </c>
      <c r="L1401" s="8">
        <f>K1401*I1401/100</f>
        <v>0</v>
      </c>
      <c r="M1401" s="2" t="s">
        <v>102</v>
      </c>
      <c r="N1401" s="2" t="s">
        <v>176</v>
      </c>
      <c r="O1401" s="2">
        <v>2025</v>
      </c>
      <c r="P1401" s="2" t="str">
        <v>July</v>
      </c>
      <c r="Q1401" s="2" t="s">
        <v>47</v>
      </c>
    </row>
    <row r="1402" spans="1:17" x14ac:dyDescent="0.25">
      <c r="A1402" s="2" t="s">
        <v>2704</v>
      </c>
      <c r="B1402" s="7">
        <v>45898</v>
      </c>
      <c r="C1402" s="5" t="s">
        <v>135</v>
      </c>
      <c r="D1402" s="5" t="s">
        <v>58</v>
      </c>
      <c r="E1402" s="5" t="s">
        <v>148</v>
      </c>
      <c r="F1402" s="2" t="s">
        <v>379</v>
      </c>
      <c r="G1402" s="2">
        <v>3</v>
      </c>
      <c r="H1402" s="25">
        <v>11860</v>
      </c>
      <c r="I1402" s="8">
        <v>10</v>
      </c>
      <c r="J1402" s="25">
        <v>32022</v>
      </c>
      <c r="K1402" s="25">
        <f>G1402*H1402</f>
        <v>35580</v>
      </c>
      <c r="L1402" s="8">
        <f>K1402*I1402/100</f>
        <v>3558</v>
      </c>
      <c r="M1402" s="2" t="s">
        <v>94</v>
      </c>
      <c r="N1402" s="2" t="s">
        <v>176</v>
      </c>
      <c r="O1402" s="2">
        <v>2025</v>
      </c>
      <c r="P1402" s="2" t="str">
        <v>August</v>
      </c>
      <c r="Q1402" s="2" t="s">
        <v>47</v>
      </c>
    </row>
    <row r="1403" spans="1:17" x14ac:dyDescent="0.25">
      <c r="A1403" s="2" t="s">
        <v>2705</v>
      </c>
      <c r="B1403" s="7">
        <v>45973</v>
      </c>
      <c r="C1403" s="5" t="s">
        <v>135</v>
      </c>
      <c r="D1403" s="5" t="s">
        <v>58</v>
      </c>
      <c r="E1403" s="5" t="s">
        <v>25</v>
      </c>
      <c r="F1403" s="2" t="s">
        <v>255</v>
      </c>
      <c r="G1403" s="2">
        <v>9</v>
      </c>
      <c r="H1403" s="25">
        <v>520</v>
      </c>
      <c r="I1403" s="8">
        <v>0</v>
      </c>
      <c r="J1403" s="25">
        <v>4680</v>
      </c>
      <c r="K1403" s="25">
        <f>G1403*H1403</f>
        <v>4680</v>
      </c>
      <c r="L1403" s="8">
        <f>K1403*I1403/100</f>
        <v>0</v>
      </c>
      <c r="M1403" s="2" t="s">
        <v>94</v>
      </c>
      <c r="N1403" s="2" t="s">
        <v>176</v>
      </c>
      <c r="O1403" s="2">
        <v>2025</v>
      </c>
      <c r="P1403" s="2" t="str">
        <v>November</v>
      </c>
      <c r="Q1403" s="2" t="s">
        <v>47</v>
      </c>
    </row>
    <row r="1404" spans="1:17" x14ac:dyDescent="0.25">
      <c r="A1404" s="2" t="s">
        <v>2707</v>
      </c>
      <c r="B1404" s="7">
        <v>45980</v>
      </c>
      <c r="C1404" s="5" t="s">
        <v>135</v>
      </c>
      <c r="D1404" s="5" t="s">
        <v>58</v>
      </c>
      <c r="E1404" s="5" t="s">
        <v>179</v>
      </c>
      <c r="F1404" s="2" t="s">
        <v>239</v>
      </c>
      <c r="G1404" s="2">
        <v>10</v>
      </c>
      <c r="H1404" s="25">
        <v>3440</v>
      </c>
      <c r="I1404" s="8">
        <v>0</v>
      </c>
      <c r="J1404" s="25">
        <v>34400</v>
      </c>
      <c r="K1404" s="25">
        <f>G1404*H1404</f>
        <v>34400</v>
      </c>
      <c r="L1404" s="8">
        <f>K1404*I1404/100</f>
        <v>0</v>
      </c>
      <c r="M1404" s="2" t="s">
        <v>102</v>
      </c>
      <c r="N1404" s="2" t="s">
        <v>188</v>
      </c>
      <c r="O1404" s="2">
        <v>2025</v>
      </c>
      <c r="P1404" s="2" t="str">
        <v>November</v>
      </c>
      <c r="Q1404" s="2" t="s">
        <v>47</v>
      </c>
    </row>
    <row r="1405" spans="1:17" x14ac:dyDescent="0.25">
      <c r="A1405" s="2" t="s">
        <v>2708</v>
      </c>
      <c r="B1405" s="7">
        <v>45722</v>
      </c>
      <c r="C1405" s="5" t="s">
        <v>24</v>
      </c>
      <c r="D1405" s="5" t="s">
        <v>16</v>
      </c>
      <c r="E1405" s="5" t="s">
        <v>179</v>
      </c>
      <c r="F1405" s="2" t="s">
        <v>224</v>
      </c>
      <c r="G1405" s="2">
        <v>5</v>
      </c>
      <c r="H1405" s="25">
        <v>10920</v>
      </c>
      <c r="I1405" s="8">
        <v>0</v>
      </c>
      <c r="J1405" s="25">
        <v>54600</v>
      </c>
      <c r="K1405" s="25">
        <f>G1405*H1405</f>
        <v>54600</v>
      </c>
      <c r="L1405" s="8">
        <f>K1405*I1405/100</f>
        <v>0</v>
      </c>
      <c r="M1405" s="2" t="s">
        <v>102</v>
      </c>
      <c r="N1405" s="2" t="s">
        <v>341</v>
      </c>
      <c r="O1405" s="2">
        <v>2025</v>
      </c>
      <c r="P1405" s="2" t="str">
        <v>March</v>
      </c>
      <c r="Q1405" s="2" t="s">
        <v>21</v>
      </c>
    </row>
    <row r="1406" spans="1:17" x14ac:dyDescent="0.25">
      <c r="A1406" s="2" t="s">
        <v>2709</v>
      </c>
      <c r="B1406" s="7">
        <v>46005</v>
      </c>
      <c r="C1406" s="5" t="s">
        <v>135</v>
      </c>
      <c r="D1406" s="5" t="s">
        <v>51</v>
      </c>
      <c r="E1406" s="5" t="s">
        <v>179</v>
      </c>
      <c r="F1406" s="2" t="s">
        <v>180</v>
      </c>
      <c r="G1406" s="2">
        <v>5</v>
      </c>
      <c r="H1406" s="25">
        <v>2270</v>
      </c>
      <c r="I1406" s="8">
        <v>15</v>
      </c>
      <c r="J1406" s="25">
        <v>9647.5</v>
      </c>
      <c r="K1406" s="25">
        <f>G1406*H1406</f>
        <v>11350</v>
      </c>
      <c r="L1406" s="8">
        <f>K1406*I1406/100</f>
        <v>1702.5</v>
      </c>
      <c r="M1406" s="2" t="s">
        <v>102</v>
      </c>
      <c r="N1406" s="2" t="s">
        <v>37</v>
      </c>
      <c r="O1406" s="2">
        <v>2025</v>
      </c>
      <c r="P1406" s="2" t="str">
        <v>December</v>
      </c>
      <c r="Q1406" s="2" t="s">
        <v>47</v>
      </c>
    </row>
    <row r="1407" spans="1:17" x14ac:dyDescent="0.25">
      <c r="A1407" s="2" t="s">
        <v>2711</v>
      </c>
      <c r="B1407" s="7">
        <v>45905</v>
      </c>
      <c r="C1407" s="5" t="s">
        <v>32</v>
      </c>
      <c r="D1407" s="5" t="s">
        <v>33</v>
      </c>
      <c r="E1407" s="5" t="s">
        <v>148</v>
      </c>
      <c r="F1407" s="2" t="s">
        <v>435</v>
      </c>
      <c r="G1407" s="2">
        <v>4</v>
      </c>
      <c r="H1407" s="25">
        <v>13340</v>
      </c>
      <c r="I1407" s="8">
        <v>0</v>
      </c>
      <c r="J1407" s="25">
        <v>53360</v>
      </c>
      <c r="K1407" s="25">
        <f>G1407*H1407</f>
        <v>53360</v>
      </c>
      <c r="L1407" s="8">
        <f>K1407*I1407/100</f>
        <v>0</v>
      </c>
      <c r="M1407" s="2" t="s">
        <v>53</v>
      </c>
      <c r="N1407" s="2" t="s">
        <v>883</v>
      </c>
      <c r="O1407" s="2">
        <v>2025</v>
      </c>
      <c r="P1407" s="2" t="str">
        <v>September</v>
      </c>
      <c r="Q1407" s="2" t="s">
        <v>47</v>
      </c>
    </row>
    <row r="1408" spans="1:17" x14ac:dyDescent="0.25">
      <c r="A1408" s="2" t="s">
        <v>2713</v>
      </c>
      <c r="B1408" s="7">
        <v>45859</v>
      </c>
      <c r="C1408" s="5" t="s">
        <v>156</v>
      </c>
      <c r="D1408" s="5" t="s">
        <v>51</v>
      </c>
      <c r="E1408" s="5" t="s">
        <v>34</v>
      </c>
      <c r="F1408" s="2" t="s">
        <v>374</v>
      </c>
      <c r="G1408" s="2">
        <v>12</v>
      </c>
      <c r="H1408" s="25">
        <v>7840</v>
      </c>
      <c r="I1408" s="8">
        <v>0</v>
      </c>
      <c r="J1408" s="25">
        <v>94080</v>
      </c>
      <c r="K1408" s="25">
        <f>G1408*H1408</f>
        <v>94080</v>
      </c>
      <c r="L1408" s="8">
        <f>K1408*I1408/100</f>
        <v>0</v>
      </c>
      <c r="M1408" s="2" t="s">
        <v>94</v>
      </c>
      <c r="N1408" s="2" t="s">
        <v>73</v>
      </c>
      <c r="O1408" s="2">
        <v>2025</v>
      </c>
      <c r="P1408" s="2" t="str">
        <v>July</v>
      </c>
      <c r="Q1408" s="2" t="s">
        <v>21</v>
      </c>
    </row>
    <row r="1409" spans="1:17" x14ac:dyDescent="0.25">
      <c r="A1409" s="2" t="s">
        <v>2714</v>
      </c>
      <c r="B1409" s="7">
        <v>45679</v>
      </c>
      <c r="C1409" s="5" t="s">
        <v>135</v>
      </c>
      <c r="D1409" s="5" t="s">
        <v>58</v>
      </c>
      <c r="E1409" s="5" t="s">
        <v>34</v>
      </c>
      <c r="F1409" s="2" t="s">
        <v>171</v>
      </c>
      <c r="G1409" s="2">
        <v>7</v>
      </c>
      <c r="H1409" s="25">
        <v>13460</v>
      </c>
      <c r="I1409" s="8">
        <v>0</v>
      </c>
      <c r="J1409" s="25">
        <v>94220</v>
      </c>
      <c r="K1409" s="25">
        <f>G1409*H1409</f>
        <v>94220</v>
      </c>
      <c r="L1409" s="8">
        <f>K1409*I1409/100</f>
        <v>0</v>
      </c>
      <c r="M1409" s="2" t="s">
        <v>94</v>
      </c>
      <c r="N1409" s="2" t="s">
        <v>883</v>
      </c>
      <c r="O1409" s="2">
        <v>2025</v>
      </c>
      <c r="P1409" s="2" t="str">
        <v>January</v>
      </c>
      <c r="Q1409" s="2" t="s">
        <v>47</v>
      </c>
    </row>
    <row r="1410" spans="1:17" x14ac:dyDescent="0.25">
      <c r="A1410" s="2" t="s">
        <v>2716</v>
      </c>
      <c r="B1410" s="7">
        <v>45730</v>
      </c>
      <c r="C1410" s="5" t="s">
        <v>76</v>
      </c>
      <c r="D1410" s="5" t="s">
        <v>33</v>
      </c>
      <c r="E1410" s="5" t="s">
        <v>295</v>
      </c>
      <c r="F1410" s="2" t="s">
        <v>219</v>
      </c>
      <c r="G1410" s="2">
        <v>7</v>
      </c>
      <c r="H1410" s="25">
        <v>49430</v>
      </c>
      <c r="I1410" s="8">
        <v>5</v>
      </c>
      <c r="J1410" s="25">
        <v>328709.5</v>
      </c>
      <c r="K1410" s="25">
        <f>G1410*H1410</f>
        <v>346010</v>
      </c>
      <c r="L1410" s="8">
        <f>K1410*I1410/100</f>
        <v>17300.5</v>
      </c>
      <c r="M1410" s="2" t="s">
        <v>94</v>
      </c>
      <c r="N1410" s="2" t="s">
        <v>79</v>
      </c>
      <c r="O1410" s="2">
        <v>2025</v>
      </c>
      <c r="P1410" s="2" t="str">
        <v>March</v>
      </c>
      <c r="Q1410" s="2" t="s">
        <v>21</v>
      </c>
    </row>
    <row r="1411" spans="1:17" x14ac:dyDescent="0.25">
      <c r="A1411" s="2" t="s">
        <v>2717</v>
      </c>
      <c r="B1411" s="7">
        <v>45960</v>
      </c>
      <c r="C1411" s="5" t="s">
        <v>135</v>
      </c>
      <c r="D1411" s="5" t="s">
        <v>33</v>
      </c>
      <c r="E1411" s="5" t="s">
        <v>295</v>
      </c>
      <c r="F1411" s="2" t="s">
        <v>314</v>
      </c>
      <c r="G1411" s="2">
        <v>12</v>
      </c>
      <c r="H1411" s="25">
        <v>2860</v>
      </c>
      <c r="I1411" s="8">
        <v>0</v>
      </c>
      <c r="J1411" s="25">
        <v>34320</v>
      </c>
      <c r="K1411" s="25">
        <f>G1411*H1411</f>
        <v>34320</v>
      </c>
      <c r="L1411" s="8">
        <f>K1411*I1411/100</f>
        <v>0</v>
      </c>
      <c r="M1411" s="2" t="s">
        <v>94</v>
      </c>
      <c r="N1411" s="2" t="s">
        <v>54</v>
      </c>
      <c r="O1411" s="2">
        <v>2025</v>
      </c>
      <c r="P1411" s="2" t="str">
        <v>October</v>
      </c>
      <c r="Q1411" s="2" t="s">
        <v>47</v>
      </c>
    </row>
    <row r="1412" spans="1:17" x14ac:dyDescent="0.25">
      <c r="A1412" s="2" t="s">
        <v>2719</v>
      </c>
      <c r="B1412" s="7">
        <v>45732</v>
      </c>
      <c r="C1412" s="5" t="s">
        <v>76</v>
      </c>
      <c r="D1412" s="5" t="s">
        <v>33</v>
      </c>
      <c r="E1412" s="5" t="s">
        <v>25</v>
      </c>
      <c r="F1412" s="2" t="s">
        <v>44</v>
      </c>
      <c r="G1412" s="2">
        <v>7</v>
      </c>
      <c r="H1412" s="25">
        <v>18140</v>
      </c>
      <c r="I1412" s="8">
        <v>5</v>
      </c>
      <c r="J1412" s="25">
        <v>120631</v>
      </c>
      <c r="K1412" s="25">
        <f>G1412*H1412</f>
        <v>126980</v>
      </c>
      <c r="L1412" s="8">
        <f>K1412*I1412/100</f>
        <v>6349</v>
      </c>
      <c r="M1412" s="2" t="s">
        <v>94</v>
      </c>
      <c r="N1412" s="2" t="s">
        <v>176</v>
      </c>
      <c r="O1412" s="2">
        <v>2025</v>
      </c>
      <c r="P1412" s="2" t="str">
        <v>March</v>
      </c>
      <c r="Q1412" s="2" t="s">
        <v>21</v>
      </c>
    </row>
    <row r="1413" spans="1:17" x14ac:dyDescent="0.25">
      <c r="A1413" s="2" t="s">
        <v>2721</v>
      </c>
      <c r="B1413" s="7">
        <v>45847</v>
      </c>
      <c r="C1413" s="5" t="s">
        <v>24</v>
      </c>
      <c r="D1413" s="5" t="s">
        <v>16</v>
      </c>
      <c r="E1413" s="5" t="s">
        <v>25</v>
      </c>
      <c r="F1413" s="2" t="s">
        <v>115</v>
      </c>
      <c r="G1413" s="2">
        <v>2</v>
      </c>
      <c r="H1413" s="25">
        <v>67220</v>
      </c>
      <c r="I1413" s="8">
        <v>0</v>
      </c>
      <c r="J1413" s="25">
        <v>134440</v>
      </c>
      <c r="K1413" s="25">
        <f>G1413*H1413</f>
        <v>134440</v>
      </c>
      <c r="L1413" s="8">
        <f>K1413*I1413/100</f>
        <v>0</v>
      </c>
      <c r="M1413" s="2" t="s">
        <v>53</v>
      </c>
      <c r="N1413" s="2" t="s">
        <v>68</v>
      </c>
      <c r="O1413" s="2">
        <v>2025</v>
      </c>
      <c r="P1413" s="2" t="str">
        <v>July</v>
      </c>
      <c r="Q1413" s="2" t="s">
        <v>21</v>
      </c>
    </row>
    <row r="1414" spans="1:17" x14ac:dyDescent="0.25">
      <c r="A1414" s="2" t="s">
        <v>2723</v>
      </c>
      <c r="B1414" s="7">
        <v>45779</v>
      </c>
      <c r="C1414" s="5" t="s">
        <v>135</v>
      </c>
      <c r="D1414" s="5" t="s">
        <v>58</v>
      </c>
      <c r="E1414" s="5" t="s">
        <v>148</v>
      </c>
      <c r="F1414" s="2" t="s">
        <v>60</v>
      </c>
      <c r="G1414" s="2">
        <v>6</v>
      </c>
      <c r="H1414" s="25">
        <v>480</v>
      </c>
      <c r="I1414" s="8">
        <v>0</v>
      </c>
      <c r="J1414" s="25">
        <v>2880</v>
      </c>
      <c r="K1414" s="25">
        <f>G1414*H1414</f>
        <v>2880</v>
      </c>
      <c r="L1414" s="8">
        <f>K1414*I1414/100</f>
        <v>0</v>
      </c>
      <c r="M1414" s="2" t="s">
        <v>139</v>
      </c>
      <c r="N1414" s="2" t="s">
        <v>37</v>
      </c>
      <c r="O1414" s="2">
        <v>2025</v>
      </c>
      <c r="P1414" s="2" t="str">
        <v>May</v>
      </c>
      <c r="Q1414" s="2" t="s">
        <v>47</v>
      </c>
    </row>
    <row r="1415" spans="1:17" x14ac:dyDescent="0.25">
      <c r="A1415" s="2" t="s">
        <v>2725</v>
      </c>
      <c r="B1415" s="7">
        <v>45775</v>
      </c>
      <c r="C1415" s="5" t="s">
        <v>41</v>
      </c>
      <c r="D1415" s="5" t="s">
        <v>42</v>
      </c>
      <c r="E1415" s="5" t="s">
        <v>148</v>
      </c>
      <c r="F1415" s="2" t="s">
        <v>83</v>
      </c>
      <c r="G1415" s="2">
        <v>10</v>
      </c>
      <c r="H1415" s="25">
        <v>44260</v>
      </c>
      <c r="I1415" s="8">
        <v>15</v>
      </c>
      <c r="J1415" s="25">
        <v>376210</v>
      </c>
      <c r="K1415" s="25">
        <f>G1415*H1415</f>
        <v>442600</v>
      </c>
      <c r="L1415" s="8">
        <f>K1415*I1415/100</f>
        <v>66390</v>
      </c>
      <c r="M1415" s="2" t="s">
        <v>139</v>
      </c>
      <c r="N1415" s="2" t="s">
        <v>73</v>
      </c>
      <c r="O1415" s="2">
        <v>2025</v>
      </c>
      <c r="P1415" s="2" t="str">
        <v>April</v>
      </c>
      <c r="Q1415" s="2" t="s">
        <v>47</v>
      </c>
    </row>
    <row r="1416" spans="1:17" x14ac:dyDescent="0.25">
      <c r="A1416" s="2" t="s">
        <v>2726</v>
      </c>
      <c r="B1416" s="7">
        <v>45845</v>
      </c>
      <c r="C1416" s="5" t="s">
        <v>156</v>
      </c>
      <c r="D1416" s="5" t="s">
        <v>51</v>
      </c>
      <c r="E1416" s="5" t="s">
        <v>25</v>
      </c>
      <c r="F1416" s="2" t="s">
        <v>332</v>
      </c>
      <c r="G1416" s="2">
        <v>2</v>
      </c>
      <c r="H1416" s="25">
        <v>27210</v>
      </c>
      <c r="I1416" s="8">
        <v>0</v>
      </c>
      <c r="J1416" s="25">
        <v>54420</v>
      </c>
      <c r="K1416" s="25">
        <f>G1416*H1416</f>
        <v>54420</v>
      </c>
      <c r="L1416" s="8">
        <f>K1416*I1416/100</f>
        <v>0</v>
      </c>
      <c r="M1416" s="2" t="s">
        <v>102</v>
      </c>
      <c r="N1416" s="2" t="s">
        <v>168</v>
      </c>
      <c r="O1416" s="2">
        <v>2025</v>
      </c>
      <c r="P1416" s="2" t="str">
        <v>July</v>
      </c>
      <c r="Q1416" s="2" t="s">
        <v>47</v>
      </c>
    </row>
    <row r="1417" spans="1:17" x14ac:dyDescent="0.25">
      <c r="A1417" s="2" t="s">
        <v>2728</v>
      </c>
      <c r="B1417" s="7">
        <v>45732</v>
      </c>
      <c r="C1417" s="5" t="s">
        <v>41</v>
      </c>
      <c r="D1417" s="5" t="s">
        <v>42</v>
      </c>
      <c r="E1417" s="5" t="s">
        <v>34</v>
      </c>
      <c r="F1417" s="2" t="s">
        <v>290</v>
      </c>
      <c r="G1417" s="2">
        <v>1</v>
      </c>
      <c r="H1417" s="25">
        <v>520</v>
      </c>
      <c r="I1417" s="8">
        <v>0</v>
      </c>
      <c r="J1417" s="25">
        <v>520</v>
      </c>
      <c r="K1417" s="25">
        <f>G1417*H1417</f>
        <v>520</v>
      </c>
      <c r="L1417" s="8">
        <f>K1417*I1417/100</f>
        <v>0</v>
      </c>
      <c r="M1417" s="2" t="s">
        <v>102</v>
      </c>
      <c r="N1417" s="2" t="s">
        <v>341</v>
      </c>
      <c r="O1417" s="2">
        <v>2025</v>
      </c>
      <c r="P1417" s="2" t="str">
        <v>March</v>
      </c>
      <c r="Q1417" s="2" t="s">
        <v>47</v>
      </c>
    </row>
    <row r="1418" spans="1:17" x14ac:dyDescent="0.25">
      <c r="A1418" s="2" t="s">
        <v>2729</v>
      </c>
      <c r="B1418" s="7">
        <v>45881</v>
      </c>
      <c r="C1418" s="5" t="s">
        <v>41</v>
      </c>
      <c r="D1418" s="5" t="s">
        <v>42</v>
      </c>
      <c r="E1418" s="5" t="s">
        <v>148</v>
      </c>
      <c r="F1418" s="2" t="s">
        <v>379</v>
      </c>
      <c r="G1418" s="2">
        <v>10</v>
      </c>
      <c r="H1418" s="25">
        <v>59720</v>
      </c>
      <c r="I1418" s="8">
        <v>5</v>
      </c>
      <c r="J1418" s="25">
        <v>567340</v>
      </c>
      <c r="K1418" s="25">
        <f>G1418*H1418</f>
        <v>597200</v>
      </c>
      <c r="L1418" s="8">
        <f>K1418*I1418/100</f>
        <v>29860</v>
      </c>
      <c r="M1418" s="2" t="s">
        <v>53</v>
      </c>
      <c r="N1418" s="2" t="s">
        <v>266</v>
      </c>
      <c r="O1418" s="2">
        <v>2025</v>
      </c>
      <c r="P1418" s="2" t="str">
        <v>August</v>
      </c>
      <c r="Q1418" s="2" t="s">
        <v>47</v>
      </c>
    </row>
    <row r="1419" spans="1:17" x14ac:dyDescent="0.25">
      <c r="A1419" s="2" t="s">
        <v>2731</v>
      </c>
      <c r="B1419" s="7">
        <v>45738</v>
      </c>
      <c r="C1419" s="5" t="s">
        <v>135</v>
      </c>
      <c r="D1419" s="5" t="s">
        <v>58</v>
      </c>
      <c r="E1419" s="5" t="s">
        <v>25</v>
      </c>
      <c r="F1419" s="2" t="s">
        <v>115</v>
      </c>
      <c r="G1419" s="2">
        <v>1</v>
      </c>
      <c r="H1419" s="25">
        <v>3320</v>
      </c>
      <c r="I1419" s="8">
        <v>10</v>
      </c>
      <c r="J1419" s="25">
        <v>2988</v>
      </c>
      <c r="K1419" s="25">
        <f>G1419*H1419</f>
        <v>3320</v>
      </c>
      <c r="L1419" s="8">
        <f>K1419*I1419/100</f>
        <v>332</v>
      </c>
      <c r="M1419" s="2" t="s">
        <v>102</v>
      </c>
      <c r="N1419" s="2" t="s">
        <v>79</v>
      </c>
      <c r="O1419" s="2">
        <v>2025</v>
      </c>
      <c r="P1419" s="2" t="str">
        <v>March</v>
      </c>
      <c r="Q1419" s="2" t="s">
        <v>21</v>
      </c>
    </row>
    <row r="1420" spans="1:17" x14ac:dyDescent="0.25">
      <c r="A1420" s="2" t="s">
        <v>2733</v>
      </c>
      <c r="B1420" s="7">
        <v>45692</v>
      </c>
      <c r="C1420" s="5" t="s">
        <v>156</v>
      </c>
      <c r="D1420" s="5" t="s">
        <v>51</v>
      </c>
      <c r="E1420" s="5" t="s">
        <v>295</v>
      </c>
      <c r="F1420" s="2" t="s">
        <v>219</v>
      </c>
      <c r="G1420" s="2">
        <v>8</v>
      </c>
      <c r="H1420" s="25">
        <v>1240</v>
      </c>
      <c r="I1420" s="8">
        <v>10</v>
      </c>
      <c r="J1420" s="25">
        <v>8928</v>
      </c>
      <c r="K1420" s="25">
        <f>G1420*H1420</f>
        <v>9920</v>
      </c>
      <c r="L1420" s="8">
        <f>K1420*I1420/100</f>
        <v>992</v>
      </c>
      <c r="M1420" s="2" t="s">
        <v>139</v>
      </c>
      <c r="N1420" s="2" t="s">
        <v>406</v>
      </c>
      <c r="O1420" s="2">
        <v>2025</v>
      </c>
      <c r="P1420" s="2" t="str">
        <v>February</v>
      </c>
      <c r="Q1420" s="2" t="s">
        <v>47</v>
      </c>
    </row>
    <row r="1421" spans="1:17" x14ac:dyDescent="0.25">
      <c r="A1421" s="2" t="s">
        <v>2734</v>
      </c>
      <c r="B1421" s="7">
        <v>45995</v>
      </c>
      <c r="C1421" s="5" t="s">
        <v>76</v>
      </c>
      <c r="D1421" s="5" t="s">
        <v>33</v>
      </c>
      <c r="E1421" s="5" t="s">
        <v>34</v>
      </c>
      <c r="F1421" s="2" t="s">
        <v>171</v>
      </c>
      <c r="G1421" s="2">
        <v>8</v>
      </c>
      <c r="H1421" s="25">
        <v>1360</v>
      </c>
      <c r="I1421" s="8">
        <v>10</v>
      </c>
      <c r="J1421" s="25">
        <v>9792</v>
      </c>
      <c r="K1421" s="25">
        <f>G1421*H1421</f>
        <v>10880</v>
      </c>
      <c r="L1421" s="8">
        <f>K1421*I1421/100</f>
        <v>1088</v>
      </c>
      <c r="M1421" s="2" t="s">
        <v>102</v>
      </c>
      <c r="N1421" s="2" t="s">
        <v>176</v>
      </c>
      <c r="O1421" s="2">
        <v>2025</v>
      </c>
      <c r="P1421" s="2" t="str">
        <v>December</v>
      </c>
      <c r="Q1421" s="2" t="s">
        <v>47</v>
      </c>
    </row>
    <row r="1422" spans="1:17" x14ac:dyDescent="0.25">
      <c r="A1422" s="2" t="s">
        <v>2736</v>
      </c>
      <c r="B1422" s="7">
        <v>45949</v>
      </c>
      <c r="C1422" s="5" t="s">
        <v>32</v>
      </c>
      <c r="D1422" s="5" t="s">
        <v>33</v>
      </c>
      <c r="E1422" s="5" t="s">
        <v>25</v>
      </c>
      <c r="F1422" s="2" t="s">
        <v>332</v>
      </c>
      <c r="G1422" s="2">
        <v>7</v>
      </c>
      <c r="H1422" s="25">
        <v>50200</v>
      </c>
      <c r="I1422" s="8">
        <v>0</v>
      </c>
      <c r="J1422" s="25">
        <v>351400</v>
      </c>
      <c r="K1422" s="25">
        <f>G1422*H1422</f>
        <v>351400</v>
      </c>
      <c r="L1422" s="8">
        <f>K1422*I1422/100</f>
        <v>0</v>
      </c>
      <c r="M1422" s="2" t="s">
        <v>94</v>
      </c>
      <c r="N1422" s="2" t="s">
        <v>73</v>
      </c>
      <c r="O1422" s="2">
        <v>2025</v>
      </c>
      <c r="P1422" s="2" t="str">
        <v>October</v>
      </c>
      <c r="Q1422" s="2" t="s">
        <v>21</v>
      </c>
    </row>
    <row r="1423" spans="1:17" x14ac:dyDescent="0.25">
      <c r="A1423" s="2" t="s">
        <v>2737</v>
      </c>
      <c r="B1423" s="7">
        <v>45669</v>
      </c>
      <c r="C1423" s="5" t="s">
        <v>76</v>
      </c>
      <c r="D1423" s="5" t="s">
        <v>33</v>
      </c>
      <c r="E1423" s="5" t="s">
        <v>25</v>
      </c>
      <c r="F1423" s="2" t="s">
        <v>332</v>
      </c>
      <c r="G1423" s="2">
        <v>4</v>
      </c>
      <c r="H1423" s="25">
        <v>8170</v>
      </c>
      <c r="I1423" s="8">
        <v>0</v>
      </c>
      <c r="J1423" s="25">
        <v>32680</v>
      </c>
      <c r="K1423" s="25">
        <f>G1423*H1423</f>
        <v>32680</v>
      </c>
      <c r="L1423" s="8">
        <f>K1423*I1423/100</f>
        <v>0</v>
      </c>
      <c r="M1423" s="2" t="s">
        <v>94</v>
      </c>
      <c r="N1423" s="2" t="s">
        <v>54</v>
      </c>
      <c r="O1423" s="2">
        <v>2025</v>
      </c>
      <c r="P1423" s="2" t="str">
        <v>January</v>
      </c>
      <c r="Q1423" s="2" t="s">
        <v>47</v>
      </c>
    </row>
    <row r="1424" spans="1:17" x14ac:dyDescent="0.25">
      <c r="A1424" s="2" t="s">
        <v>2738</v>
      </c>
      <c r="B1424" s="7">
        <v>45902</v>
      </c>
      <c r="C1424" s="5" t="s">
        <v>32</v>
      </c>
      <c r="D1424" s="5" t="s">
        <v>33</v>
      </c>
      <c r="E1424" s="5" t="s">
        <v>25</v>
      </c>
      <c r="F1424" s="2" t="s">
        <v>255</v>
      </c>
      <c r="G1424" s="2">
        <v>6</v>
      </c>
      <c r="H1424" s="25">
        <v>64020</v>
      </c>
      <c r="I1424" s="8">
        <v>0</v>
      </c>
      <c r="J1424" s="25">
        <v>384120</v>
      </c>
      <c r="K1424" s="25">
        <f>G1424*H1424</f>
        <v>384120</v>
      </c>
      <c r="L1424" s="8">
        <f>K1424*I1424/100</f>
        <v>0</v>
      </c>
      <c r="M1424" s="2" t="s">
        <v>53</v>
      </c>
      <c r="N1424" s="2" t="s">
        <v>168</v>
      </c>
      <c r="O1424" s="2">
        <v>2025</v>
      </c>
      <c r="P1424" s="2" t="str">
        <v>September</v>
      </c>
      <c r="Q1424" s="2" t="s">
        <v>47</v>
      </c>
    </row>
    <row r="1425" spans="1:17" x14ac:dyDescent="0.25">
      <c r="A1425" s="2" t="s">
        <v>2739</v>
      </c>
      <c r="B1425" s="7">
        <v>45834</v>
      </c>
      <c r="C1425" s="5" t="s">
        <v>156</v>
      </c>
      <c r="D1425" s="5" t="s">
        <v>51</v>
      </c>
      <c r="E1425" s="5" t="s">
        <v>34</v>
      </c>
      <c r="F1425" s="2" t="s">
        <v>35</v>
      </c>
      <c r="G1425" s="2">
        <v>12</v>
      </c>
      <c r="H1425" s="25">
        <v>11280</v>
      </c>
      <c r="I1425" s="8">
        <v>0</v>
      </c>
      <c r="J1425" s="25">
        <v>135360</v>
      </c>
      <c r="K1425" s="25">
        <f>G1425*H1425</f>
        <v>135360</v>
      </c>
      <c r="L1425" s="8">
        <f>K1425*I1425/100</f>
        <v>0</v>
      </c>
      <c r="M1425" s="2" t="s">
        <v>102</v>
      </c>
      <c r="N1425" s="2" t="s">
        <v>411</v>
      </c>
      <c r="O1425" s="2">
        <v>2025</v>
      </c>
      <c r="P1425" s="2" t="str">
        <v>June</v>
      </c>
      <c r="Q1425" s="2" t="s">
        <v>47</v>
      </c>
    </row>
    <row r="1426" spans="1:17" x14ac:dyDescent="0.25">
      <c r="A1426" s="2" t="s">
        <v>2740</v>
      </c>
      <c r="B1426" s="7">
        <v>45813</v>
      </c>
      <c r="C1426" s="5" t="s">
        <v>76</v>
      </c>
      <c r="D1426" s="5" t="s">
        <v>33</v>
      </c>
      <c r="E1426" s="5" t="s">
        <v>179</v>
      </c>
      <c r="F1426" s="2" t="s">
        <v>543</v>
      </c>
      <c r="G1426" s="2">
        <v>1</v>
      </c>
      <c r="H1426" s="25">
        <v>4990</v>
      </c>
      <c r="I1426" s="8">
        <v>0</v>
      </c>
      <c r="J1426" s="25">
        <v>4990</v>
      </c>
      <c r="K1426" s="25">
        <f>G1426*H1426</f>
        <v>4990</v>
      </c>
      <c r="L1426" s="8">
        <f>K1426*I1426/100</f>
        <v>0</v>
      </c>
      <c r="M1426" s="2" t="s">
        <v>139</v>
      </c>
      <c r="N1426" s="2" t="s">
        <v>73</v>
      </c>
      <c r="O1426" s="2">
        <v>2025</v>
      </c>
      <c r="P1426" s="2" t="str">
        <v>June</v>
      </c>
      <c r="Q1426" s="2" t="s">
        <v>47</v>
      </c>
    </row>
    <row r="1427" spans="1:17" x14ac:dyDescent="0.25">
      <c r="A1427" s="2" t="s">
        <v>2742</v>
      </c>
      <c r="B1427" s="7">
        <v>45964</v>
      </c>
      <c r="C1427" s="5" t="s">
        <v>76</v>
      </c>
      <c r="D1427" s="5" t="s">
        <v>33</v>
      </c>
      <c r="E1427" s="5" t="s">
        <v>25</v>
      </c>
      <c r="F1427" s="2" t="s">
        <v>248</v>
      </c>
      <c r="G1427" s="2">
        <v>9</v>
      </c>
      <c r="H1427" s="25">
        <v>67830</v>
      </c>
      <c r="I1427" s="8">
        <v>10</v>
      </c>
      <c r="J1427" s="25">
        <v>549423</v>
      </c>
      <c r="K1427" s="25">
        <f>G1427*H1427</f>
        <v>610470</v>
      </c>
      <c r="L1427" s="8">
        <f>K1427*I1427/100</f>
        <v>61047</v>
      </c>
      <c r="M1427" s="2" t="s">
        <v>94</v>
      </c>
      <c r="N1427" s="2" t="s">
        <v>406</v>
      </c>
      <c r="O1427" s="2">
        <v>2025</v>
      </c>
      <c r="P1427" s="2" t="str">
        <v>November</v>
      </c>
      <c r="Q1427" s="2" t="s">
        <v>47</v>
      </c>
    </row>
    <row r="1428" spans="1:17" x14ac:dyDescent="0.25">
      <c r="A1428" s="2" t="s">
        <v>2743</v>
      </c>
      <c r="B1428" s="7">
        <v>45882</v>
      </c>
      <c r="C1428" s="5" t="s">
        <v>41</v>
      </c>
      <c r="D1428" s="5" t="s">
        <v>42</v>
      </c>
      <c r="E1428" s="5" t="s">
        <v>179</v>
      </c>
      <c r="F1428" s="2" t="s">
        <v>255</v>
      </c>
      <c r="G1428" s="2">
        <v>9</v>
      </c>
      <c r="H1428" s="25">
        <v>16460</v>
      </c>
      <c r="I1428" s="8">
        <v>0</v>
      </c>
      <c r="J1428" s="25">
        <v>148140</v>
      </c>
      <c r="K1428" s="25">
        <f>G1428*H1428</f>
        <v>148140</v>
      </c>
      <c r="L1428" s="8">
        <f>K1428*I1428/100</f>
        <v>0</v>
      </c>
      <c r="M1428" s="2" t="s">
        <v>94</v>
      </c>
      <c r="N1428" s="2" t="s">
        <v>406</v>
      </c>
      <c r="O1428" s="2">
        <v>2025</v>
      </c>
      <c r="P1428" s="2" t="str">
        <v>August</v>
      </c>
      <c r="Q1428" s="2" t="s">
        <v>47</v>
      </c>
    </row>
    <row r="1429" spans="1:17" x14ac:dyDescent="0.25">
      <c r="A1429" s="2" t="s">
        <v>2745</v>
      </c>
      <c r="B1429" s="7">
        <v>45980</v>
      </c>
      <c r="C1429" s="5" t="s">
        <v>135</v>
      </c>
      <c r="D1429" s="5" t="s">
        <v>58</v>
      </c>
      <c r="E1429" s="5" t="s">
        <v>25</v>
      </c>
      <c r="F1429" s="2" t="s">
        <v>248</v>
      </c>
      <c r="G1429" s="2">
        <v>6</v>
      </c>
      <c r="H1429" s="25">
        <v>51310</v>
      </c>
      <c r="I1429" s="8">
        <v>0</v>
      </c>
      <c r="J1429" s="25">
        <v>307860</v>
      </c>
      <c r="K1429" s="25">
        <f>G1429*H1429</f>
        <v>307860</v>
      </c>
      <c r="L1429" s="8">
        <f>K1429*I1429/100</f>
        <v>0</v>
      </c>
      <c r="M1429" s="2" t="s">
        <v>102</v>
      </c>
      <c r="N1429" s="2" t="s">
        <v>79</v>
      </c>
      <c r="O1429" s="2">
        <v>2025</v>
      </c>
      <c r="P1429" s="2" t="str">
        <v>November</v>
      </c>
      <c r="Q1429" s="2" t="s">
        <v>47</v>
      </c>
    </row>
    <row r="1430" spans="1:17" x14ac:dyDescent="0.25">
      <c r="A1430" s="2" t="s">
        <v>2746</v>
      </c>
      <c r="B1430" s="7">
        <v>45853</v>
      </c>
      <c r="C1430" s="5" t="s">
        <v>238</v>
      </c>
      <c r="D1430" s="5" t="s">
        <v>51</v>
      </c>
      <c r="E1430" s="5" t="s">
        <v>25</v>
      </c>
      <c r="F1430" s="2" t="s">
        <v>26</v>
      </c>
      <c r="G1430" s="2">
        <v>9</v>
      </c>
      <c r="H1430" s="25">
        <v>8150</v>
      </c>
      <c r="I1430" s="8">
        <v>15</v>
      </c>
      <c r="J1430" s="25">
        <v>62347.5</v>
      </c>
      <c r="K1430" s="25">
        <f>G1430*H1430</f>
        <v>73350</v>
      </c>
      <c r="L1430" s="8">
        <f>K1430*I1430/100</f>
        <v>11002.5</v>
      </c>
      <c r="M1430" s="2" t="s">
        <v>139</v>
      </c>
      <c r="N1430" s="2" t="s">
        <v>411</v>
      </c>
      <c r="O1430" s="2">
        <v>2025</v>
      </c>
      <c r="P1430" s="2" t="str">
        <v>July</v>
      </c>
      <c r="Q1430" s="2" t="s">
        <v>21</v>
      </c>
    </row>
    <row r="1431" spans="1:17" x14ac:dyDescent="0.25">
      <c r="A1431" s="2" t="s">
        <v>2748</v>
      </c>
      <c r="B1431" s="7">
        <v>45872</v>
      </c>
      <c r="C1431" s="5" t="s">
        <v>24</v>
      </c>
      <c r="D1431" s="5" t="s">
        <v>16</v>
      </c>
      <c r="E1431" s="5" t="s">
        <v>295</v>
      </c>
      <c r="F1431" s="2" t="s">
        <v>66</v>
      </c>
      <c r="G1431" s="2">
        <v>12</v>
      </c>
      <c r="H1431" s="25">
        <v>10020</v>
      </c>
      <c r="I1431" s="8">
        <v>0</v>
      </c>
      <c r="J1431" s="25">
        <v>120240</v>
      </c>
      <c r="K1431" s="25">
        <f>G1431*H1431</f>
        <v>120240</v>
      </c>
      <c r="L1431" s="8">
        <f>K1431*I1431/100</f>
        <v>0</v>
      </c>
      <c r="M1431" s="2" t="s">
        <v>102</v>
      </c>
      <c r="N1431" s="2" t="s">
        <v>73</v>
      </c>
      <c r="O1431" s="2">
        <v>2025</v>
      </c>
      <c r="P1431" s="2" t="str">
        <v>August</v>
      </c>
      <c r="Q1431" s="2" t="s">
        <v>21</v>
      </c>
    </row>
    <row r="1432" spans="1:17" x14ac:dyDescent="0.25">
      <c r="A1432" s="2" t="s">
        <v>2749</v>
      </c>
      <c r="B1432" s="7">
        <v>45875</v>
      </c>
      <c r="C1432" s="5" t="s">
        <v>32</v>
      </c>
      <c r="D1432" s="5" t="s">
        <v>33</v>
      </c>
      <c r="E1432" s="5" t="s">
        <v>179</v>
      </c>
      <c r="F1432" s="2" t="s">
        <v>239</v>
      </c>
      <c r="G1432" s="2">
        <v>7</v>
      </c>
      <c r="H1432" s="25">
        <v>7480</v>
      </c>
      <c r="I1432" s="8">
        <v>10</v>
      </c>
      <c r="J1432" s="25">
        <v>47124</v>
      </c>
      <c r="K1432" s="25">
        <f>G1432*H1432</f>
        <v>52360</v>
      </c>
      <c r="L1432" s="8">
        <f>K1432*I1432/100</f>
        <v>5236</v>
      </c>
      <c r="M1432" s="2" t="s">
        <v>102</v>
      </c>
      <c r="N1432" s="2" t="s">
        <v>341</v>
      </c>
      <c r="O1432" s="2">
        <v>2025</v>
      </c>
      <c r="P1432" s="2" t="str">
        <v>August</v>
      </c>
      <c r="Q1432" s="2" t="s">
        <v>47</v>
      </c>
    </row>
    <row r="1433" spans="1:17" x14ac:dyDescent="0.25">
      <c r="A1433" s="2" t="s">
        <v>2750</v>
      </c>
      <c r="B1433" s="7">
        <v>45716</v>
      </c>
      <c r="C1433" s="5" t="s">
        <v>135</v>
      </c>
      <c r="D1433" s="5" t="s">
        <v>58</v>
      </c>
      <c r="E1433" s="5" t="s">
        <v>25</v>
      </c>
      <c r="F1433" s="2" t="s">
        <v>255</v>
      </c>
      <c r="G1433" s="2">
        <v>4</v>
      </c>
      <c r="H1433" s="25">
        <v>66810</v>
      </c>
      <c r="I1433" s="8">
        <v>10</v>
      </c>
      <c r="J1433" s="25">
        <v>240516</v>
      </c>
      <c r="K1433" s="25">
        <f>G1433*H1433</f>
        <v>267240</v>
      </c>
      <c r="L1433" s="8">
        <f>K1433*I1433/100</f>
        <v>26724</v>
      </c>
      <c r="M1433" s="2" t="s">
        <v>139</v>
      </c>
      <c r="N1433" s="2" t="s">
        <v>46</v>
      </c>
      <c r="O1433" s="2">
        <v>2025</v>
      </c>
      <c r="P1433" s="2" t="str">
        <v>February</v>
      </c>
      <c r="Q1433" s="2" t="s">
        <v>21</v>
      </c>
    </row>
    <row r="1434" spans="1:17" x14ac:dyDescent="0.25">
      <c r="A1434" s="2" t="s">
        <v>2752</v>
      </c>
      <c r="B1434" s="7">
        <v>45719</v>
      </c>
      <c r="C1434" s="5" t="s">
        <v>238</v>
      </c>
      <c r="D1434" s="5" t="s">
        <v>51</v>
      </c>
      <c r="E1434" s="5" t="s">
        <v>34</v>
      </c>
      <c r="F1434" s="2" t="s">
        <v>374</v>
      </c>
      <c r="G1434" s="2">
        <v>6</v>
      </c>
      <c r="H1434" s="25">
        <v>2530</v>
      </c>
      <c r="I1434" s="8">
        <v>0</v>
      </c>
      <c r="J1434" s="25">
        <v>15180</v>
      </c>
      <c r="K1434" s="25">
        <f>G1434*H1434</f>
        <v>15180</v>
      </c>
      <c r="L1434" s="8">
        <f>K1434*I1434/100</f>
        <v>0</v>
      </c>
      <c r="M1434" s="2" t="s">
        <v>53</v>
      </c>
      <c r="N1434" s="2" t="s">
        <v>266</v>
      </c>
      <c r="O1434" s="2">
        <v>2025</v>
      </c>
      <c r="P1434" s="2" t="str">
        <v>March</v>
      </c>
      <c r="Q1434" s="2" t="s">
        <v>21</v>
      </c>
    </row>
    <row r="1435" spans="1:17" x14ac:dyDescent="0.25">
      <c r="A1435" s="2" t="s">
        <v>2753</v>
      </c>
      <c r="B1435" s="7">
        <v>45829</v>
      </c>
      <c r="C1435" s="5" t="s">
        <v>135</v>
      </c>
      <c r="D1435" s="5" t="s">
        <v>58</v>
      </c>
      <c r="E1435" s="5" t="s">
        <v>179</v>
      </c>
      <c r="F1435" s="2" t="s">
        <v>115</v>
      </c>
      <c r="G1435" s="2">
        <v>9</v>
      </c>
      <c r="H1435" s="25">
        <v>8330</v>
      </c>
      <c r="I1435" s="8">
        <v>15</v>
      </c>
      <c r="J1435" s="25">
        <v>63724.5</v>
      </c>
      <c r="K1435" s="25">
        <f>G1435*H1435</f>
        <v>74970</v>
      </c>
      <c r="L1435" s="8">
        <f>K1435*I1435/100</f>
        <v>11245.5</v>
      </c>
      <c r="M1435" s="2" t="s">
        <v>94</v>
      </c>
      <c r="N1435" s="2" t="s">
        <v>37</v>
      </c>
      <c r="O1435" s="2">
        <v>2025</v>
      </c>
      <c r="P1435" s="2" t="str">
        <v>June</v>
      </c>
      <c r="Q1435" s="2" t="s">
        <v>21</v>
      </c>
    </row>
    <row r="1436" spans="1:17" x14ac:dyDescent="0.25">
      <c r="A1436" s="2" t="s">
        <v>2754</v>
      </c>
      <c r="B1436" s="7">
        <v>45967</v>
      </c>
      <c r="C1436" s="5" t="s">
        <v>238</v>
      </c>
      <c r="D1436" s="5" t="s">
        <v>51</v>
      </c>
      <c r="E1436" s="5" t="s">
        <v>179</v>
      </c>
      <c r="F1436" s="2" t="s">
        <v>232</v>
      </c>
      <c r="G1436" s="2">
        <v>8</v>
      </c>
      <c r="H1436" s="25">
        <v>10320</v>
      </c>
      <c r="I1436" s="8">
        <v>0</v>
      </c>
      <c r="J1436" s="25">
        <v>82560</v>
      </c>
      <c r="K1436" s="25">
        <f>G1436*H1436</f>
        <v>82560</v>
      </c>
      <c r="L1436" s="8">
        <f>K1436*I1436/100</f>
        <v>0</v>
      </c>
      <c r="M1436" s="2" t="s">
        <v>139</v>
      </c>
      <c r="N1436" s="2" t="s">
        <v>46</v>
      </c>
      <c r="O1436" s="2">
        <v>2025</v>
      </c>
      <c r="P1436" s="2" t="str">
        <v>November</v>
      </c>
      <c r="Q1436" s="2" t="s">
        <v>47</v>
      </c>
    </row>
    <row r="1437" spans="1:17" x14ac:dyDescent="0.25">
      <c r="A1437" s="2" t="s">
        <v>2756</v>
      </c>
      <c r="B1437" s="7">
        <v>46022</v>
      </c>
      <c r="C1437" s="5" t="s">
        <v>32</v>
      </c>
      <c r="D1437" s="5" t="s">
        <v>33</v>
      </c>
      <c r="E1437" s="5" t="s">
        <v>34</v>
      </c>
      <c r="F1437" s="2" t="s">
        <v>290</v>
      </c>
      <c r="G1437" s="2">
        <v>1</v>
      </c>
      <c r="H1437" s="25">
        <v>25290</v>
      </c>
      <c r="I1437" s="8">
        <v>0</v>
      </c>
      <c r="J1437" s="25">
        <v>25290</v>
      </c>
      <c r="K1437" s="25">
        <f>G1437*H1437</f>
        <v>25290</v>
      </c>
      <c r="L1437" s="8">
        <f>K1437*I1437/100</f>
        <v>0</v>
      </c>
      <c r="M1437" s="2" t="s">
        <v>102</v>
      </c>
      <c r="N1437" s="2" t="s">
        <v>406</v>
      </c>
      <c r="O1437" s="2">
        <v>2025</v>
      </c>
      <c r="P1437" s="2" t="str">
        <v>December</v>
      </c>
      <c r="Q1437" s="2" t="s">
        <v>21</v>
      </c>
    </row>
    <row r="1438" spans="1:17" x14ac:dyDescent="0.25">
      <c r="A1438" s="2" t="s">
        <v>2757</v>
      </c>
      <c r="B1438" s="7">
        <v>45879</v>
      </c>
      <c r="C1438" s="5" t="s">
        <v>24</v>
      </c>
      <c r="D1438" s="5" t="s">
        <v>33</v>
      </c>
      <c r="E1438" s="5" t="s">
        <v>148</v>
      </c>
      <c r="F1438" s="2" t="s">
        <v>149</v>
      </c>
      <c r="G1438" s="2">
        <v>12</v>
      </c>
      <c r="H1438" s="25">
        <v>5410</v>
      </c>
      <c r="I1438" s="8">
        <v>0</v>
      </c>
      <c r="J1438" s="25">
        <v>64920</v>
      </c>
      <c r="K1438" s="25">
        <f>G1438*H1438</f>
        <v>64920</v>
      </c>
      <c r="L1438" s="8">
        <f>K1438*I1438/100</f>
        <v>0</v>
      </c>
      <c r="M1438" s="2" t="s">
        <v>94</v>
      </c>
      <c r="N1438" s="2" t="s">
        <v>188</v>
      </c>
      <c r="O1438" s="2">
        <v>2025</v>
      </c>
      <c r="P1438" s="2" t="str">
        <v>August</v>
      </c>
      <c r="Q1438" s="2" t="s">
        <v>21</v>
      </c>
    </row>
    <row r="1439" spans="1:17" x14ac:dyDescent="0.25">
      <c r="A1439" s="2" t="s">
        <v>2758</v>
      </c>
      <c r="B1439" s="7">
        <v>45758</v>
      </c>
      <c r="C1439" s="5" t="s">
        <v>24</v>
      </c>
      <c r="D1439" s="5" t="s">
        <v>16</v>
      </c>
      <c r="E1439" s="5" t="s">
        <v>34</v>
      </c>
      <c r="F1439" s="2" t="s">
        <v>18</v>
      </c>
      <c r="G1439" s="2">
        <v>4</v>
      </c>
      <c r="H1439" s="25">
        <v>2750</v>
      </c>
      <c r="I1439" s="8">
        <v>0</v>
      </c>
      <c r="J1439" s="25">
        <v>11000</v>
      </c>
      <c r="K1439" s="25">
        <f>G1439*H1439</f>
        <v>11000</v>
      </c>
      <c r="L1439" s="8">
        <f>K1439*I1439/100</f>
        <v>0</v>
      </c>
      <c r="M1439" s="2" t="s">
        <v>94</v>
      </c>
      <c r="N1439" s="2" t="s">
        <v>266</v>
      </c>
      <c r="O1439" s="2">
        <v>2025</v>
      </c>
      <c r="P1439" s="2" t="str">
        <v>April</v>
      </c>
      <c r="Q1439" s="2" t="s">
        <v>47</v>
      </c>
    </row>
    <row r="1440" spans="1:17" x14ac:dyDescent="0.25">
      <c r="A1440" s="2" t="s">
        <v>2760</v>
      </c>
      <c r="B1440" s="7">
        <v>45762</v>
      </c>
      <c r="C1440" s="5" t="s">
        <v>32</v>
      </c>
      <c r="D1440" s="5" t="s">
        <v>33</v>
      </c>
      <c r="E1440" s="5" t="s">
        <v>148</v>
      </c>
      <c r="F1440" s="2" t="s">
        <v>167</v>
      </c>
      <c r="G1440" s="2">
        <v>9</v>
      </c>
      <c r="H1440" s="25">
        <v>5470</v>
      </c>
      <c r="I1440" s="8">
        <v>5</v>
      </c>
      <c r="J1440" s="25">
        <v>46768.5</v>
      </c>
      <c r="K1440" s="25">
        <f>G1440*H1440</f>
        <v>49230</v>
      </c>
      <c r="L1440" s="8">
        <f>K1440*I1440/100</f>
        <v>2461.5</v>
      </c>
      <c r="M1440" s="2" t="s">
        <v>94</v>
      </c>
      <c r="N1440" s="2" t="s">
        <v>266</v>
      </c>
      <c r="O1440" s="2">
        <v>2025</v>
      </c>
      <c r="P1440" s="2" t="str">
        <v>April</v>
      </c>
      <c r="Q1440" s="2" t="s">
        <v>47</v>
      </c>
    </row>
    <row r="1441" spans="1:17" x14ac:dyDescent="0.25">
      <c r="A1441" s="2" t="s">
        <v>2761</v>
      </c>
      <c r="B1441" s="7">
        <v>45658</v>
      </c>
      <c r="C1441" s="5" t="s">
        <v>32</v>
      </c>
      <c r="D1441" s="5" t="s">
        <v>33</v>
      </c>
      <c r="E1441" s="5" t="s">
        <v>148</v>
      </c>
      <c r="F1441" s="2" t="s">
        <v>149</v>
      </c>
      <c r="G1441" s="2">
        <v>11</v>
      </c>
      <c r="H1441" s="25">
        <v>73780</v>
      </c>
      <c r="I1441" s="8">
        <v>0</v>
      </c>
      <c r="J1441" s="25">
        <v>811580</v>
      </c>
      <c r="K1441" s="25">
        <f>G1441*H1441</f>
        <v>811580</v>
      </c>
      <c r="L1441" s="8">
        <f>K1441*I1441/100</f>
        <v>0</v>
      </c>
      <c r="M1441" s="2" t="s">
        <v>53</v>
      </c>
      <c r="N1441" s="2" t="s">
        <v>68</v>
      </c>
      <c r="O1441" s="2">
        <v>2025</v>
      </c>
      <c r="P1441" s="2" t="str">
        <v>January</v>
      </c>
      <c r="Q1441" s="2" t="s">
        <v>47</v>
      </c>
    </row>
    <row r="1442" spans="1:17" x14ac:dyDescent="0.25">
      <c r="A1442" s="2" t="s">
        <v>2762</v>
      </c>
      <c r="B1442" s="7">
        <v>45799</v>
      </c>
      <c r="C1442" s="5" t="s">
        <v>156</v>
      </c>
      <c r="D1442" s="5" t="s">
        <v>51</v>
      </c>
      <c r="E1442" s="5" t="s">
        <v>179</v>
      </c>
      <c r="F1442" s="2" t="s">
        <v>239</v>
      </c>
      <c r="G1442" s="2">
        <v>11</v>
      </c>
      <c r="H1442" s="25">
        <v>51030</v>
      </c>
      <c r="I1442" s="8">
        <v>0</v>
      </c>
      <c r="J1442" s="25">
        <v>561330</v>
      </c>
      <c r="K1442" s="25">
        <f>G1442*H1442</f>
        <v>561330</v>
      </c>
      <c r="L1442" s="8">
        <f>K1442*I1442/100</f>
        <v>0</v>
      </c>
      <c r="M1442" s="2" t="s">
        <v>53</v>
      </c>
      <c r="N1442" s="2" t="s">
        <v>188</v>
      </c>
      <c r="O1442" s="2">
        <v>2025</v>
      </c>
      <c r="P1442" s="2" t="str">
        <v>May</v>
      </c>
      <c r="Q1442" s="2" t="s">
        <v>47</v>
      </c>
    </row>
    <row r="1443" spans="1:17" x14ac:dyDescent="0.25">
      <c r="A1443" s="2" t="s">
        <v>2764</v>
      </c>
      <c r="B1443" s="7">
        <v>45711</v>
      </c>
      <c r="C1443" s="5" t="s">
        <v>32</v>
      </c>
      <c r="D1443" s="5" t="s">
        <v>33</v>
      </c>
      <c r="E1443" s="5" t="s">
        <v>148</v>
      </c>
      <c r="F1443" s="2" t="s">
        <v>167</v>
      </c>
      <c r="G1443" s="2">
        <v>9</v>
      </c>
      <c r="H1443" s="25">
        <v>4960</v>
      </c>
      <c r="I1443" s="8">
        <v>5</v>
      </c>
      <c r="J1443" s="25">
        <v>42408</v>
      </c>
      <c r="K1443" s="25">
        <f>G1443*H1443</f>
        <v>44640</v>
      </c>
      <c r="L1443" s="8">
        <f>K1443*I1443/100</f>
        <v>2232</v>
      </c>
      <c r="M1443" s="2" t="s">
        <v>102</v>
      </c>
      <c r="N1443" s="2" t="s">
        <v>188</v>
      </c>
      <c r="O1443" s="2">
        <v>2025</v>
      </c>
      <c r="P1443" s="2" t="str">
        <v>February</v>
      </c>
      <c r="Q1443" s="2" t="s">
        <v>21</v>
      </c>
    </row>
    <row r="1444" spans="1:17" x14ac:dyDescent="0.25">
      <c r="A1444" s="2" t="s">
        <v>2766</v>
      </c>
      <c r="B1444" s="7">
        <v>45872</v>
      </c>
      <c r="C1444" s="5" t="s">
        <v>32</v>
      </c>
      <c r="D1444" s="5" t="s">
        <v>33</v>
      </c>
      <c r="E1444" s="5" t="s">
        <v>148</v>
      </c>
      <c r="F1444" s="2" t="s">
        <v>149</v>
      </c>
      <c r="G1444" s="2">
        <v>2</v>
      </c>
      <c r="H1444" s="25">
        <v>3660</v>
      </c>
      <c r="I1444" s="8">
        <v>0</v>
      </c>
      <c r="J1444" s="25">
        <v>7320</v>
      </c>
      <c r="K1444" s="25">
        <f>G1444*H1444</f>
        <v>7320</v>
      </c>
      <c r="L1444" s="8">
        <f>K1444*I1444/100</f>
        <v>0</v>
      </c>
      <c r="M1444" s="2" t="s">
        <v>139</v>
      </c>
      <c r="N1444" s="2" t="s">
        <v>344</v>
      </c>
      <c r="O1444" s="2">
        <v>2025</v>
      </c>
      <c r="P1444" s="2" t="str">
        <v>August</v>
      </c>
      <c r="Q1444" s="2" t="s">
        <v>47</v>
      </c>
    </row>
    <row r="1445" spans="1:17" x14ac:dyDescent="0.25">
      <c r="A1445" s="2" t="s">
        <v>2768</v>
      </c>
      <c r="B1445" s="7">
        <v>45865</v>
      </c>
      <c r="C1445" s="5" t="s">
        <v>238</v>
      </c>
      <c r="D1445" s="5" t="s">
        <v>51</v>
      </c>
      <c r="E1445" s="5" t="s">
        <v>179</v>
      </c>
      <c r="F1445" s="2" t="s">
        <v>314</v>
      </c>
      <c r="G1445" s="2">
        <v>8</v>
      </c>
      <c r="H1445" s="25">
        <v>22730</v>
      </c>
      <c r="I1445" s="8">
        <v>0</v>
      </c>
      <c r="J1445" s="25">
        <v>181840</v>
      </c>
      <c r="K1445" s="25">
        <f>G1445*H1445</f>
        <v>181840</v>
      </c>
      <c r="L1445" s="8">
        <f>K1445*I1445/100</f>
        <v>0</v>
      </c>
      <c r="M1445" s="2" t="s">
        <v>94</v>
      </c>
      <c r="N1445" s="2" t="s">
        <v>37</v>
      </c>
      <c r="O1445" s="2">
        <v>2025</v>
      </c>
      <c r="P1445" s="2" t="str">
        <v>July</v>
      </c>
      <c r="Q1445" s="2" t="s">
        <v>21</v>
      </c>
    </row>
    <row r="1446" spans="1:17" x14ac:dyDescent="0.25">
      <c r="A1446" s="2" t="s">
        <v>2769</v>
      </c>
      <c r="B1446" s="7">
        <v>45667</v>
      </c>
      <c r="C1446" s="5" t="s">
        <v>24</v>
      </c>
      <c r="D1446" s="5" t="s">
        <v>16</v>
      </c>
      <c r="E1446" s="5" t="s">
        <v>34</v>
      </c>
      <c r="F1446" s="2" t="s">
        <v>71</v>
      </c>
      <c r="G1446" s="2">
        <v>2</v>
      </c>
      <c r="H1446" s="25">
        <v>3420</v>
      </c>
      <c r="I1446" s="8">
        <v>0</v>
      </c>
      <c r="J1446" s="25">
        <v>6840</v>
      </c>
      <c r="K1446" s="25">
        <f>G1446*H1446</f>
        <v>6840</v>
      </c>
      <c r="L1446" s="8">
        <f>K1446*I1446/100</f>
        <v>0</v>
      </c>
      <c r="M1446" s="2" t="s">
        <v>53</v>
      </c>
      <c r="N1446" s="2" t="s">
        <v>46</v>
      </c>
      <c r="O1446" s="2">
        <v>2025</v>
      </c>
      <c r="P1446" s="2" t="str">
        <v>January</v>
      </c>
      <c r="Q1446" s="2" t="s">
        <v>21</v>
      </c>
    </row>
    <row r="1447" spans="1:17" x14ac:dyDescent="0.25">
      <c r="A1447" s="2" t="s">
        <v>2771</v>
      </c>
      <c r="B1447" s="7">
        <v>45775</v>
      </c>
      <c r="C1447" s="5" t="s">
        <v>135</v>
      </c>
      <c r="D1447" s="5" t="s">
        <v>58</v>
      </c>
      <c r="E1447" s="5" t="s">
        <v>179</v>
      </c>
      <c r="F1447" s="2" t="s">
        <v>184</v>
      </c>
      <c r="G1447" s="2">
        <v>11</v>
      </c>
      <c r="H1447" s="25">
        <v>2390</v>
      </c>
      <c r="I1447" s="8">
        <v>0</v>
      </c>
      <c r="J1447" s="25">
        <v>26290</v>
      </c>
      <c r="K1447" s="25">
        <f>G1447*H1447</f>
        <v>26290</v>
      </c>
      <c r="L1447" s="8">
        <f>K1447*I1447/100</f>
        <v>0</v>
      </c>
      <c r="M1447" s="2" t="s">
        <v>102</v>
      </c>
      <c r="N1447" s="2" t="s">
        <v>37</v>
      </c>
      <c r="O1447" s="2">
        <v>2025</v>
      </c>
      <c r="P1447" s="2" t="str">
        <v>April</v>
      </c>
      <c r="Q1447" s="2" t="s">
        <v>47</v>
      </c>
    </row>
    <row r="1448" spans="1:17" x14ac:dyDescent="0.25">
      <c r="A1448" s="2" t="s">
        <v>2773</v>
      </c>
      <c r="B1448" s="7">
        <v>45823</v>
      </c>
      <c r="C1448" s="5" t="s">
        <v>238</v>
      </c>
      <c r="D1448" s="5" t="s">
        <v>51</v>
      </c>
      <c r="E1448" s="5" t="s">
        <v>148</v>
      </c>
      <c r="F1448" s="2" t="s">
        <v>252</v>
      </c>
      <c r="G1448" s="2">
        <v>3</v>
      </c>
      <c r="H1448" s="25">
        <v>8420</v>
      </c>
      <c r="I1448" s="8">
        <v>0</v>
      </c>
      <c r="J1448" s="25">
        <v>25260</v>
      </c>
      <c r="K1448" s="25">
        <f>G1448*H1448</f>
        <v>25260</v>
      </c>
      <c r="L1448" s="8">
        <f>K1448*I1448/100</f>
        <v>0</v>
      </c>
      <c r="M1448" s="2" t="s">
        <v>139</v>
      </c>
      <c r="N1448" s="2" t="s">
        <v>188</v>
      </c>
      <c r="O1448" s="2">
        <v>2025</v>
      </c>
      <c r="P1448" s="2" t="str">
        <v>June</v>
      </c>
      <c r="Q1448" s="2" t="s">
        <v>21</v>
      </c>
    </row>
    <row r="1449" spans="1:17" x14ac:dyDescent="0.25">
      <c r="A1449" s="2" t="s">
        <v>2775</v>
      </c>
      <c r="B1449" s="7">
        <v>45857</v>
      </c>
      <c r="C1449" s="5" t="s">
        <v>76</v>
      </c>
      <c r="D1449" s="5" t="s">
        <v>33</v>
      </c>
      <c r="E1449" s="5" t="s">
        <v>25</v>
      </c>
      <c r="F1449" s="2" t="s">
        <v>44</v>
      </c>
      <c r="G1449" s="2">
        <v>6</v>
      </c>
      <c r="H1449" s="25">
        <v>49650</v>
      </c>
      <c r="I1449" s="8">
        <v>0</v>
      </c>
      <c r="J1449" s="25">
        <v>297900</v>
      </c>
      <c r="K1449" s="25">
        <f>G1449*H1449</f>
        <v>297900</v>
      </c>
      <c r="L1449" s="8">
        <f>K1449*I1449/100</f>
        <v>0</v>
      </c>
      <c r="M1449" s="2" t="s">
        <v>139</v>
      </c>
      <c r="N1449" s="2" t="s">
        <v>37</v>
      </c>
      <c r="O1449" s="2">
        <v>2025</v>
      </c>
      <c r="P1449" s="2" t="str">
        <v>July</v>
      </c>
      <c r="Q1449" s="2" t="s">
        <v>21</v>
      </c>
    </row>
    <row r="1450" spans="1:17" x14ac:dyDescent="0.25">
      <c r="A1450" s="2" t="s">
        <v>2777</v>
      </c>
      <c r="B1450" s="7">
        <v>45881</v>
      </c>
      <c r="C1450" s="5" t="s">
        <v>238</v>
      </c>
      <c r="D1450" s="5" t="s">
        <v>51</v>
      </c>
      <c r="E1450" s="5" t="s">
        <v>34</v>
      </c>
      <c r="F1450" s="2" t="s">
        <v>18</v>
      </c>
      <c r="G1450" s="2">
        <v>4</v>
      </c>
      <c r="H1450" s="25">
        <v>9700</v>
      </c>
      <c r="I1450" s="8">
        <v>5</v>
      </c>
      <c r="J1450" s="25">
        <v>36860</v>
      </c>
      <c r="K1450" s="25">
        <f>G1450*H1450</f>
        <v>38800</v>
      </c>
      <c r="L1450" s="8">
        <f>K1450*I1450/100</f>
        <v>1940</v>
      </c>
      <c r="M1450" s="2" t="s">
        <v>102</v>
      </c>
      <c r="N1450" s="2" t="s">
        <v>883</v>
      </c>
      <c r="O1450" s="2">
        <v>2025</v>
      </c>
      <c r="P1450" s="2" t="str">
        <v>August</v>
      </c>
      <c r="Q1450" s="2" t="s">
        <v>47</v>
      </c>
    </row>
    <row r="1451" spans="1:17" x14ac:dyDescent="0.25">
      <c r="A1451" s="2" t="s">
        <v>2778</v>
      </c>
      <c r="B1451" s="7">
        <v>46015</v>
      </c>
      <c r="C1451" s="5" t="s">
        <v>41</v>
      </c>
      <c r="D1451" s="5" t="s">
        <v>42</v>
      </c>
      <c r="E1451" s="5" t="s">
        <v>295</v>
      </c>
      <c r="F1451" s="2" t="s">
        <v>132</v>
      </c>
      <c r="G1451" s="2">
        <v>10</v>
      </c>
      <c r="H1451" s="25">
        <v>19010</v>
      </c>
      <c r="I1451" s="8">
        <v>0</v>
      </c>
      <c r="J1451" s="25">
        <v>190100</v>
      </c>
      <c r="K1451" s="25">
        <f>G1451*H1451</f>
        <v>190100</v>
      </c>
      <c r="L1451" s="8">
        <f>K1451*I1451/100</f>
        <v>0</v>
      </c>
      <c r="M1451" s="2" t="s">
        <v>139</v>
      </c>
      <c r="N1451" s="2" t="s">
        <v>344</v>
      </c>
      <c r="O1451" s="2">
        <v>2025</v>
      </c>
      <c r="P1451" s="2" t="str">
        <v>December</v>
      </c>
      <c r="Q1451" s="2" t="s">
        <v>21</v>
      </c>
    </row>
    <row r="1452" spans="1:17" x14ac:dyDescent="0.25">
      <c r="A1452" s="2" t="s">
        <v>2780</v>
      </c>
      <c r="B1452" s="7">
        <v>45707</v>
      </c>
      <c r="C1452" s="5" t="s">
        <v>135</v>
      </c>
      <c r="D1452" s="5" t="s">
        <v>58</v>
      </c>
      <c r="E1452" s="5" t="s">
        <v>25</v>
      </c>
      <c r="F1452" s="2" t="s">
        <v>44</v>
      </c>
      <c r="G1452" s="2">
        <v>9</v>
      </c>
      <c r="H1452" s="25">
        <v>9630</v>
      </c>
      <c r="I1452" s="8">
        <v>0</v>
      </c>
      <c r="J1452" s="25">
        <v>86670</v>
      </c>
      <c r="K1452" s="25">
        <f>G1452*H1452</f>
        <v>86670</v>
      </c>
      <c r="L1452" s="8">
        <f>K1452*I1452/100</f>
        <v>0</v>
      </c>
      <c r="M1452" s="2" t="s">
        <v>53</v>
      </c>
      <c r="N1452" s="2" t="s">
        <v>341</v>
      </c>
      <c r="O1452" s="2">
        <v>2025</v>
      </c>
      <c r="P1452" s="2" t="str">
        <v>February</v>
      </c>
      <c r="Q1452" s="2" t="s">
        <v>47</v>
      </c>
    </row>
    <row r="1453" spans="1:17" x14ac:dyDescent="0.25">
      <c r="A1453" s="2" t="s">
        <v>2781</v>
      </c>
      <c r="B1453" s="7">
        <v>45860</v>
      </c>
      <c r="C1453" s="5" t="s">
        <v>41</v>
      </c>
      <c r="D1453" s="5" t="s">
        <v>42</v>
      </c>
      <c r="E1453" s="5" t="s">
        <v>295</v>
      </c>
      <c r="F1453" s="2" t="s">
        <v>219</v>
      </c>
      <c r="G1453" s="2">
        <v>12</v>
      </c>
      <c r="H1453" s="25">
        <v>530</v>
      </c>
      <c r="I1453" s="8">
        <v>5</v>
      </c>
      <c r="J1453" s="25">
        <v>6042</v>
      </c>
      <c r="K1453" s="25">
        <f>G1453*H1453</f>
        <v>6360</v>
      </c>
      <c r="L1453" s="8">
        <f>K1453*I1453/100</f>
        <v>318</v>
      </c>
      <c r="M1453" s="2" t="s">
        <v>102</v>
      </c>
      <c r="N1453" s="2" t="s">
        <v>79</v>
      </c>
      <c r="O1453" s="2">
        <v>2025</v>
      </c>
      <c r="P1453" s="2" t="str">
        <v>July</v>
      </c>
      <c r="Q1453" s="2" t="s">
        <v>21</v>
      </c>
    </row>
    <row r="1454" spans="1:17" x14ac:dyDescent="0.25">
      <c r="A1454" s="2" t="s">
        <v>2782</v>
      </c>
      <c r="B1454" s="7">
        <v>45750</v>
      </c>
      <c r="C1454" s="5" t="s">
        <v>156</v>
      </c>
      <c r="D1454" s="5" t="s">
        <v>51</v>
      </c>
      <c r="E1454" s="5" t="s">
        <v>179</v>
      </c>
      <c r="F1454" s="2" t="s">
        <v>184</v>
      </c>
      <c r="G1454" s="2">
        <v>1</v>
      </c>
      <c r="H1454" s="25">
        <v>13780</v>
      </c>
      <c r="I1454" s="8">
        <v>5</v>
      </c>
      <c r="J1454" s="25">
        <v>13091</v>
      </c>
      <c r="K1454" s="25">
        <f>G1454*H1454</f>
        <v>13780</v>
      </c>
      <c r="L1454" s="8">
        <f>K1454*I1454/100</f>
        <v>689</v>
      </c>
      <c r="M1454" s="2" t="s">
        <v>94</v>
      </c>
      <c r="N1454" s="2" t="s">
        <v>54</v>
      </c>
      <c r="O1454" s="2">
        <v>2025</v>
      </c>
      <c r="P1454" s="2" t="str">
        <v>April</v>
      </c>
      <c r="Q1454" s="2" t="s">
        <v>47</v>
      </c>
    </row>
    <row r="1455" spans="1:17" x14ac:dyDescent="0.25">
      <c r="A1455" s="2" t="s">
        <v>2784</v>
      </c>
      <c r="B1455" s="7">
        <v>46019</v>
      </c>
      <c r="C1455" s="5" t="s">
        <v>156</v>
      </c>
      <c r="D1455" s="5" t="s">
        <v>51</v>
      </c>
      <c r="E1455" s="5" t="s">
        <v>34</v>
      </c>
      <c r="F1455" s="2" t="s">
        <v>18</v>
      </c>
      <c r="G1455" s="2">
        <v>2</v>
      </c>
      <c r="H1455" s="25">
        <v>26310</v>
      </c>
      <c r="I1455" s="8">
        <v>10</v>
      </c>
      <c r="J1455" s="25">
        <v>47358</v>
      </c>
      <c r="K1455" s="25">
        <f>G1455*H1455</f>
        <v>52620</v>
      </c>
      <c r="L1455" s="8">
        <f>K1455*I1455/100</f>
        <v>5262</v>
      </c>
      <c r="M1455" s="2" t="s">
        <v>94</v>
      </c>
      <c r="N1455" s="2" t="s">
        <v>176</v>
      </c>
      <c r="O1455" s="2">
        <v>2025</v>
      </c>
      <c r="P1455" s="2" t="str">
        <v>December</v>
      </c>
      <c r="Q1455" s="2" t="s">
        <v>21</v>
      </c>
    </row>
    <row r="1456" spans="1:17" x14ac:dyDescent="0.25">
      <c r="A1456" s="2" t="s">
        <v>2786</v>
      </c>
      <c r="B1456" s="7">
        <v>45754</v>
      </c>
      <c r="C1456" s="5" t="s">
        <v>135</v>
      </c>
      <c r="D1456" s="5" t="s">
        <v>58</v>
      </c>
      <c r="E1456" s="5" t="s">
        <v>179</v>
      </c>
      <c r="F1456" s="2" t="s">
        <v>232</v>
      </c>
      <c r="G1456" s="2">
        <v>12</v>
      </c>
      <c r="H1456" s="25">
        <v>480</v>
      </c>
      <c r="I1456" s="8">
        <v>0</v>
      </c>
      <c r="J1456" s="25">
        <v>5760</v>
      </c>
      <c r="K1456" s="25">
        <f>G1456*H1456</f>
        <v>5760</v>
      </c>
      <c r="L1456" s="8">
        <f>K1456*I1456/100</f>
        <v>0</v>
      </c>
      <c r="M1456" s="2" t="s">
        <v>102</v>
      </c>
      <c r="N1456" s="2" t="s">
        <v>68</v>
      </c>
      <c r="O1456" s="2">
        <v>2025</v>
      </c>
      <c r="P1456" s="2" t="str">
        <v>April</v>
      </c>
      <c r="Q1456" s="2" t="s">
        <v>47</v>
      </c>
    </row>
    <row r="1457" spans="1:17" x14ac:dyDescent="0.25">
      <c r="A1457" s="2" t="s">
        <v>2788</v>
      </c>
      <c r="B1457" s="7">
        <v>45998</v>
      </c>
      <c r="C1457" s="5" t="s">
        <v>32</v>
      </c>
      <c r="D1457" s="5" t="s">
        <v>33</v>
      </c>
      <c r="E1457" s="5" t="s">
        <v>148</v>
      </c>
      <c r="F1457" s="2" t="s">
        <v>60</v>
      </c>
      <c r="G1457" s="2">
        <v>1</v>
      </c>
      <c r="H1457" s="25">
        <v>2660</v>
      </c>
      <c r="I1457" s="8">
        <v>0</v>
      </c>
      <c r="J1457" s="25">
        <v>2660</v>
      </c>
      <c r="K1457" s="25">
        <f>G1457*H1457</f>
        <v>2660</v>
      </c>
      <c r="L1457" s="8">
        <f>K1457*I1457/100</f>
        <v>0</v>
      </c>
      <c r="M1457" s="2" t="s">
        <v>102</v>
      </c>
      <c r="N1457" s="2" t="s">
        <v>37</v>
      </c>
      <c r="O1457" s="2">
        <v>2025</v>
      </c>
      <c r="P1457" s="2" t="str">
        <v>December</v>
      </c>
      <c r="Q1457" s="2" t="s">
        <v>47</v>
      </c>
    </row>
    <row r="1458" spans="1:17" x14ac:dyDescent="0.25">
      <c r="A1458" s="2" t="s">
        <v>2790</v>
      </c>
      <c r="B1458" s="7">
        <v>45868</v>
      </c>
      <c r="C1458" s="5" t="s">
        <v>32</v>
      </c>
      <c r="D1458" s="5" t="s">
        <v>33</v>
      </c>
      <c r="E1458" s="5" t="s">
        <v>148</v>
      </c>
      <c r="F1458" s="2" t="s">
        <v>435</v>
      </c>
      <c r="G1458" s="2">
        <v>3</v>
      </c>
      <c r="H1458" s="25">
        <v>73820</v>
      </c>
      <c r="I1458" s="8">
        <v>0</v>
      </c>
      <c r="J1458" s="25">
        <v>221460</v>
      </c>
      <c r="K1458" s="25">
        <f>G1458*H1458</f>
        <v>221460</v>
      </c>
      <c r="L1458" s="8">
        <f>K1458*I1458/100</f>
        <v>0</v>
      </c>
      <c r="M1458" s="2" t="s">
        <v>102</v>
      </c>
      <c r="N1458" s="2" t="s">
        <v>266</v>
      </c>
      <c r="O1458" s="2">
        <v>2025</v>
      </c>
      <c r="P1458" s="2" t="str">
        <v>July</v>
      </c>
      <c r="Q1458" s="2" t="s">
        <v>21</v>
      </c>
    </row>
    <row r="1459" spans="1:17" x14ac:dyDescent="0.25">
      <c r="A1459" s="2" t="s">
        <v>2792</v>
      </c>
      <c r="B1459" s="7">
        <v>46019</v>
      </c>
      <c r="C1459" s="5" t="s">
        <v>41</v>
      </c>
      <c r="D1459" s="5" t="s">
        <v>42</v>
      </c>
      <c r="E1459" s="5" t="s">
        <v>295</v>
      </c>
      <c r="F1459" s="2" t="s">
        <v>296</v>
      </c>
      <c r="G1459" s="2">
        <v>7</v>
      </c>
      <c r="H1459" s="25">
        <v>3640</v>
      </c>
      <c r="I1459" s="8">
        <v>0</v>
      </c>
      <c r="J1459" s="25">
        <v>25480</v>
      </c>
      <c r="K1459" s="25">
        <f>G1459*H1459</f>
        <v>25480</v>
      </c>
      <c r="L1459" s="8">
        <f>K1459*I1459/100</f>
        <v>0</v>
      </c>
      <c r="M1459" s="2" t="s">
        <v>102</v>
      </c>
      <c r="N1459" s="2" t="s">
        <v>188</v>
      </c>
      <c r="O1459" s="2">
        <v>2025</v>
      </c>
      <c r="P1459" s="2" t="str">
        <v>December</v>
      </c>
      <c r="Q1459" s="2" t="s">
        <v>47</v>
      </c>
    </row>
    <row r="1460" spans="1:17" x14ac:dyDescent="0.25">
      <c r="A1460" s="2" t="s">
        <v>2793</v>
      </c>
      <c r="B1460" s="7">
        <v>45988</v>
      </c>
      <c r="C1460" s="5" t="s">
        <v>156</v>
      </c>
      <c r="D1460" s="5" t="s">
        <v>51</v>
      </c>
      <c r="E1460" s="5" t="s">
        <v>148</v>
      </c>
      <c r="F1460" s="2" t="s">
        <v>435</v>
      </c>
      <c r="G1460" s="2">
        <v>8</v>
      </c>
      <c r="H1460" s="25">
        <v>9720</v>
      </c>
      <c r="I1460" s="8">
        <v>0</v>
      </c>
      <c r="J1460" s="25">
        <v>77760</v>
      </c>
      <c r="K1460" s="25">
        <f>G1460*H1460</f>
        <v>77760</v>
      </c>
      <c r="L1460" s="8">
        <f>K1460*I1460/100</f>
        <v>0</v>
      </c>
      <c r="M1460" s="2" t="s">
        <v>53</v>
      </c>
      <c r="N1460" s="2" t="s">
        <v>37</v>
      </c>
      <c r="O1460" s="2">
        <v>2025</v>
      </c>
      <c r="P1460" s="2" t="str">
        <v>November</v>
      </c>
      <c r="Q1460" s="2" t="s">
        <v>21</v>
      </c>
    </row>
    <row r="1461" spans="1:17" x14ac:dyDescent="0.25">
      <c r="A1461" s="2" t="s">
        <v>2795</v>
      </c>
      <c r="B1461" s="7">
        <v>45949</v>
      </c>
      <c r="C1461" s="5" t="s">
        <v>156</v>
      </c>
      <c r="D1461" s="5" t="s">
        <v>51</v>
      </c>
      <c r="E1461" s="5" t="s">
        <v>179</v>
      </c>
      <c r="F1461" s="2" t="s">
        <v>143</v>
      </c>
      <c r="G1461" s="2">
        <v>9</v>
      </c>
      <c r="H1461" s="25">
        <v>27550</v>
      </c>
      <c r="I1461" s="8">
        <v>15</v>
      </c>
      <c r="J1461" s="25">
        <v>210757.5</v>
      </c>
      <c r="K1461" s="25">
        <f>G1461*H1461</f>
        <v>247950</v>
      </c>
      <c r="L1461" s="8">
        <f>K1461*I1461/100</f>
        <v>37192.5</v>
      </c>
      <c r="M1461" s="2" t="s">
        <v>53</v>
      </c>
      <c r="N1461" s="2" t="s">
        <v>176</v>
      </c>
      <c r="O1461" s="2">
        <v>2025</v>
      </c>
      <c r="P1461" s="2" t="str">
        <v>October</v>
      </c>
      <c r="Q1461" s="2" t="s">
        <v>47</v>
      </c>
    </row>
    <row r="1462" spans="1:17" x14ac:dyDescent="0.25">
      <c r="A1462" s="2" t="s">
        <v>2797</v>
      </c>
      <c r="B1462" s="7">
        <v>45726</v>
      </c>
      <c r="C1462" s="5" t="s">
        <v>32</v>
      </c>
      <c r="D1462" s="5" t="s">
        <v>33</v>
      </c>
      <c r="E1462" s="5" t="s">
        <v>34</v>
      </c>
      <c r="F1462" s="2" t="s">
        <v>171</v>
      </c>
      <c r="G1462" s="2">
        <v>8</v>
      </c>
      <c r="H1462" s="25">
        <v>1110</v>
      </c>
      <c r="I1462" s="8">
        <v>0</v>
      </c>
      <c r="J1462" s="25">
        <v>8880</v>
      </c>
      <c r="K1462" s="25">
        <f>G1462*H1462</f>
        <v>8880</v>
      </c>
      <c r="L1462" s="8">
        <f>K1462*I1462/100</f>
        <v>0</v>
      </c>
      <c r="M1462" s="2" t="s">
        <v>102</v>
      </c>
      <c r="N1462" s="2" t="s">
        <v>341</v>
      </c>
      <c r="O1462" s="2">
        <v>2025</v>
      </c>
      <c r="P1462" s="2" t="str">
        <v>March</v>
      </c>
      <c r="Q1462" s="2" t="s">
        <v>21</v>
      </c>
    </row>
    <row r="1463" spans="1:17" x14ac:dyDescent="0.25">
      <c r="A1463" s="2" t="s">
        <v>2798</v>
      </c>
      <c r="B1463" s="7">
        <v>45986</v>
      </c>
      <c r="C1463" s="5" t="s">
        <v>24</v>
      </c>
      <c r="D1463" s="5" t="s">
        <v>16</v>
      </c>
      <c r="E1463" s="5" t="s">
        <v>179</v>
      </c>
      <c r="F1463" s="2" t="s">
        <v>143</v>
      </c>
      <c r="G1463" s="2">
        <v>8</v>
      </c>
      <c r="H1463" s="25">
        <v>1280</v>
      </c>
      <c r="I1463" s="8">
        <v>5</v>
      </c>
      <c r="J1463" s="25">
        <v>9728</v>
      </c>
      <c r="K1463" s="25">
        <f>G1463*H1463</f>
        <v>10240</v>
      </c>
      <c r="L1463" s="8">
        <f>K1463*I1463/100</f>
        <v>512</v>
      </c>
      <c r="M1463" s="2" t="s">
        <v>53</v>
      </c>
      <c r="N1463" s="2" t="s">
        <v>54</v>
      </c>
      <c r="O1463" s="2">
        <v>2025</v>
      </c>
      <c r="P1463" s="2" t="str">
        <v>November</v>
      </c>
      <c r="Q1463" s="2" t="s">
        <v>21</v>
      </c>
    </row>
    <row r="1464" spans="1:17" x14ac:dyDescent="0.25">
      <c r="A1464" s="2" t="s">
        <v>2800</v>
      </c>
      <c r="B1464" s="7">
        <v>45982</v>
      </c>
      <c r="C1464" s="5" t="s">
        <v>156</v>
      </c>
      <c r="D1464" s="5" t="s">
        <v>51</v>
      </c>
      <c r="E1464" s="5" t="s">
        <v>148</v>
      </c>
      <c r="F1464" s="2" t="s">
        <v>435</v>
      </c>
      <c r="G1464" s="2">
        <v>11</v>
      </c>
      <c r="H1464" s="25">
        <v>17120</v>
      </c>
      <c r="I1464" s="8">
        <v>10</v>
      </c>
      <c r="J1464" s="25">
        <v>169488</v>
      </c>
      <c r="K1464" s="25">
        <f>G1464*H1464</f>
        <v>188320</v>
      </c>
      <c r="L1464" s="8">
        <f>K1464*I1464/100</f>
        <v>18832</v>
      </c>
      <c r="M1464" s="2" t="s">
        <v>139</v>
      </c>
      <c r="N1464" s="2" t="s">
        <v>883</v>
      </c>
      <c r="O1464" s="2">
        <v>2025</v>
      </c>
      <c r="P1464" s="2" t="str">
        <v>November</v>
      </c>
      <c r="Q1464" s="2" t="s">
        <v>21</v>
      </c>
    </row>
    <row r="1465" spans="1:17" x14ac:dyDescent="0.25">
      <c r="A1465" s="2" t="s">
        <v>2801</v>
      </c>
      <c r="B1465" s="7">
        <v>45893</v>
      </c>
      <c r="C1465" s="5" t="s">
        <v>76</v>
      </c>
      <c r="D1465" s="5" t="s">
        <v>33</v>
      </c>
      <c r="E1465" s="5" t="s">
        <v>295</v>
      </c>
      <c r="F1465" s="2" t="s">
        <v>314</v>
      </c>
      <c r="G1465" s="2">
        <v>6</v>
      </c>
      <c r="H1465" s="25">
        <v>8110</v>
      </c>
      <c r="I1465" s="8">
        <v>0</v>
      </c>
      <c r="J1465" s="25">
        <v>48660</v>
      </c>
      <c r="K1465" s="25">
        <f>G1465*H1465</f>
        <v>48660</v>
      </c>
      <c r="L1465" s="8">
        <f>K1465*I1465/100</f>
        <v>0</v>
      </c>
      <c r="M1465" s="2" t="s">
        <v>139</v>
      </c>
      <c r="N1465" s="2" t="s">
        <v>344</v>
      </c>
      <c r="O1465" s="2">
        <v>2025</v>
      </c>
      <c r="P1465" s="2" t="str">
        <v>August</v>
      </c>
      <c r="Q1465" s="2" t="s">
        <v>21</v>
      </c>
    </row>
    <row r="1466" spans="1:17" x14ac:dyDescent="0.25">
      <c r="A1466" s="2" t="s">
        <v>2803</v>
      </c>
      <c r="B1466" s="7">
        <v>45862</v>
      </c>
      <c r="C1466" s="5" t="s">
        <v>76</v>
      </c>
      <c r="D1466" s="5" t="s">
        <v>33</v>
      </c>
      <c r="E1466" s="5" t="s">
        <v>179</v>
      </c>
      <c r="F1466" s="2" t="s">
        <v>143</v>
      </c>
      <c r="G1466" s="2">
        <v>1</v>
      </c>
      <c r="H1466" s="25">
        <v>7580</v>
      </c>
      <c r="I1466" s="8">
        <v>0</v>
      </c>
      <c r="J1466" s="25">
        <v>7580</v>
      </c>
      <c r="K1466" s="25">
        <f>G1466*H1466</f>
        <v>7580</v>
      </c>
      <c r="L1466" s="8">
        <f>K1466*I1466/100</f>
        <v>0</v>
      </c>
      <c r="M1466" s="2" t="s">
        <v>94</v>
      </c>
      <c r="N1466" s="2" t="s">
        <v>176</v>
      </c>
      <c r="O1466" s="2">
        <v>2025</v>
      </c>
      <c r="P1466" s="2" t="str">
        <v>July</v>
      </c>
      <c r="Q1466" s="2" t="s">
        <v>47</v>
      </c>
    </row>
    <row r="1467" spans="1:17" x14ac:dyDescent="0.25">
      <c r="A1467" s="2" t="s">
        <v>2805</v>
      </c>
      <c r="B1467" s="7">
        <v>45827</v>
      </c>
      <c r="C1467" s="5" t="s">
        <v>76</v>
      </c>
      <c r="D1467" s="5" t="s">
        <v>33</v>
      </c>
      <c r="E1467" s="5" t="s">
        <v>148</v>
      </c>
      <c r="F1467" s="2" t="s">
        <v>149</v>
      </c>
      <c r="G1467" s="2">
        <v>9</v>
      </c>
      <c r="H1467" s="25">
        <v>10160</v>
      </c>
      <c r="I1467" s="8">
        <v>0</v>
      </c>
      <c r="J1467" s="25">
        <v>91440</v>
      </c>
      <c r="K1467" s="25">
        <f>G1467*H1467</f>
        <v>91440</v>
      </c>
      <c r="L1467" s="8">
        <f>K1467*I1467/100</f>
        <v>0</v>
      </c>
      <c r="M1467" s="2" t="s">
        <v>102</v>
      </c>
      <c r="N1467" s="2" t="s">
        <v>411</v>
      </c>
      <c r="O1467" s="2">
        <v>2025</v>
      </c>
      <c r="P1467" s="2" t="str">
        <v>June</v>
      </c>
      <c r="Q1467" s="2" t="s">
        <v>47</v>
      </c>
    </row>
    <row r="1468" spans="1:17" x14ac:dyDescent="0.25">
      <c r="A1468" s="2" t="s">
        <v>2807</v>
      </c>
      <c r="B1468" s="7">
        <v>45820</v>
      </c>
      <c r="C1468" s="5" t="s">
        <v>135</v>
      </c>
      <c r="D1468" s="5" t="s">
        <v>51</v>
      </c>
      <c r="E1468" s="5" t="s">
        <v>179</v>
      </c>
      <c r="F1468" s="2" t="s">
        <v>543</v>
      </c>
      <c r="G1468" s="2">
        <v>1</v>
      </c>
      <c r="H1468" s="25">
        <v>20690</v>
      </c>
      <c r="I1468" s="8">
        <v>5</v>
      </c>
      <c r="J1468" s="25">
        <v>19655.5</v>
      </c>
      <c r="K1468" s="25">
        <f>G1468*H1468</f>
        <v>20690</v>
      </c>
      <c r="L1468" s="8">
        <f>K1468*I1468/100</f>
        <v>1034.5</v>
      </c>
      <c r="M1468" s="2" t="s">
        <v>102</v>
      </c>
      <c r="N1468" s="2" t="s">
        <v>54</v>
      </c>
      <c r="O1468" s="2">
        <v>2025</v>
      </c>
      <c r="P1468" s="2" t="str">
        <v>June</v>
      </c>
      <c r="Q1468" s="2" t="s">
        <v>47</v>
      </c>
    </row>
    <row r="1469" spans="1:17" x14ac:dyDescent="0.25">
      <c r="A1469" s="2" t="s">
        <v>2810</v>
      </c>
      <c r="B1469" s="7">
        <v>45734</v>
      </c>
      <c r="C1469" s="5" t="s">
        <v>156</v>
      </c>
      <c r="D1469" s="5" t="s">
        <v>51</v>
      </c>
      <c r="E1469" s="5" t="s">
        <v>179</v>
      </c>
      <c r="F1469" s="2" t="s">
        <v>184</v>
      </c>
      <c r="G1469" s="2">
        <v>9</v>
      </c>
      <c r="H1469" s="25">
        <v>1080</v>
      </c>
      <c r="I1469" s="8">
        <v>0</v>
      </c>
      <c r="J1469" s="25">
        <v>9720</v>
      </c>
      <c r="K1469" s="25">
        <f>G1469*H1469</f>
        <v>9720</v>
      </c>
      <c r="L1469" s="8">
        <f>K1469*I1469/100</f>
        <v>0</v>
      </c>
      <c r="M1469" s="2" t="s">
        <v>102</v>
      </c>
      <c r="N1469" s="2" t="s">
        <v>411</v>
      </c>
      <c r="O1469" s="2">
        <v>2025</v>
      </c>
      <c r="P1469" s="2" t="str">
        <v>March</v>
      </c>
      <c r="Q1469" s="2" t="s">
        <v>21</v>
      </c>
    </row>
    <row r="1470" spans="1:17" x14ac:dyDescent="0.25">
      <c r="A1470" s="2" t="s">
        <v>2812</v>
      </c>
      <c r="B1470" s="7">
        <v>45767</v>
      </c>
      <c r="C1470" s="5" t="s">
        <v>156</v>
      </c>
      <c r="D1470" s="5" t="s">
        <v>51</v>
      </c>
      <c r="E1470" s="5" t="s">
        <v>148</v>
      </c>
      <c r="F1470" s="2" t="s">
        <v>60</v>
      </c>
      <c r="G1470" s="2">
        <v>2</v>
      </c>
      <c r="H1470" s="25">
        <v>48970</v>
      </c>
      <c r="I1470" s="8">
        <v>0</v>
      </c>
      <c r="J1470" s="25">
        <v>97940</v>
      </c>
      <c r="K1470" s="25">
        <f>G1470*H1470</f>
        <v>97940</v>
      </c>
      <c r="L1470" s="8">
        <f>K1470*I1470/100</f>
        <v>0</v>
      </c>
      <c r="M1470" s="2" t="s">
        <v>53</v>
      </c>
      <c r="N1470" s="2" t="s">
        <v>168</v>
      </c>
      <c r="O1470" s="2">
        <v>2025</v>
      </c>
      <c r="P1470" s="2" t="str">
        <v>April</v>
      </c>
      <c r="Q1470" s="2" t="s">
        <v>47</v>
      </c>
    </row>
    <row r="1471" spans="1:17" x14ac:dyDescent="0.25">
      <c r="A1471" s="2" t="s">
        <v>2814</v>
      </c>
      <c r="B1471" s="7">
        <v>45705</v>
      </c>
      <c r="C1471" s="5" t="s">
        <v>135</v>
      </c>
      <c r="D1471" s="5" t="s">
        <v>58</v>
      </c>
      <c r="E1471" s="5" t="s">
        <v>148</v>
      </c>
      <c r="F1471" s="2" t="s">
        <v>252</v>
      </c>
      <c r="G1471" s="2">
        <v>2</v>
      </c>
      <c r="H1471" s="25">
        <v>4710</v>
      </c>
      <c r="I1471" s="8">
        <v>5</v>
      </c>
      <c r="J1471" s="25">
        <v>8949</v>
      </c>
      <c r="K1471" s="25">
        <f>G1471*H1471</f>
        <v>9420</v>
      </c>
      <c r="L1471" s="8">
        <f>K1471*I1471/100</f>
        <v>471</v>
      </c>
      <c r="M1471" s="2" t="s">
        <v>53</v>
      </c>
      <c r="N1471" s="2" t="s">
        <v>176</v>
      </c>
      <c r="O1471" s="2">
        <v>2025</v>
      </c>
      <c r="P1471" s="2" t="str">
        <v>February</v>
      </c>
      <c r="Q1471" s="2" t="s">
        <v>47</v>
      </c>
    </row>
    <row r="1472" spans="1:17" x14ac:dyDescent="0.25">
      <c r="A1472" s="2" t="s">
        <v>2815</v>
      </c>
      <c r="B1472" s="7">
        <v>45725</v>
      </c>
      <c r="C1472" s="5" t="s">
        <v>135</v>
      </c>
      <c r="D1472" s="5" t="s">
        <v>58</v>
      </c>
      <c r="E1472" s="5" t="s">
        <v>34</v>
      </c>
      <c r="F1472" s="2" t="s">
        <v>164</v>
      </c>
      <c r="G1472" s="2">
        <v>9</v>
      </c>
      <c r="H1472" s="25">
        <v>4900</v>
      </c>
      <c r="I1472" s="8">
        <v>5</v>
      </c>
      <c r="J1472" s="25">
        <v>41895</v>
      </c>
      <c r="K1472" s="25">
        <f>G1472*H1472</f>
        <v>44100</v>
      </c>
      <c r="L1472" s="8">
        <f>K1472*I1472/100</f>
        <v>2205</v>
      </c>
      <c r="M1472" s="2" t="s">
        <v>94</v>
      </c>
      <c r="N1472" s="2" t="s">
        <v>406</v>
      </c>
      <c r="O1472" s="2">
        <v>2025</v>
      </c>
      <c r="P1472" s="2" t="str">
        <v>March</v>
      </c>
      <c r="Q1472" s="2" t="s">
        <v>47</v>
      </c>
    </row>
    <row r="1473" spans="1:17" x14ac:dyDescent="0.25">
      <c r="A1473" s="2" t="s">
        <v>2817</v>
      </c>
      <c r="B1473" s="7">
        <v>45824</v>
      </c>
      <c r="C1473" s="5" t="s">
        <v>135</v>
      </c>
      <c r="D1473" s="5" t="s">
        <v>58</v>
      </c>
      <c r="E1473" s="5" t="s">
        <v>148</v>
      </c>
      <c r="F1473" s="2" t="s">
        <v>379</v>
      </c>
      <c r="G1473" s="2">
        <v>7</v>
      </c>
      <c r="H1473" s="25">
        <v>9640</v>
      </c>
      <c r="I1473" s="8">
        <v>10</v>
      </c>
      <c r="J1473" s="25">
        <v>60732</v>
      </c>
      <c r="K1473" s="25">
        <f>G1473*H1473</f>
        <v>67480</v>
      </c>
      <c r="L1473" s="8">
        <f>K1473*I1473/100</f>
        <v>6748</v>
      </c>
      <c r="M1473" s="2" t="s">
        <v>139</v>
      </c>
      <c r="N1473" s="2" t="s">
        <v>46</v>
      </c>
      <c r="O1473" s="2">
        <v>2025</v>
      </c>
      <c r="P1473" s="2" t="str">
        <v>June</v>
      </c>
      <c r="Q1473" s="2" t="s">
        <v>47</v>
      </c>
    </row>
    <row r="1474" spans="1:17" x14ac:dyDescent="0.25">
      <c r="A1474" s="2" t="s">
        <v>2819</v>
      </c>
      <c r="B1474" s="7">
        <v>45986</v>
      </c>
      <c r="C1474" s="5" t="s">
        <v>135</v>
      </c>
      <c r="D1474" s="5" t="s">
        <v>58</v>
      </c>
      <c r="E1474" s="5" t="s">
        <v>148</v>
      </c>
      <c r="F1474" s="2" t="s">
        <v>83</v>
      </c>
      <c r="G1474" s="2">
        <v>5</v>
      </c>
      <c r="H1474" s="25">
        <v>3980</v>
      </c>
      <c r="I1474" s="8">
        <v>0</v>
      </c>
      <c r="J1474" s="25">
        <v>19900</v>
      </c>
      <c r="K1474" s="25">
        <f>G1474*H1474</f>
        <v>19900</v>
      </c>
      <c r="L1474" s="8">
        <f>K1474*I1474/100</f>
        <v>0</v>
      </c>
      <c r="M1474" s="2" t="s">
        <v>53</v>
      </c>
      <c r="N1474" s="2" t="s">
        <v>54</v>
      </c>
      <c r="O1474" s="2">
        <v>2025</v>
      </c>
      <c r="P1474" s="2" t="str">
        <v>November</v>
      </c>
      <c r="Q1474" s="2" t="s">
        <v>21</v>
      </c>
    </row>
    <row r="1475" spans="1:17" x14ac:dyDescent="0.25">
      <c r="A1475" s="2" t="s">
        <v>2820</v>
      </c>
      <c r="B1475" s="7">
        <v>45904</v>
      </c>
      <c r="C1475" s="5" t="s">
        <v>238</v>
      </c>
      <c r="D1475" s="5" t="s">
        <v>51</v>
      </c>
      <c r="E1475" s="5" t="s">
        <v>179</v>
      </c>
      <c r="F1475" s="2" t="s">
        <v>143</v>
      </c>
      <c r="G1475" s="2">
        <v>10</v>
      </c>
      <c r="H1475" s="25">
        <v>500</v>
      </c>
      <c r="I1475" s="8">
        <v>0</v>
      </c>
      <c r="J1475" s="25">
        <v>5000</v>
      </c>
      <c r="K1475" s="25">
        <f>G1475*H1475</f>
        <v>5000</v>
      </c>
      <c r="L1475" s="8">
        <f>K1475*I1475/100</f>
        <v>0</v>
      </c>
      <c r="M1475" s="2" t="s">
        <v>94</v>
      </c>
      <c r="N1475" s="2" t="s">
        <v>54</v>
      </c>
      <c r="O1475" s="2">
        <v>2025</v>
      </c>
      <c r="P1475" s="2" t="str">
        <v>September</v>
      </c>
      <c r="Q1475" s="2" t="s">
        <v>21</v>
      </c>
    </row>
    <row r="1476" spans="1:17" x14ac:dyDescent="0.25">
      <c r="A1476" s="2" t="s">
        <v>2821</v>
      </c>
      <c r="B1476" s="7">
        <v>45873</v>
      </c>
      <c r="C1476" s="5" t="s">
        <v>76</v>
      </c>
      <c r="D1476" s="5" t="s">
        <v>33</v>
      </c>
      <c r="E1476" s="5" t="s">
        <v>148</v>
      </c>
      <c r="F1476" s="2" t="s">
        <v>83</v>
      </c>
      <c r="G1476" s="2">
        <v>7</v>
      </c>
      <c r="H1476" s="25">
        <v>65610</v>
      </c>
      <c r="I1476" s="8">
        <v>5</v>
      </c>
      <c r="J1476" s="25">
        <v>436306.5</v>
      </c>
      <c r="K1476" s="25">
        <f>G1476*H1476</f>
        <v>459270</v>
      </c>
      <c r="L1476" s="8">
        <f>K1476*I1476/100</f>
        <v>22963.5</v>
      </c>
      <c r="M1476" s="2" t="s">
        <v>94</v>
      </c>
      <c r="N1476" s="2" t="s">
        <v>73</v>
      </c>
      <c r="O1476" s="2">
        <v>2025</v>
      </c>
      <c r="P1476" s="2" t="str">
        <v>August</v>
      </c>
      <c r="Q1476" s="2" t="s">
        <v>21</v>
      </c>
    </row>
    <row r="1477" spans="1:17" x14ac:dyDescent="0.25">
      <c r="A1477" s="2" t="s">
        <v>2822</v>
      </c>
      <c r="B1477" s="7">
        <v>45798</v>
      </c>
      <c r="C1477" s="5" t="s">
        <v>41</v>
      </c>
      <c r="D1477" s="5" t="s">
        <v>42</v>
      </c>
      <c r="E1477" s="5" t="s">
        <v>295</v>
      </c>
      <c r="F1477" s="2" t="s">
        <v>219</v>
      </c>
      <c r="G1477" s="2">
        <v>6</v>
      </c>
      <c r="H1477" s="25">
        <v>3340</v>
      </c>
      <c r="I1477" s="8">
        <v>0</v>
      </c>
      <c r="J1477" s="25">
        <v>20040</v>
      </c>
      <c r="K1477" s="25">
        <f>G1477*H1477</f>
        <v>20040</v>
      </c>
      <c r="L1477" s="8">
        <f>K1477*I1477/100</f>
        <v>0</v>
      </c>
      <c r="M1477" s="2" t="s">
        <v>94</v>
      </c>
      <c r="N1477" s="2" t="s">
        <v>176</v>
      </c>
      <c r="O1477" s="2">
        <v>2025</v>
      </c>
      <c r="P1477" s="2" t="str">
        <v>May</v>
      </c>
      <c r="Q1477" s="2" t="s">
        <v>47</v>
      </c>
    </row>
    <row r="1478" spans="1:17" x14ac:dyDescent="0.25">
      <c r="A1478" s="2" t="s">
        <v>2824</v>
      </c>
      <c r="B1478" s="7">
        <v>45936</v>
      </c>
      <c r="C1478" s="5" t="s">
        <v>32</v>
      </c>
      <c r="D1478" s="5" t="s">
        <v>33</v>
      </c>
      <c r="E1478" s="5" t="s">
        <v>34</v>
      </c>
      <c r="F1478" s="2" t="s">
        <v>374</v>
      </c>
      <c r="G1478" s="2">
        <v>4</v>
      </c>
      <c r="H1478" s="25">
        <v>13450</v>
      </c>
      <c r="I1478" s="8">
        <v>0</v>
      </c>
      <c r="J1478" s="25">
        <v>53800</v>
      </c>
      <c r="K1478" s="25">
        <f>G1478*H1478</f>
        <v>53800</v>
      </c>
      <c r="L1478" s="8">
        <f>K1478*I1478/100</f>
        <v>0</v>
      </c>
      <c r="M1478" s="2" t="s">
        <v>94</v>
      </c>
      <c r="N1478" s="2" t="s">
        <v>54</v>
      </c>
      <c r="O1478" s="2">
        <v>2025</v>
      </c>
      <c r="P1478" s="2" t="str">
        <v>October</v>
      </c>
      <c r="Q1478" s="2" t="s">
        <v>47</v>
      </c>
    </row>
    <row r="1479" spans="1:17" x14ac:dyDescent="0.25">
      <c r="A1479" s="2" t="s">
        <v>2825</v>
      </c>
      <c r="B1479" s="7">
        <v>46017</v>
      </c>
      <c r="C1479" s="5" t="s">
        <v>32</v>
      </c>
      <c r="D1479" s="2" t="s">
        <v>33</v>
      </c>
      <c r="E1479" s="2" t="s">
        <v>34</v>
      </c>
      <c r="F1479" s="2" t="s">
        <v>374</v>
      </c>
      <c r="G1479" s="2">
        <v>3</v>
      </c>
      <c r="H1479" s="25">
        <v>11160</v>
      </c>
      <c r="I1479" s="8">
        <v>0</v>
      </c>
      <c r="J1479" s="25">
        <v>33480</v>
      </c>
      <c r="K1479" s="25">
        <f>G1479*H1479</f>
        <v>33480</v>
      </c>
      <c r="L1479" s="8">
        <f>K1479*I1479/100</f>
        <v>0</v>
      </c>
      <c r="M1479" s="2" t="s">
        <v>94</v>
      </c>
      <c r="N1479" s="2" t="s">
        <v>344</v>
      </c>
      <c r="O1479" s="2">
        <v>2025</v>
      </c>
      <c r="P1479" s="2" t="str">
        <v>December</v>
      </c>
      <c r="Q1479" s="2" t="s">
        <v>21</v>
      </c>
    </row>
    <row r="1480" spans="1:17" x14ac:dyDescent="0.25">
      <c r="A1480" s="2" t="s">
        <v>2827</v>
      </c>
      <c r="B1480" s="7">
        <v>45669</v>
      </c>
      <c r="C1480" s="5" t="s">
        <v>156</v>
      </c>
      <c r="D1480" s="5" t="s">
        <v>51</v>
      </c>
      <c r="E1480" s="5" t="s">
        <v>148</v>
      </c>
      <c r="F1480" s="2" t="s">
        <v>83</v>
      </c>
      <c r="G1480" s="2">
        <v>10</v>
      </c>
      <c r="H1480" s="25">
        <v>50070</v>
      </c>
      <c r="I1480" s="8">
        <v>0</v>
      </c>
      <c r="J1480" s="25">
        <v>500700</v>
      </c>
      <c r="K1480" s="25">
        <f>G1480*H1480</f>
        <v>500700</v>
      </c>
      <c r="L1480" s="8">
        <f>K1480*I1480/100</f>
        <v>0</v>
      </c>
      <c r="M1480" s="2" t="s">
        <v>102</v>
      </c>
      <c r="N1480" s="2" t="s">
        <v>73</v>
      </c>
      <c r="O1480" s="2">
        <v>2025</v>
      </c>
      <c r="P1480" s="2" t="str">
        <v>January</v>
      </c>
      <c r="Q1480" s="2" t="s">
        <v>47</v>
      </c>
    </row>
    <row r="1481" spans="1:17" x14ac:dyDescent="0.25">
      <c r="A1481" s="2" t="s">
        <v>2828</v>
      </c>
      <c r="B1481" s="7">
        <v>45788</v>
      </c>
      <c r="C1481" s="5" t="s">
        <v>41</v>
      </c>
      <c r="D1481" s="5" t="s">
        <v>42</v>
      </c>
      <c r="E1481" s="5" t="s">
        <v>34</v>
      </c>
      <c r="F1481" s="2" t="s">
        <v>290</v>
      </c>
      <c r="G1481" s="2">
        <v>4</v>
      </c>
      <c r="H1481" s="25">
        <v>1170</v>
      </c>
      <c r="I1481" s="8">
        <v>0</v>
      </c>
      <c r="J1481" s="25">
        <v>4680</v>
      </c>
      <c r="K1481" s="25">
        <f>G1481*H1481</f>
        <v>4680</v>
      </c>
      <c r="L1481" s="8">
        <f>K1481*I1481/100</f>
        <v>0</v>
      </c>
      <c r="M1481" s="2" t="s">
        <v>94</v>
      </c>
      <c r="N1481" s="2" t="s">
        <v>68</v>
      </c>
      <c r="O1481" s="2">
        <v>2025</v>
      </c>
      <c r="P1481" s="2" t="str">
        <v>May</v>
      </c>
      <c r="Q1481" s="2" t="s">
        <v>21</v>
      </c>
    </row>
    <row r="1482" spans="1:17" x14ac:dyDescent="0.25">
      <c r="A1482" s="2" t="s">
        <v>2829</v>
      </c>
      <c r="B1482" s="7">
        <v>45832</v>
      </c>
      <c r="C1482" s="5" t="s">
        <v>238</v>
      </c>
      <c r="D1482" s="5" t="s">
        <v>51</v>
      </c>
      <c r="E1482" s="5" t="s">
        <v>25</v>
      </c>
      <c r="F1482" s="2" t="s">
        <v>106</v>
      </c>
      <c r="G1482" s="2">
        <v>7</v>
      </c>
      <c r="H1482" s="25">
        <v>5470</v>
      </c>
      <c r="I1482" s="8">
        <v>15</v>
      </c>
      <c r="J1482" s="25">
        <v>32546.5</v>
      </c>
      <c r="K1482" s="25">
        <f>G1482*H1482</f>
        <v>38290</v>
      </c>
      <c r="L1482" s="8">
        <f>K1482*I1482/100</f>
        <v>5743.5</v>
      </c>
      <c r="M1482" s="2" t="s">
        <v>102</v>
      </c>
      <c r="N1482" s="2" t="s">
        <v>54</v>
      </c>
      <c r="O1482" s="2">
        <v>2025</v>
      </c>
      <c r="P1482" s="2" t="str">
        <v>June</v>
      </c>
      <c r="Q1482" s="2" t="s">
        <v>21</v>
      </c>
    </row>
    <row r="1483" spans="1:17" x14ac:dyDescent="0.25">
      <c r="A1483" s="2" t="s">
        <v>2831</v>
      </c>
      <c r="B1483" s="7">
        <v>45791</v>
      </c>
      <c r="C1483" s="5" t="s">
        <v>135</v>
      </c>
      <c r="D1483" s="5" t="s">
        <v>58</v>
      </c>
      <c r="E1483" s="5" t="s">
        <v>179</v>
      </c>
      <c r="F1483" s="2" t="s">
        <v>184</v>
      </c>
      <c r="G1483" s="2">
        <v>8</v>
      </c>
      <c r="H1483" s="25">
        <v>4980</v>
      </c>
      <c r="I1483" s="8">
        <v>0</v>
      </c>
      <c r="J1483" s="25">
        <v>39840</v>
      </c>
      <c r="K1483" s="25">
        <f>G1483*H1483</f>
        <v>39840</v>
      </c>
      <c r="L1483" s="8">
        <f>K1483*I1483/100</f>
        <v>0</v>
      </c>
      <c r="M1483" s="2" t="s">
        <v>102</v>
      </c>
      <c r="N1483" s="2" t="s">
        <v>266</v>
      </c>
      <c r="O1483" s="2">
        <v>2025</v>
      </c>
      <c r="P1483" s="2" t="str">
        <v>May</v>
      </c>
      <c r="Q1483" s="2" t="s">
        <v>47</v>
      </c>
    </row>
    <row r="1484" spans="1:17" x14ac:dyDescent="0.25">
      <c r="A1484" s="2" t="s">
        <v>2832</v>
      </c>
      <c r="B1484" s="7">
        <v>45686</v>
      </c>
      <c r="C1484" s="5" t="s">
        <v>238</v>
      </c>
      <c r="D1484" s="5" t="s">
        <v>51</v>
      </c>
      <c r="E1484" s="5" t="s">
        <v>25</v>
      </c>
      <c r="F1484" s="2" t="s">
        <v>248</v>
      </c>
      <c r="G1484" s="2">
        <v>9</v>
      </c>
      <c r="H1484" s="25">
        <v>9090</v>
      </c>
      <c r="I1484" s="8">
        <v>5</v>
      </c>
      <c r="J1484" s="25">
        <v>77719.5</v>
      </c>
      <c r="K1484" s="25">
        <f>G1484*H1484</f>
        <v>81810</v>
      </c>
      <c r="L1484" s="8">
        <f>K1484*I1484/100</f>
        <v>4090.5</v>
      </c>
      <c r="M1484" s="2" t="s">
        <v>53</v>
      </c>
      <c r="N1484" s="2" t="s">
        <v>883</v>
      </c>
      <c r="O1484" s="2">
        <v>2025</v>
      </c>
      <c r="P1484" s="2" t="str">
        <v>January</v>
      </c>
      <c r="Q1484" s="2" t="s">
        <v>21</v>
      </c>
    </row>
    <row r="1485" spans="1:17" x14ac:dyDescent="0.25">
      <c r="A1485" s="2" t="s">
        <v>2833</v>
      </c>
      <c r="B1485" s="7">
        <v>46008</v>
      </c>
      <c r="C1485" s="5" t="s">
        <v>156</v>
      </c>
      <c r="D1485" s="5" t="s">
        <v>51</v>
      </c>
      <c r="E1485" s="5" t="s">
        <v>34</v>
      </c>
      <c r="F1485" s="2" t="s">
        <v>71</v>
      </c>
      <c r="G1485" s="2">
        <v>5</v>
      </c>
      <c r="H1485" s="25">
        <v>2540</v>
      </c>
      <c r="I1485" s="8">
        <v>5</v>
      </c>
      <c r="J1485" s="25">
        <v>12065</v>
      </c>
      <c r="K1485" s="25">
        <f>G1485*H1485</f>
        <v>12700</v>
      </c>
      <c r="L1485" s="8">
        <f>K1485*I1485/100</f>
        <v>635</v>
      </c>
      <c r="M1485" s="2" t="s">
        <v>102</v>
      </c>
      <c r="N1485" s="2" t="s">
        <v>54</v>
      </c>
      <c r="O1485" s="2">
        <v>2025</v>
      </c>
      <c r="P1485" s="2" t="str">
        <v>December</v>
      </c>
      <c r="Q1485" s="2" t="s">
        <v>21</v>
      </c>
    </row>
    <row r="1486" spans="1:17" x14ac:dyDescent="0.25">
      <c r="A1486" s="2" t="s">
        <v>2834</v>
      </c>
      <c r="B1486" s="7">
        <v>45756</v>
      </c>
      <c r="C1486" s="5" t="s">
        <v>24</v>
      </c>
      <c r="D1486" s="5" t="s">
        <v>16</v>
      </c>
      <c r="E1486" s="5" t="s">
        <v>179</v>
      </c>
      <c r="F1486" s="2" t="s">
        <v>60</v>
      </c>
      <c r="G1486" s="2">
        <v>1</v>
      </c>
      <c r="H1486" s="25">
        <v>19440</v>
      </c>
      <c r="I1486" s="8">
        <v>0</v>
      </c>
      <c r="J1486" s="25">
        <v>19440</v>
      </c>
      <c r="K1486" s="25">
        <f>G1486*H1486</f>
        <v>19440</v>
      </c>
      <c r="L1486" s="8">
        <f>K1486*I1486/100</f>
        <v>0</v>
      </c>
      <c r="M1486" s="2" t="s">
        <v>53</v>
      </c>
      <c r="N1486" s="2" t="s">
        <v>176</v>
      </c>
      <c r="O1486" s="2">
        <v>2025</v>
      </c>
      <c r="P1486" s="2" t="str">
        <v>April</v>
      </c>
      <c r="Q1486" s="2" t="s">
        <v>21</v>
      </c>
    </row>
    <row r="1487" spans="1:17" x14ac:dyDescent="0.25">
      <c r="A1487" s="2" t="s">
        <v>2835</v>
      </c>
      <c r="B1487" s="7">
        <v>45905</v>
      </c>
      <c r="C1487" s="5" t="s">
        <v>135</v>
      </c>
      <c r="D1487" s="5" t="s">
        <v>58</v>
      </c>
      <c r="E1487" s="5" t="s">
        <v>34</v>
      </c>
      <c r="F1487" s="2" t="s">
        <v>290</v>
      </c>
      <c r="G1487" s="2">
        <v>4</v>
      </c>
      <c r="H1487" s="25">
        <v>19080</v>
      </c>
      <c r="I1487" s="8">
        <v>0</v>
      </c>
      <c r="J1487" s="25">
        <v>76320</v>
      </c>
      <c r="K1487" s="25">
        <f>G1487*H1487</f>
        <v>76320</v>
      </c>
      <c r="L1487" s="8">
        <f>K1487*I1487/100</f>
        <v>0</v>
      </c>
      <c r="M1487" s="2" t="s">
        <v>53</v>
      </c>
      <c r="N1487" s="2" t="s">
        <v>406</v>
      </c>
      <c r="O1487" s="2">
        <v>2025</v>
      </c>
      <c r="P1487" s="2" t="str">
        <v>September</v>
      </c>
      <c r="Q1487" s="2" t="s">
        <v>47</v>
      </c>
    </row>
    <row r="1488" spans="1:17" x14ac:dyDescent="0.25">
      <c r="A1488" s="2" t="s">
        <v>2838</v>
      </c>
      <c r="B1488" s="7">
        <v>45678</v>
      </c>
      <c r="C1488" s="5" t="s">
        <v>156</v>
      </c>
      <c r="D1488" s="5" t="s">
        <v>51</v>
      </c>
      <c r="E1488" s="5" t="s">
        <v>179</v>
      </c>
      <c r="F1488" s="2" t="s">
        <v>224</v>
      </c>
      <c r="G1488" s="2">
        <v>6</v>
      </c>
      <c r="H1488" s="25">
        <v>520</v>
      </c>
      <c r="I1488" s="8">
        <v>0</v>
      </c>
      <c r="J1488" s="25">
        <v>3120</v>
      </c>
      <c r="K1488" s="25">
        <f>G1488*H1488</f>
        <v>3120</v>
      </c>
      <c r="L1488" s="8">
        <f>K1488*I1488/100</f>
        <v>0</v>
      </c>
      <c r="M1488" s="2" t="s">
        <v>53</v>
      </c>
      <c r="N1488" s="2" t="s">
        <v>266</v>
      </c>
      <c r="O1488" s="2">
        <v>2025</v>
      </c>
      <c r="P1488" s="2" t="str">
        <v>January</v>
      </c>
      <c r="Q1488" s="2" t="s">
        <v>21</v>
      </c>
    </row>
    <row r="1489" spans="1:17" x14ac:dyDescent="0.25">
      <c r="A1489" s="2" t="s">
        <v>2840</v>
      </c>
      <c r="B1489" s="7">
        <v>45897</v>
      </c>
      <c r="C1489" s="5" t="s">
        <v>41</v>
      </c>
      <c r="D1489" s="5" t="s">
        <v>42</v>
      </c>
      <c r="E1489" s="5" t="s">
        <v>295</v>
      </c>
      <c r="F1489" s="2" t="s">
        <v>314</v>
      </c>
      <c r="G1489" s="2">
        <v>11</v>
      </c>
      <c r="H1489" s="25">
        <v>17680</v>
      </c>
      <c r="I1489" s="8">
        <v>15</v>
      </c>
      <c r="J1489" s="25">
        <v>165308</v>
      </c>
      <c r="K1489" s="25">
        <f>G1489*H1489</f>
        <v>194480</v>
      </c>
      <c r="L1489" s="8">
        <f>K1489*I1489/100</f>
        <v>29172</v>
      </c>
      <c r="M1489" s="2" t="s">
        <v>139</v>
      </c>
      <c r="N1489" s="2" t="s">
        <v>73</v>
      </c>
      <c r="O1489" s="2">
        <v>2025</v>
      </c>
      <c r="P1489" s="2" t="str">
        <v>August</v>
      </c>
      <c r="Q1489" s="2" t="s">
        <v>47</v>
      </c>
    </row>
    <row r="1490" spans="1:17" x14ac:dyDescent="0.25">
      <c r="A1490" s="2" t="s">
        <v>2841</v>
      </c>
      <c r="B1490" s="7">
        <v>45698</v>
      </c>
      <c r="C1490" s="5" t="s">
        <v>32</v>
      </c>
      <c r="D1490" s="5" t="s">
        <v>33</v>
      </c>
      <c r="E1490" s="5" t="s">
        <v>295</v>
      </c>
      <c r="F1490" s="2" t="s">
        <v>296</v>
      </c>
      <c r="G1490" s="2">
        <v>1</v>
      </c>
      <c r="H1490" s="25">
        <v>43250</v>
      </c>
      <c r="I1490" s="8">
        <v>5</v>
      </c>
      <c r="J1490" s="25">
        <v>41087.5</v>
      </c>
      <c r="K1490" s="25">
        <f>G1490*H1490</f>
        <v>43250</v>
      </c>
      <c r="L1490" s="8">
        <f>K1490*I1490/100</f>
        <v>2162.5</v>
      </c>
      <c r="M1490" s="2" t="s">
        <v>53</v>
      </c>
      <c r="N1490" s="2" t="s">
        <v>68</v>
      </c>
      <c r="O1490" s="2">
        <v>2025</v>
      </c>
      <c r="P1490" s="2" t="str">
        <v>February</v>
      </c>
      <c r="Q1490" s="2" t="s">
        <v>47</v>
      </c>
    </row>
    <row r="1491" spans="1:17" x14ac:dyDescent="0.25">
      <c r="A1491" s="2" t="s">
        <v>2842</v>
      </c>
      <c r="B1491" s="7">
        <v>45911</v>
      </c>
      <c r="C1491" s="5" t="s">
        <v>41</v>
      </c>
      <c r="D1491" s="5" t="s">
        <v>42</v>
      </c>
      <c r="E1491" s="5" t="s">
        <v>148</v>
      </c>
      <c r="F1491" s="2" t="s">
        <v>209</v>
      </c>
      <c r="G1491" s="2">
        <v>9</v>
      </c>
      <c r="H1491" s="25">
        <v>10880</v>
      </c>
      <c r="I1491" s="8">
        <v>15</v>
      </c>
      <c r="J1491" s="25">
        <v>83232</v>
      </c>
      <c r="K1491" s="25">
        <f>G1491*H1491</f>
        <v>97920</v>
      </c>
      <c r="L1491" s="8">
        <f>K1491*I1491/100</f>
        <v>14688</v>
      </c>
      <c r="M1491" s="2" t="s">
        <v>53</v>
      </c>
      <c r="N1491" s="2" t="s">
        <v>344</v>
      </c>
      <c r="O1491" s="2">
        <v>2025</v>
      </c>
      <c r="P1491" s="2" t="str">
        <v>September</v>
      </c>
      <c r="Q1491" s="2" t="s">
        <v>21</v>
      </c>
    </row>
    <row r="1492" spans="1:17" x14ac:dyDescent="0.25">
      <c r="A1492" s="2" t="s">
        <v>2844</v>
      </c>
      <c r="B1492" s="7">
        <v>45834</v>
      </c>
      <c r="C1492" s="5" t="s">
        <v>135</v>
      </c>
      <c r="D1492" s="5" t="s">
        <v>58</v>
      </c>
      <c r="E1492" s="5" t="s">
        <v>25</v>
      </c>
      <c r="F1492" s="2" t="s">
        <v>93</v>
      </c>
      <c r="G1492" s="2">
        <v>8</v>
      </c>
      <c r="H1492" s="25">
        <v>6930</v>
      </c>
      <c r="I1492" s="8">
        <v>10</v>
      </c>
      <c r="J1492" s="25">
        <v>49896</v>
      </c>
      <c r="K1492" s="25">
        <f>G1492*H1492</f>
        <v>55440</v>
      </c>
      <c r="L1492" s="8">
        <f>K1492*I1492/100</f>
        <v>5544</v>
      </c>
      <c r="M1492" s="2" t="s">
        <v>94</v>
      </c>
      <c r="N1492" s="2" t="s">
        <v>406</v>
      </c>
      <c r="O1492" s="2">
        <v>2025</v>
      </c>
      <c r="P1492" s="2" t="str">
        <v>June</v>
      </c>
      <c r="Q1492" s="2" t="s">
        <v>21</v>
      </c>
    </row>
    <row r="1493" spans="1:17" x14ac:dyDescent="0.25">
      <c r="A1493" s="2" t="s">
        <v>2845</v>
      </c>
      <c r="B1493" s="7">
        <v>45987</v>
      </c>
      <c r="C1493" s="5" t="s">
        <v>135</v>
      </c>
      <c r="D1493" s="5" t="s">
        <v>58</v>
      </c>
      <c r="E1493" s="5" t="s">
        <v>179</v>
      </c>
      <c r="F1493" s="2" t="s">
        <v>232</v>
      </c>
      <c r="G1493" s="2">
        <v>10</v>
      </c>
      <c r="H1493" s="25">
        <v>8080</v>
      </c>
      <c r="I1493" s="8">
        <v>15</v>
      </c>
      <c r="J1493" s="25">
        <v>68680</v>
      </c>
      <c r="K1493" s="25">
        <f>G1493*H1493</f>
        <v>80800</v>
      </c>
      <c r="L1493" s="8">
        <f>K1493*I1493/100</f>
        <v>12120</v>
      </c>
      <c r="M1493" s="2" t="s">
        <v>102</v>
      </c>
      <c r="N1493" s="2" t="s">
        <v>79</v>
      </c>
      <c r="O1493" s="2">
        <v>2025</v>
      </c>
      <c r="P1493" s="2" t="str">
        <v>November</v>
      </c>
      <c r="Q1493" s="2" t="s">
        <v>21</v>
      </c>
    </row>
    <row r="1494" spans="1:17" x14ac:dyDescent="0.25">
      <c r="A1494" s="2" t="s">
        <v>2847</v>
      </c>
      <c r="B1494" s="7">
        <v>45777</v>
      </c>
      <c r="C1494" s="5" t="s">
        <v>76</v>
      </c>
      <c r="D1494" s="5" t="s">
        <v>33</v>
      </c>
      <c r="E1494" s="5" t="s">
        <v>295</v>
      </c>
      <c r="F1494" s="2" t="s">
        <v>296</v>
      </c>
      <c r="G1494" s="2">
        <v>5</v>
      </c>
      <c r="H1494" s="25">
        <v>11500</v>
      </c>
      <c r="I1494" s="8">
        <v>15</v>
      </c>
      <c r="J1494" s="25">
        <v>48875</v>
      </c>
      <c r="K1494" s="25">
        <f>G1494*H1494</f>
        <v>57500</v>
      </c>
      <c r="L1494" s="8">
        <f>K1494*I1494/100</f>
        <v>8625</v>
      </c>
      <c r="M1494" s="2" t="s">
        <v>94</v>
      </c>
      <c r="N1494" s="2" t="s">
        <v>176</v>
      </c>
      <c r="O1494" s="2">
        <v>2025</v>
      </c>
      <c r="P1494" s="2" t="str">
        <v>April</v>
      </c>
      <c r="Q1494" s="2" t="s">
        <v>21</v>
      </c>
    </row>
    <row r="1495" spans="1:17" x14ac:dyDescent="0.25">
      <c r="A1495" s="2" t="s">
        <v>2848</v>
      </c>
      <c r="B1495" s="7">
        <v>46016</v>
      </c>
      <c r="C1495" s="5" t="s">
        <v>32</v>
      </c>
      <c r="D1495" s="5" t="s">
        <v>33</v>
      </c>
      <c r="E1495" s="5" t="s">
        <v>148</v>
      </c>
      <c r="F1495" s="2" t="s">
        <v>209</v>
      </c>
      <c r="G1495" s="2">
        <v>3</v>
      </c>
      <c r="H1495" s="25">
        <v>68330</v>
      </c>
      <c r="I1495" s="8">
        <v>0</v>
      </c>
      <c r="J1495" s="25">
        <v>204990</v>
      </c>
      <c r="K1495" s="25">
        <f>G1495*H1495</f>
        <v>204990</v>
      </c>
      <c r="L1495" s="8">
        <f>K1495*I1495/100</f>
        <v>0</v>
      </c>
      <c r="M1495" s="2" t="s">
        <v>102</v>
      </c>
      <c r="N1495" s="2" t="s">
        <v>883</v>
      </c>
      <c r="O1495" s="2">
        <v>2025</v>
      </c>
      <c r="P1495" s="2" t="str">
        <v>December</v>
      </c>
      <c r="Q1495" s="2" t="s">
        <v>21</v>
      </c>
    </row>
    <row r="1496" spans="1:17" x14ac:dyDescent="0.25">
      <c r="A1496" s="2" t="s">
        <v>2850</v>
      </c>
      <c r="B1496" s="7">
        <v>45782</v>
      </c>
      <c r="C1496" s="5" t="s">
        <v>135</v>
      </c>
      <c r="D1496" s="5" t="s">
        <v>51</v>
      </c>
      <c r="E1496" s="5" t="s">
        <v>295</v>
      </c>
      <c r="F1496" s="2" t="s">
        <v>219</v>
      </c>
      <c r="G1496" s="2">
        <v>9</v>
      </c>
      <c r="H1496" s="25">
        <v>1220</v>
      </c>
      <c r="I1496" s="8">
        <v>5</v>
      </c>
      <c r="J1496" s="25">
        <v>10431</v>
      </c>
      <c r="K1496" s="25">
        <f>G1496*H1496</f>
        <v>10980</v>
      </c>
      <c r="L1496" s="8">
        <f>K1496*I1496/100</f>
        <v>549</v>
      </c>
      <c r="M1496" s="2" t="s">
        <v>102</v>
      </c>
      <c r="N1496" s="2" t="s">
        <v>341</v>
      </c>
      <c r="O1496" s="2">
        <v>2025</v>
      </c>
      <c r="P1496" s="2" t="str">
        <v>May</v>
      </c>
      <c r="Q1496" s="2" t="s">
        <v>47</v>
      </c>
    </row>
    <row r="1497" spans="1:17" x14ac:dyDescent="0.25">
      <c r="A1497" s="2" t="s">
        <v>2851</v>
      </c>
      <c r="B1497" s="7">
        <v>45725</v>
      </c>
      <c r="C1497" s="5" t="s">
        <v>135</v>
      </c>
      <c r="D1497" s="5" t="s">
        <v>58</v>
      </c>
      <c r="E1497" s="5" t="s">
        <v>179</v>
      </c>
      <c r="F1497" s="2" t="s">
        <v>232</v>
      </c>
      <c r="G1497" s="2">
        <v>2</v>
      </c>
      <c r="H1497" s="25">
        <v>3720</v>
      </c>
      <c r="I1497" s="8">
        <v>0</v>
      </c>
      <c r="J1497" s="25">
        <v>7440</v>
      </c>
      <c r="K1497" s="25">
        <f>G1497*H1497</f>
        <v>7440</v>
      </c>
      <c r="L1497" s="8">
        <f>K1497*I1497/100</f>
        <v>0</v>
      </c>
      <c r="M1497" s="2" t="s">
        <v>102</v>
      </c>
      <c r="N1497" s="2" t="s">
        <v>68</v>
      </c>
      <c r="O1497" s="2">
        <v>2025</v>
      </c>
      <c r="P1497" s="2" t="str">
        <v>March</v>
      </c>
      <c r="Q1497" s="2" t="s">
        <v>47</v>
      </c>
    </row>
    <row r="1498" spans="1:17" x14ac:dyDescent="0.25">
      <c r="A1498" s="2" t="s">
        <v>2852</v>
      </c>
      <c r="B1498" s="7">
        <v>45983</v>
      </c>
      <c r="C1498" s="5" t="s">
        <v>156</v>
      </c>
      <c r="D1498" s="5" t="s">
        <v>51</v>
      </c>
      <c r="E1498" s="5" t="s">
        <v>34</v>
      </c>
      <c r="F1498" s="2" t="s">
        <v>290</v>
      </c>
      <c r="G1498" s="2">
        <v>7</v>
      </c>
      <c r="H1498" s="25">
        <v>7140</v>
      </c>
      <c r="I1498" s="8">
        <v>0</v>
      </c>
      <c r="J1498" s="25">
        <v>49980</v>
      </c>
      <c r="K1498" s="25">
        <f>G1498*H1498</f>
        <v>49980</v>
      </c>
      <c r="L1498" s="8">
        <f>K1498*I1498/100</f>
        <v>0</v>
      </c>
      <c r="M1498" s="2" t="s">
        <v>102</v>
      </c>
      <c r="N1498" s="2" t="s">
        <v>68</v>
      </c>
      <c r="O1498" s="2">
        <v>2025</v>
      </c>
      <c r="P1498" s="2" t="str">
        <v>November</v>
      </c>
      <c r="Q1498" s="2" t="s">
        <v>47</v>
      </c>
    </row>
    <row r="1499" spans="1:17" x14ac:dyDescent="0.25">
      <c r="A1499" s="2" t="s">
        <v>2853</v>
      </c>
      <c r="B1499" s="7">
        <v>45908</v>
      </c>
      <c r="C1499" s="5" t="s">
        <v>238</v>
      </c>
      <c r="D1499" s="5" t="s">
        <v>51</v>
      </c>
      <c r="E1499" s="5" t="s">
        <v>34</v>
      </c>
      <c r="F1499" s="2" t="s">
        <v>18</v>
      </c>
      <c r="G1499" s="2">
        <v>6</v>
      </c>
      <c r="H1499" s="25">
        <v>62750</v>
      </c>
      <c r="I1499" s="8">
        <v>10</v>
      </c>
      <c r="J1499" s="25">
        <v>338850</v>
      </c>
      <c r="K1499" s="25">
        <f>G1499*H1499</f>
        <v>376500</v>
      </c>
      <c r="L1499" s="8">
        <f>K1499*I1499/100</f>
        <v>37650</v>
      </c>
      <c r="M1499" s="2" t="s">
        <v>53</v>
      </c>
      <c r="N1499" s="2" t="s">
        <v>344</v>
      </c>
      <c r="O1499" s="2">
        <v>2025</v>
      </c>
      <c r="P1499" s="2" t="str">
        <v>September</v>
      </c>
      <c r="Q1499" s="2" t="s">
        <v>47</v>
      </c>
    </row>
    <row r="1500" spans="1:17" x14ac:dyDescent="0.25">
      <c r="A1500" s="2" t="s">
        <v>2854</v>
      </c>
      <c r="B1500" s="7">
        <v>45872</v>
      </c>
      <c r="C1500" s="5" t="s">
        <v>156</v>
      </c>
      <c r="D1500" s="5" t="s">
        <v>51</v>
      </c>
      <c r="E1500" s="5" t="s">
        <v>179</v>
      </c>
      <c r="F1500" s="2" t="s">
        <v>239</v>
      </c>
      <c r="G1500" s="2">
        <v>8</v>
      </c>
      <c r="H1500" s="25">
        <v>1180</v>
      </c>
      <c r="I1500" s="8">
        <v>15</v>
      </c>
      <c r="J1500" s="25">
        <v>8024</v>
      </c>
      <c r="K1500" s="25">
        <f>G1500*H1500</f>
        <v>9440</v>
      </c>
      <c r="L1500" s="8">
        <f>K1500*I1500/100</f>
        <v>1416</v>
      </c>
      <c r="M1500" s="2" t="s">
        <v>102</v>
      </c>
      <c r="N1500" s="2" t="s">
        <v>176</v>
      </c>
      <c r="O1500" s="2">
        <v>2025</v>
      </c>
      <c r="P1500" s="2" t="str">
        <v>August</v>
      </c>
      <c r="Q1500" s="2" t="s">
        <v>47</v>
      </c>
    </row>
    <row r="1501" spans="1:17" x14ac:dyDescent="0.25">
      <c r="A1501" s="2" t="s">
        <v>2855</v>
      </c>
      <c r="B1501" s="7">
        <v>45797</v>
      </c>
      <c r="C1501" s="5" t="s">
        <v>32</v>
      </c>
      <c r="D1501" s="5" t="s">
        <v>33</v>
      </c>
      <c r="E1501" s="5" t="s">
        <v>34</v>
      </c>
      <c r="F1501" s="2" t="s">
        <v>71</v>
      </c>
      <c r="G1501" s="2">
        <v>5</v>
      </c>
      <c r="H1501" s="25">
        <v>64530</v>
      </c>
      <c r="I1501" s="8">
        <v>0</v>
      </c>
      <c r="J1501" s="25">
        <v>322650</v>
      </c>
      <c r="K1501" s="25">
        <f>G1501*H1501</f>
        <v>322650</v>
      </c>
      <c r="L1501" s="8">
        <f>K1501*I1501/100</f>
        <v>0</v>
      </c>
      <c r="M1501" s="2" t="s">
        <v>102</v>
      </c>
      <c r="N1501" s="2" t="s">
        <v>73</v>
      </c>
      <c r="O1501" s="2">
        <v>2025</v>
      </c>
      <c r="P1501" s="2" t="str">
        <v>May</v>
      </c>
      <c r="Q1501" s="2" t="s">
        <v>47</v>
      </c>
    </row>
  </sheetData>
  <autoFilter ref="A1:Q1501" xr:uid="{522C1E85-E1B4-4752-93A5-4A0E4FB09331}"/>
  <conditionalFormatting sqref="C2:C1501 G2:L1501">
    <cfRule type="containsBlanks" dxfId="140" priority="1">
      <formula>LEN(TRIM(C2))=0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BA27F-2369-4E44-9403-579FB58234C1}">
  <dimension ref="A1:E38"/>
  <sheetViews>
    <sheetView topLeftCell="A18" workbookViewId="0">
      <selection activeCell="B33" sqref="B33"/>
    </sheetView>
  </sheetViews>
  <sheetFormatPr defaultRowHeight="15" x14ac:dyDescent="0.25"/>
  <cols>
    <col min="1" max="1" width="13.140625" bestFit="1" customWidth="1"/>
    <col min="2" max="2" width="25" bestFit="1" customWidth="1"/>
    <col min="4" max="4" width="13.140625" bestFit="1" customWidth="1"/>
    <col min="5" max="5" width="25" bestFit="1" customWidth="1"/>
    <col min="7" max="7" width="13.140625" bestFit="1" customWidth="1"/>
    <col min="8" max="8" width="25" bestFit="1" customWidth="1"/>
  </cols>
  <sheetData>
    <row r="1" spans="1:5" ht="18.75" x14ac:dyDescent="0.3">
      <c r="A1" s="15" t="s">
        <v>2877</v>
      </c>
    </row>
    <row r="2" spans="1:5" x14ac:dyDescent="0.25">
      <c r="A2" s="9" t="s">
        <v>2874</v>
      </c>
      <c r="B2" s="12" t="s">
        <v>2876</v>
      </c>
      <c r="D2" s="9" t="s">
        <v>2874</v>
      </c>
      <c r="E2" s="12" t="s">
        <v>2876</v>
      </c>
    </row>
    <row r="3" spans="1:5" x14ac:dyDescent="0.25">
      <c r="A3" s="10" t="s">
        <v>135</v>
      </c>
      <c r="B3" s="12">
        <v>29384778</v>
      </c>
      <c r="D3" s="10" t="s">
        <v>135</v>
      </c>
      <c r="E3" s="13">
        <v>0.1925741755568402</v>
      </c>
    </row>
    <row r="4" spans="1:5" x14ac:dyDescent="0.25">
      <c r="A4" s="10" t="s">
        <v>76</v>
      </c>
      <c r="B4" s="12">
        <v>22191207</v>
      </c>
      <c r="D4" s="10" t="s">
        <v>76</v>
      </c>
      <c r="E4" s="13">
        <v>0.14543085513990206</v>
      </c>
    </row>
    <row r="5" spans="1:5" x14ac:dyDescent="0.25">
      <c r="A5" s="10" t="s">
        <v>41</v>
      </c>
      <c r="B5" s="12">
        <v>21541970</v>
      </c>
      <c r="D5" s="10" t="s">
        <v>41</v>
      </c>
      <c r="E5" s="13">
        <v>0.14117605763842031</v>
      </c>
    </row>
    <row r="6" spans="1:5" x14ac:dyDescent="0.25">
      <c r="A6" s="10" t="s">
        <v>32</v>
      </c>
      <c r="B6" s="12">
        <v>21524754</v>
      </c>
      <c r="D6" s="10" t="s">
        <v>32</v>
      </c>
      <c r="E6" s="13">
        <v>0.14106323197724341</v>
      </c>
    </row>
    <row r="7" spans="1:5" x14ac:dyDescent="0.25">
      <c r="A7" s="10" t="s">
        <v>156</v>
      </c>
      <c r="B7" s="12">
        <v>20157898.5</v>
      </c>
      <c r="D7" s="10" t="s">
        <v>156</v>
      </c>
      <c r="E7" s="13">
        <v>0.1321054964102831</v>
      </c>
    </row>
    <row r="8" spans="1:5" x14ac:dyDescent="0.25">
      <c r="A8" s="10" t="s">
        <v>238</v>
      </c>
      <c r="B8" s="12">
        <v>19102531.5</v>
      </c>
      <c r="D8" s="10" t="s">
        <v>238</v>
      </c>
      <c r="E8" s="13">
        <v>0.12518911167751787</v>
      </c>
    </row>
    <row r="9" spans="1:5" x14ac:dyDescent="0.25">
      <c r="A9" s="10" t="s">
        <v>24</v>
      </c>
      <c r="B9" s="12">
        <v>18686261.5</v>
      </c>
      <c r="D9" s="10" t="s">
        <v>24</v>
      </c>
      <c r="E9" s="13">
        <v>0.12246107159979307</v>
      </c>
    </row>
    <row r="10" spans="1:5" x14ac:dyDescent="0.25">
      <c r="A10" s="10" t="s">
        <v>2875</v>
      </c>
      <c r="B10" s="12">
        <v>152589400.5</v>
      </c>
      <c r="D10" s="10" t="s">
        <v>2875</v>
      </c>
      <c r="E10" s="13">
        <v>1</v>
      </c>
    </row>
    <row r="14" spans="1:5" ht="18.75" x14ac:dyDescent="0.3">
      <c r="A14" s="15" t="s">
        <v>2878</v>
      </c>
    </row>
    <row r="15" spans="1:5" x14ac:dyDescent="0.25">
      <c r="A15" s="9" t="s">
        <v>2874</v>
      </c>
      <c r="B15" s="12" t="s">
        <v>2876</v>
      </c>
    </row>
    <row r="16" spans="1:5" x14ac:dyDescent="0.25">
      <c r="A16" s="10" t="s">
        <v>179</v>
      </c>
      <c r="B16" s="12">
        <v>39342861.5</v>
      </c>
    </row>
    <row r="17" spans="1:5" x14ac:dyDescent="0.25">
      <c r="A17" s="10" t="s">
        <v>148</v>
      </c>
      <c r="B17" s="12">
        <v>30180992</v>
      </c>
    </row>
    <row r="18" spans="1:5" x14ac:dyDescent="0.25">
      <c r="A18" s="10" t="s">
        <v>25</v>
      </c>
      <c r="B18" s="12">
        <v>29474137</v>
      </c>
    </row>
    <row r="19" spans="1:5" x14ac:dyDescent="0.25">
      <c r="A19" s="10" t="s">
        <v>295</v>
      </c>
      <c r="B19" s="12">
        <v>26909144</v>
      </c>
    </row>
    <row r="20" spans="1:5" x14ac:dyDescent="0.25">
      <c r="A20" s="10" t="s">
        <v>34</v>
      </c>
      <c r="B20" s="12">
        <v>26682266</v>
      </c>
    </row>
    <row r="21" spans="1:5" x14ac:dyDescent="0.25">
      <c r="A21" s="10" t="s">
        <v>2875</v>
      </c>
      <c r="B21" s="12">
        <v>152589400.5</v>
      </c>
    </row>
    <row r="24" spans="1:5" ht="18.75" x14ac:dyDescent="0.3">
      <c r="A24" s="15" t="s">
        <v>2879</v>
      </c>
    </row>
    <row r="25" spans="1:5" x14ac:dyDescent="0.25">
      <c r="A25" s="9" t="s">
        <v>2874</v>
      </c>
      <c r="B25" s="12" t="s">
        <v>2876</v>
      </c>
      <c r="D25" s="9" t="s">
        <v>2874</v>
      </c>
      <c r="E25" s="12" t="s">
        <v>2876</v>
      </c>
    </row>
    <row r="26" spans="1:5" x14ac:dyDescent="0.25">
      <c r="A26" s="10" t="s">
        <v>102</v>
      </c>
      <c r="B26" s="12">
        <v>46981609</v>
      </c>
      <c r="D26" s="10" t="s">
        <v>47</v>
      </c>
      <c r="E26" s="12">
        <v>80374742.5</v>
      </c>
    </row>
    <row r="27" spans="1:5" x14ac:dyDescent="0.25">
      <c r="A27" s="10" t="s">
        <v>94</v>
      </c>
      <c r="B27" s="12">
        <v>37618950.5</v>
      </c>
      <c r="D27" s="10" t="s">
        <v>21</v>
      </c>
      <c r="E27" s="12">
        <v>72214658</v>
      </c>
    </row>
    <row r="28" spans="1:5" x14ac:dyDescent="0.25">
      <c r="A28" s="10" t="s">
        <v>53</v>
      </c>
      <c r="B28" s="12">
        <v>35865831</v>
      </c>
      <c r="D28" s="10" t="s">
        <v>2875</v>
      </c>
      <c r="E28" s="12">
        <v>152589400.5</v>
      </c>
    </row>
    <row r="29" spans="1:5" x14ac:dyDescent="0.25">
      <c r="A29" s="10" t="s">
        <v>139</v>
      </c>
      <c r="B29" s="12">
        <v>32123010</v>
      </c>
    </row>
    <row r="30" spans="1:5" x14ac:dyDescent="0.25">
      <c r="A30" s="10" t="s">
        <v>2875</v>
      </c>
      <c r="B30" s="12">
        <v>152589400.5</v>
      </c>
    </row>
    <row r="33" spans="1:5" x14ac:dyDescent="0.25">
      <c r="A33" s="9" t="s">
        <v>2874</v>
      </c>
      <c r="B33" s="12" t="s">
        <v>2876</v>
      </c>
      <c r="D33" s="9" t="s">
        <v>2874</v>
      </c>
      <c r="E33" s="12" t="s">
        <v>2876</v>
      </c>
    </row>
    <row r="34" spans="1:5" x14ac:dyDescent="0.25">
      <c r="A34" s="10" t="s">
        <v>102</v>
      </c>
      <c r="B34" s="13">
        <v>0.30789562607921772</v>
      </c>
      <c r="D34" s="10" t="s">
        <v>47</v>
      </c>
      <c r="E34" s="13">
        <v>0.5267387003070374</v>
      </c>
    </row>
    <row r="35" spans="1:5" x14ac:dyDescent="0.25">
      <c r="A35" s="10" t="s">
        <v>94</v>
      </c>
      <c r="B35" s="13">
        <v>0.24653711448325666</v>
      </c>
      <c r="D35" s="10" t="s">
        <v>21</v>
      </c>
      <c r="E35" s="13">
        <v>0.4732612996929626</v>
      </c>
    </row>
    <row r="36" spans="1:5" x14ac:dyDescent="0.25">
      <c r="A36" s="10" t="s">
        <v>53</v>
      </c>
      <c r="B36" s="13">
        <v>0.23504798421434259</v>
      </c>
      <c r="D36" s="10" t="s">
        <v>2875</v>
      </c>
      <c r="E36" s="13">
        <v>1</v>
      </c>
    </row>
    <row r="37" spans="1:5" x14ac:dyDescent="0.25">
      <c r="A37" s="10" t="s">
        <v>139</v>
      </c>
      <c r="B37" s="13">
        <v>0.21051927522318301</v>
      </c>
    </row>
    <row r="38" spans="1:5" x14ac:dyDescent="0.25">
      <c r="A38" s="10" t="s">
        <v>2875</v>
      </c>
      <c r="B38" s="1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829CD-57B1-469D-B375-96BF1FAAE465}">
  <dimension ref="A1:H37"/>
  <sheetViews>
    <sheetView workbookViewId="0">
      <selection activeCell="H6" sqref="H6"/>
    </sheetView>
  </sheetViews>
  <sheetFormatPr defaultRowHeight="15" x14ac:dyDescent="0.25"/>
  <cols>
    <col min="1" max="1" width="22" bestFit="1" customWidth="1"/>
    <col min="2" max="2" width="17.42578125" bestFit="1" customWidth="1"/>
    <col min="3" max="3" width="20" bestFit="1" customWidth="1"/>
    <col min="5" max="5" width="13.140625" bestFit="1" customWidth="1"/>
    <col min="6" max="6" width="14.7109375" bestFit="1" customWidth="1"/>
    <col min="8" max="8" width="10.5703125" bestFit="1" customWidth="1"/>
    <col min="9" max="9" width="18.85546875" customWidth="1"/>
  </cols>
  <sheetData>
    <row r="1" spans="1:8" ht="23.25" x14ac:dyDescent="0.35">
      <c r="A1" s="23" t="s">
        <v>2880</v>
      </c>
      <c r="B1" s="23"/>
      <c r="C1" s="23"/>
      <c r="D1" s="23"/>
      <c r="E1" s="23"/>
      <c r="F1" s="23"/>
      <c r="G1" s="23"/>
      <c r="H1" s="23"/>
    </row>
    <row r="2" spans="1:8" x14ac:dyDescent="0.25">
      <c r="A2" t="s">
        <v>2876</v>
      </c>
      <c r="C2" t="s">
        <v>2882</v>
      </c>
      <c r="E2" s="16" t="s">
        <v>2883</v>
      </c>
    </row>
    <row r="3" spans="1:8" x14ac:dyDescent="0.25">
      <c r="A3" s="12">
        <v>152589400.5</v>
      </c>
      <c r="C3" s="12">
        <v>5898973.5000000009</v>
      </c>
      <c r="E3" s="16">
        <v>3.8659130192991359E-2</v>
      </c>
    </row>
    <row r="5" spans="1:8" x14ac:dyDescent="0.25">
      <c r="A5" s="11" t="s">
        <v>2884</v>
      </c>
      <c r="C5" s="11" t="s">
        <v>2885</v>
      </c>
      <c r="E5" s="11" t="s">
        <v>2876</v>
      </c>
      <c r="F5" s="11" t="s">
        <v>2906</v>
      </c>
      <c r="H5" s="22">
        <f>GETPIVOTDATA("Sum of Total Sales (NGN)",$E$5)/GETPIVOTDATA("Count of Transaction ID",$E$5)</f>
        <v>101726.26700000001</v>
      </c>
    </row>
    <row r="6" spans="1:8" x14ac:dyDescent="0.25">
      <c r="A6" s="17">
        <v>9614</v>
      </c>
      <c r="C6" s="17">
        <v>1500</v>
      </c>
      <c r="E6" s="17">
        <v>152589400.5</v>
      </c>
      <c r="F6" s="17">
        <v>1500</v>
      </c>
    </row>
    <row r="8" spans="1:8" x14ac:dyDescent="0.25">
      <c r="A8" s="24" t="s">
        <v>2886</v>
      </c>
      <c r="B8" s="24"/>
      <c r="C8" s="24"/>
      <c r="D8" s="24"/>
      <c r="E8" s="24"/>
      <c r="F8" s="24"/>
      <c r="G8" s="24"/>
      <c r="H8" s="24"/>
    </row>
    <row r="9" spans="1:8" x14ac:dyDescent="0.25">
      <c r="A9" s="24"/>
      <c r="B9" s="24"/>
      <c r="C9" s="24"/>
      <c r="D9" s="24"/>
      <c r="E9" s="24"/>
      <c r="F9" s="24"/>
      <c r="G9" s="24"/>
      <c r="H9" s="24"/>
    </row>
    <row r="10" spans="1:8" x14ac:dyDescent="0.25">
      <c r="A10" s="14" t="s">
        <v>2887</v>
      </c>
      <c r="E10" s="14" t="s">
        <v>2888</v>
      </c>
    </row>
    <row r="11" spans="1:8" x14ac:dyDescent="0.25">
      <c r="A11" s="9" t="s">
        <v>2874</v>
      </c>
      <c r="B11" t="s">
        <v>2881</v>
      </c>
      <c r="E11" s="9" t="s">
        <v>2874</v>
      </c>
      <c r="F11" t="s">
        <v>2889</v>
      </c>
    </row>
    <row r="12" spans="1:8" x14ac:dyDescent="0.25">
      <c r="A12" s="10" t="s">
        <v>135</v>
      </c>
      <c r="B12" s="12">
        <v>29384778</v>
      </c>
      <c r="E12" s="10" t="s">
        <v>135</v>
      </c>
      <c r="F12" s="20">
        <v>1067799.6470588236</v>
      </c>
    </row>
    <row r="13" spans="1:8" x14ac:dyDescent="0.25">
      <c r="A13" s="10" t="s">
        <v>76</v>
      </c>
      <c r="B13" s="12">
        <v>22191207</v>
      </c>
      <c r="E13" s="10" t="s">
        <v>41</v>
      </c>
      <c r="F13" s="20">
        <v>1062210</v>
      </c>
    </row>
    <row r="14" spans="1:8" x14ac:dyDescent="0.25">
      <c r="A14" s="10" t="s">
        <v>41</v>
      </c>
      <c r="B14" s="12">
        <v>21541970</v>
      </c>
      <c r="E14" s="10" t="s">
        <v>156</v>
      </c>
      <c r="F14" s="20">
        <v>988691.5</v>
      </c>
    </row>
    <row r="15" spans="1:8" x14ac:dyDescent="0.25">
      <c r="A15" s="10" t="s">
        <v>32</v>
      </c>
      <c r="B15" s="12">
        <v>21524754</v>
      </c>
      <c r="E15" s="10" t="s">
        <v>238</v>
      </c>
      <c r="F15" s="20">
        <v>840820.8529411765</v>
      </c>
    </row>
    <row r="16" spans="1:8" x14ac:dyDescent="0.25">
      <c r="A16" s="10" t="s">
        <v>156</v>
      </c>
      <c r="B16" s="12">
        <v>20157898.5</v>
      </c>
      <c r="E16" s="10" t="s">
        <v>24</v>
      </c>
      <c r="F16" s="20">
        <v>750138.5</v>
      </c>
    </row>
    <row r="17" spans="1:6" x14ac:dyDescent="0.25">
      <c r="A17" s="10" t="s">
        <v>238</v>
      </c>
      <c r="B17" s="12">
        <v>19102531.5</v>
      </c>
      <c r="E17" s="10" t="s">
        <v>76</v>
      </c>
      <c r="F17" s="20">
        <v>693767</v>
      </c>
    </row>
    <row r="18" spans="1:6" x14ac:dyDescent="0.25">
      <c r="A18" s="10" t="s">
        <v>24</v>
      </c>
      <c r="B18" s="12">
        <v>18686261.5</v>
      </c>
      <c r="E18" s="10" t="s">
        <v>32</v>
      </c>
      <c r="F18" s="20">
        <v>495546</v>
      </c>
    </row>
    <row r="19" spans="1:6" x14ac:dyDescent="0.25">
      <c r="A19" s="10" t="s">
        <v>2875</v>
      </c>
      <c r="B19" s="12">
        <v>152589400.5</v>
      </c>
      <c r="E19" s="10" t="s">
        <v>2875</v>
      </c>
      <c r="F19" s="17">
        <v>5898973.5</v>
      </c>
    </row>
    <row r="22" spans="1:6" x14ac:dyDescent="0.25">
      <c r="A22" s="18" t="s">
        <v>2890</v>
      </c>
      <c r="E22" s="18" t="s">
        <v>2891</v>
      </c>
    </row>
    <row r="23" spans="1:6" x14ac:dyDescent="0.25">
      <c r="A23" s="9" t="s">
        <v>2874</v>
      </c>
      <c r="B23" t="s">
        <v>2881</v>
      </c>
      <c r="E23" s="9" t="s">
        <v>2874</v>
      </c>
      <c r="F23" t="s">
        <v>2881</v>
      </c>
    </row>
    <row r="24" spans="1:6" x14ac:dyDescent="0.25">
      <c r="A24" s="10" t="s">
        <v>179</v>
      </c>
      <c r="B24" s="12">
        <v>39342861.5</v>
      </c>
      <c r="E24" s="10">
        <v>2025</v>
      </c>
      <c r="F24" s="12">
        <v>152589400.5</v>
      </c>
    </row>
    <row r="25" spans="1:6" x14ac:dyDescent="0.25">
      <c r="A25" s="10" t="s">
        <v>148</v>
      </c>
      <c r="B25" s="12">
        <v>30180992</v>
      </c>
      <c r="E25" s="21" t="s">
        <v>2895</v>
      </c>
      <c r="F25" s="12">
        <v>13209525</v>
      </c>
    </row>
    <row r="26" spans="1:6" x14ac:dyDescent="0.25">
      <c r="A26" s="10" t="s">
        <v>25</v>
      </c>
      <c r="B26" s="12">
        <v>29474137</v>
      </c>
      <c r="E26" s="21" t="s">
        <v>2903</v>
      </c>
      <c r="F26" s="12">
        <v>11313958</v>
      </c>
    </row>
    <row r="27" spans="1:6" x14ac:dyDescent="0.25">
      <c r="A27" s="10" t="s">
        <v>295</v>
      </c>
      <c r="B27" s="12">
        <v>26909144</v>
      </c>
      <c r="E27" s="21" t="s">
        <v>2902</v>
      </c>
      <c r="F27" s="12">
        <v>11673246.5</v>
      </c>
    </row>
    <row r="28" spans="1:6" x14ac:dyDescent="0.25">
      <c r="A28" s="10" t="s">
        <v>34</v>
      </c>
      <c r="B28" s="12">
        <v>26682266</v>
      </c>
      <c r="E28" s="21" t="s">
        <v>2899</v>
      </c>
      <c r="F28" s="12">
        <v>13232103</v>
      </c>
    </row>
    <row r="29" spans="1:6" x14ac:dyDescent="0.25">
      <c r="A29" s="10" t="s">
        <v>2875</v>
      </c>
      <c r="B29" s="12">
        <v>152589400.5</v>
      </c>
      <c r="E29" s="21" t="s">
        <v>2905</v>
      </c>
      <c r="F29" s="12">
        <v>10691220.5</v>
      </c>
    </row>
    <row r="30" spans="1:6" x14ac:dyDescent="0.25">
      <c r="E30" s="21" t="s">
        <v>2896</v>
      </c>
      <c r="F30" s="12">
        <v>13823839.5</v>
      </c>
    </row>
    <row r="31" spans="1:6" x14ac:dyDescent="0.25">
      <c r="E31" s="21" t="s">
        <v>2900</v>
      </c>
      <c r="F31" s="12">
        <v>12070872</v>
      </c>
    </row>
    <row r="32" spans="1:6" x14ac:dyDescent="0.25">
      <c r="E32" s="21" t="s">
        <v>2901</v>
      </c>
      <c r="F32" s="12">
        <v>13364213.5</v>
      </c>
    </row>
    <row r="33" spans="5:6" x14ac:dyDescent="0.25">
      <c r="E33" s="21" t="s">
        <v>2897</v>
      </c>
      <c r="F33" s="12">
        <v>13221191.5</v>
      </c>
    </row>
    <row r="34" spans="5:6" x14ac:dyDescent="0.25">
      <c r="E34" s="21" t="s">
        <v>2894</v>
      </c>
      <c r="F34" s="12">
        <v>13975623</v>
      </c>
    </row>
    <row r="35" spans="5:6" x14ac:dyDescent="0.25">
      <c r="E35" s="21" t="s">
        <v>2898</v>
      </c>
      <c r="F35" s="12">
        <v>13595237.5</v>
      </c>
    </row>
    <row r="36" spans="5:6" x14ac:dyDescent="0.25">
      <c r="E36" s="21" t="s">
        <v>2904</v>
      </c>
      <c r="F36" s="12">
        <v>12418370.5</v>
      </c>
    </row>
    <row r="37" spans="5:6" x14ac:dyDescent="0.25">
      <c r="E37" s="10" t="s">
        <v>2875</v>
      </c>
      <c r="F37" s="12">
        <v>152589400.5</v>
      </c>
    </row>
  </sheetData>
  <mergeCells count="2">
    <mergeCell ref="A1:H1"/>
    <mergeCell ref="A8:H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0DF48-597C-42FD-BD0C-A4C108531D44}">
  <dimension ref="A1:U35"/>
  <sheetViews>
    <sheetView showGridLines="0" tabSelected="1" workbookViewId="0">
      <selection activeCell="J31" sqref="J31"/>
    </sheetView>
  </sheetViews>
  <sheetFormatPr defaultRowHeight="15" x14ac:dyDescent="0.25"/>
  <sheetData>
    <row r="1" spans="1:21" x14ac:dyDescent="0.25">
      <c r="A1" s="19"/>
      <c r="B1" s="19"/>
      <c r="C1" s="19"/>
      <c r="D1" s="19"/>
      <c r="E1" s="19"/>
      <c r="F1" s="19"/>
      <c r="G1" s="19"/>
      <c r="H1" s="19"/>
      <c r="I1" s="19"/>
      <c r="J1" s="19"/>
      <c r="K1" s="19"/>
      <c r="L1" s="19"/>
      <c r="M1" s="19"/>
      <c r="N1" s="19"/>
      <c r="O1" s="19"/>
      <c r="P1" s="19"/>
      <c r="Q1" s="19"/>
      <c r="R1" s="19"/>
      <c r="S1" s="19"/>
      <c r="T1" s="19"/>
      <c r="U1" s="19"/>
    </row>
    <row r="2" spans="1:21" x14ac:dyDescent="0.25">
      <c r="A2" s="19"/>
      <c r="B2" s="19"/>
      <c r="C2" s="19"/>
      <c r="D2" s="19"/>
      <c r="E2" s="19"/>
      <c r="F2" s="19"/>
      <c r="G2" s="19"/>
      <c r="H2" s="19"/>
      <c r="I2" s="19"/>
      <c r="J2" s="19"/>
      <c r="K2" s="19"/>
      <c r="L2" s="19"/>
      <c r="M2" s="19"/>
      <c r="N2" s="19"/>
      <c r="O2" s="19"/>
      <c r="P2" s="19"/>
      <c r="Q2" s="19"/>
      <c r="R2" s="19"/>
      <c r="S2" s="19"/>
      <c r="T2" s="19"/>
      <c r="U2" s="19"/>
    </row>
    <row r="3" spans="1:21" x14ac:dyDescent="0.25">
      <c r="A3" s="19"/>
      <c r="B3" s="19"/>
      <c r="C3" s="19"/>
      <c r="D3" s="19"/>
      <c r="E3" s="19"/>
      <c r="F3" s="19"/>
      <c r="G3" s="19"/>
      <c r="H3" s="19"/>
      <c r="I3" s="19"/>
      <c r="J3" s="19"/>
      <c r="K3" s="19"/>
      <c r="L3" s="19"/>
      <c r="M3" s="19"/>
      <c r="N3" s="19"/>
      <c r="O3" s="19"/>
      <c r="P3" s="19"/>
      <c r="Q3" s="19"/>
      <c r="R3" s="19"/>
      <c r="S3" s="19"/>
      <c r="T3" s="19"/>
      <c r="U3" s="19"/>
    </row>
    <row r="4" spans="1:21" x14ac:dyDescent="0.25">
      <c r="A4" s="19"/>
      <c r="B4" s="19"/>
      <c r="C4" s="19"/>
      <c r="D4" s="19"/>
      <c r="E4" s="19"/>
      <c r="F4" s="19"/>
      <c r="G4" s="19"/>
      <c r="H4" s="19"/>
      <c r="I4" s="19"/>
      <c r="J4" s="19"/>
      <c r="K4" s="19"/>
      <c r="L4" s="19"/>
      <c r="M4" s="19"/>
      <c r="N4" s="19"/>
      <c r="O4" s="19"/>
      <c r="P4" s="19"/>
      <c r="Q4" s="19"/>
      <c r="R4" s="19"/>
      <c r="S4" s="19"/>
      <c r="T4" s="19"/>
      <c r="U4" s="19"/>
    </row>
    <row r="5" spans="1:21" x14ac:dyDescent="0.25">
      <c r="A5" s="19"/>
      <c r="B5" s="19"/>
      <c r="C5" s="19"/>
      <c r="D5" s="19"/>
      <c r="E5" s="19"/>
      <c r="F5" s="19"/>
      <c r="G5" s="19"/>
      <c r="H5" s="19"/>
      <c r="I5" s="19"/>
      <c r="J5" s="19"/>
      <c r="K5" s="19"/>
      <c r="L5" s="19"/>
      <c r="M5" s="19"/>
      <c r="N5" s="19"/>
      <c r="O5" s="19"/>
      <c r="P5" s="19"/>
      <c r="Q5" s="19"/>
      <c r="R5" s="19"/>
      <c r="S5" s="19"/>
      <c r="T5" s="19"/>
      <c r="U5" s="19"/>
    </row>
    <row r="6" spans="1:21" x14ac:dyDescent="0.25">
      <c r="A6" s="19"/>
      <c r="B6" s="19"/>
      <c r="C6" s="19"/>
      <c r="D6" s="19"/>
      <c r="E6" s="19"/>
      <c r="F6" s="19"/>
      <c r="G6" s="19"/>
      <c r="H6" s="19"/>
      <c r="I6" s="19"/>
      <c r="J6" s="19"/>
      <c r="K6" s="19"/>
      <c r="L6" s="19"/>
      <c r="M6" s="19"/>
      <c r="N6" s="19"/>
      <c r="O6" s="19"/>
      <c r="P6" s="19"/>
      <c r="Q6" s="19"/>
      <c r="R6" s="19"/>
      <c r="S6" s="19"/>
      <c r="T6" s="19"/>
      <c r="U6" s="19"/>
    </row>
    <row r="7" spans="1:21" x14ac:dyDescent="0.25">
      <c r="A7" s="19"/>
      <c r="B7" s="19"/>
      <c r="C7" s="19"/>
      <c r="D7" s="19"/>
      <c r="E7" s="19"/>
      <c r="F7" s="19"/>
      <c r="G7" s="19"/>
      <c r="H7" s="19"/>
      <c r="I7" s="19"/>
      <c r="J7" s="19"/>
      <c r="K7" s="19"/>
      <c r="L7" s="19"/>
      <c r="M7" s="19"/>
      <c r="N7" s="19"/>
      <c r="O7" s="19"/>
      <c r="P7" s="19"/>
      <c r="Q7" s="19"/>
      <c r="R7" s="19"/>
      <c r="S7" s="19"/>
      <c r="T7" s="19"/>
      <c r="U7" s="19"/>
    </row>
    <row r="8" spans="1:21" x14ac:dyDescent="0.25">
      <c r="A8" s="19"/>
      <c r="B8" s="19"/>
      <c r="C8" s="19"/>
      <c r="D8" s="19"/>
      <c r="E8" s="19"/>
      <c r="F8" s="19"/>
      <c r="G8" s="19"/>
      <c r="H8" s="19"/>
      <c r="I8" s="19"/>
      <c r="J8" s="19"/>
      <c r="K8" s="19"/>
      <c r="L8" s="19"/>
      <c r="M8" s="19"/>
      <c r="N8" s="19"/>
      <c r="O8" s="19"/>
      <c r="P8" s="19"/>
      <c r="Q8" s="19"/>
      <c r="R8" s="19"/>
      <c r="S8" s="19"/>
      <c r="T8" s="19"/>
      <c r="U8" s="19"/>
    </row>
    <row r="9" spans="1:21" x14ac:dyDescent="0.25">
      <c r="A9" s="19"/>
      <c r="B9" s="19"/>
      <c r="C9" s="19"/>
      <c r="D9" s="19"/>
      <c r="E9" s="19"/>
      <c r="F9" s="19"/>
      <c r="G9" s="19"/>
      <c r="H9" s="19"/>
      <c r="I9" s="19"/>
      <c r="J9" s="19"/>
      <c r="K9" s="19"/>
      <c r="L9" s="19"/>
      <c r="M9" s="19"/>
      <c r="N9" s="19"/>
      <c r="O9" s="19"/>
      <c r="P9" s="19"/>
      <c r="Q9" s="19"/>
      <c r="R9" s="19"/>
      <c r="S9" s="19"/>
      <c r="T9" s="19"/>
      <c r="U9" s="19"/>
    </row>
    <row r="10" spans="1:21" x14ac:dyDescent="0.25">
      <c r="A10" s="19"/>
      <c r="B10" s="19"/>
      <c r="C10" s="19"/>
      <c r="D10" s="19"/>
      <c r="E10" s="19"/>
      <c r="F10" s="19"/>
      <c r="G10" s="19"/>
      <c r="H10" s="19"/>
      <c r="I10" s="19"/>
      <c r="J10" s="19"/>
      <c r="K10" s="19"/>
      <c r="L10" s="19"/>
      <c r="M10" s="19"/>
      <c r="N10" s="19"/>
      <c r="O10" s="19"/>
      <c r="P10" s="19"/>
      <c r="Q10" s="19"/>
      <c r="R10" s="19"/>
      <c r="S10" s="19"/>
      <c r="T10" s="19"/>
      <c r="U10" s="19"/>
    </row>
    <row r="11" spans="1:21" x14ac:dyDescent="0.25">
      <c r="A11" s="19"/>
      <c r="B11" s="19"/>
      <c r="C11" s="19"/>
      <c r="D11" s="19"/>
      <c r="E11" s="19"/>
      <c r="F11" s="19"/>
      <c r="G11" s="19"/>
      <c r="H11" s="19"/>
      <c r="I11" s="19"/>
      <c r="J11" s="19"/>
      <c r="K11" s="19"/>
      <c r="L11" s="19"/>
      <c r="M11" s="19"/>
      <c r="N11" s="19"/>
      <c r="O11" s="19"/>
      <c r="P11" s="19"/>
      <c r="Q11" s="19"/>
      <c r="R11" s="19"/>
      <c r="S11" s="19"/>
      <c r="T11" s="19"/>
      <c r="U11" s="19"/>
    </row>
    <row r="12" spans="1:21" x14ac:dyDescent="0.25">
      <c r="A12" s="19"/>
      <c r="B12" s="19"/>
      <c r="C12" s="19"/>
      <c r="D12" s="19"/>
      <c r="E12" s="19"/>
      <c r="F12" s="19"/>
      <c r="G12" s="19"/>
      <c r="H12" s="19"/>
      <c r="I12" s="19"/>
      <c r="J12" s="19"/>
      <c r="K12" s="19"/>
      <c r="L12" s="19"/>
      <c r="M12" s="19"/>
      <c r="N12" s="19"/>
      <c r="O12" s="19"/>
      <c r="P12" s="19"/>
      <c r="Q12" s="19"/>
      <c r="R12" s="19"/>
      <c r="S12" s="19"/>
      <c r="T12" s="19"/>
      <c r="U12" s="19"/>
    </row>
    <row r="13" spans="1:21" x14ac:dyDescent="0.25">
      <c r="A13" s="19"/>
      <c r="B13" s="19"/>
      <c r="C13" s="19"/>
      <c r="D13" s="19"/>
      <c r="E13" s="19"/>
      <c r="F13" s="19"/>
      <c r="G13" s="19"/>
      <c r="H13" s="19"/>
      <c r="I13" s="19"/>
      <c r="J13" s="19"/>
      <c r="K13" s="19"/>
      <c r="L13" s="19"/>
      <c r="M13" s="19"/>
      <c r="N13" s="19"/>
      <c r="O13" s="19"/>
      <c r="P13" s="19"/>
      <c r="Q13" s="19"/>
      <c r="R13" s="19"/>
      <c r="S13" s="19"/>
      <c r="T13" s="19"/>
      <c r="U13" s="19"/>
    </row>
    <row r="14" spans="1:21" x14ac:dyDescent="0.25">
      <c r="A14" s="19"/>
      <c r="B14" s="19"/>
      <c r="C14" s="19"/>
      <c r="D14" s="19"/>
      <c r="E14" s="19"/>
      <c r="F14" s="19"/>
      <c r="G14" s="19"/>
      <c r="H14" s="19"/>
      <c r="I14" s="19"/>
      <c r="J14" s="19"/>
      <c r="K14" s="19"/>
      <c r="L14" s="19"/>
      <c r="M14" s="19"/>
      <c r="N14" s="19"/>
      <c r="O14" s="19"/>
      <c r="P14" s="19"/>
      <c r="Q14" s="19"/>
      <c r="R14" s="19"/>
      <c r="S14" s="19"/>
      <c r="T14" s="19"/>
      <c r="U14" s="19"/>
    </row>
    <row r="15" spans="1:21" x14ac:dyDescent="0.25">
      <c r="A15" s="19"/>
      <c r="B15" s="19"/>
      <c r="C15" s="19"/>
      <c r="D15" s="19"/>
      <c r="E15" s="19"/>
      <c r="F15" s="19"/>
      <c r="G15" s="19"/>
      <c r="H15" s="19"/>
      <c r="I15" s="19"/>
      <c r="J15" s="19"/>
      <c r="K15" s="19"/>
      <c r="L15" s="19"/>
      <c r="M15" s="19"/>
      <c r="N15" s="19"/>
      <c r="O15" s="19"/>
      <c r="P15" s="19"/>
      <c r="Q15" s="19"/>
      <c r="R15" s="19"/>
      <c r="S15" s="19"/>
      <c r="T15" s="19"/>
      <c r="U15" s="19"/>
    </row>
    <row r="16" spans="1:21" x14ac:dyDescent="0.25">
      <c r="A16" s="19"/>
      <c r="B16" s="19"/>
      <c r="C16" s="19"/>
      <c r="D16" s="19"/>
      <c r="E16" s="19"/>
      <c r="F16" s="19"/>
      <c r="G16" s="19"/>
      <c r="H16" s="19"/>
      <c r="I16" s="19"/>
      <c r="J16" s="19"/>
      <c r="K16" s="19"/>
      <c r="L16" s="19"/>
      <c r="M16" s="19"/>
      <c r="N16" s="19"/>
      <c r="O16" s="19"/>
      <c r="P16" s="19"/>
      <c r="Q16" s="19"/>
      <c r="R16" s="19"/>
      <c r="S16" s="19"/>
      <c r="T16" s="19"/>
      <c r="U16" s="19"/>
    </row>
    <row r="17" spans="1:21" x14ac:dyDescent="0.25">
      <c r="A17" s="19"/>
      <c r="B17" s="19"/>
      <c r="C17" s="19"/>
      <c r="D17" s="19"/>
      <c r="E17" s="19"/>
      <c r="F17" s="19"/>
      <c r="G17" s="19"/>
      <c r="H17" s="19"/>
      <c r="I17" s="19"/>
      <c r="J17" s="19"/>
      <c r="K17" s="19"/>
      <c r="L17" s="19"/>
      <c r="M17" s="19"/>
      <c r="N17" s="19"/>
      <c r="O17" s="19"/>
      <c r="P17" s="19"/>
      <c r="Q17" s="19"/>
      <c r="R17" s="19"/>
      <c r="S17" s="19"/>
      <c r="T17" s="19"/>
      <c r="U17" s="19"/>
    </row>
    <row r="18" spans="1:21" x14ac:dyDescent="0.25">
      <c r="A18" s="19"/>
      <c r="B18" s="19"/>
      <c r="C18" s="19"/>
      <c r="D18" s="19"/>
      <c r="E18" s="19"/>
      <c r="F18" s="19"/>
      <c r="G18" s="19"/>
      <c r="H18" s="19"/>
      <c r="I18" s="19"/>
      <c r="J18" s="19"/>
      <c r="K18" s="19"/>
      <c r="L18" s="19"/>
      <c r="M18" s="19"/>
      <c r="N18" s="19"/>
      <c r="O18" s="19"/>
      <c r="P18" s="19"/>
      <c r="Q18" s="19"/>
      <c r="R18" s="19"/>
      <c r="S18" s="19"/>
      <c r="T18" s="19"/>
      <c r="U18" s="19"/>
    </row>
    <row r="19" spans="1:21" x14ac:dyDescent="0.25">
      <c r="A19" s="19"/>
      <c r="B19" s="19"/>
      <c r="C19" s="19"/>
      <c r="D19" s="19"/>
      <c r="E19" s="19"/>
      <c r="F19" s="19"/>
      <c r="G19" s="19"/>
      <c r="H19" s="19"/>
      <c r="I19" s="19"/>
      <c r="J19" s="19"/>
      <c r="K19" s="19"/>
      <c r="L19" s="19"/>
      <c r="M19" s="19"/>
      <c r="N19" s="19"/>
      <c r="O19" s="19"/>
      <c r="P19" s="19"/>
      <c r="Q19" s="19"/>
      <c r="R19" s="19"/>
      <c r="S19" s="19"/>
      <c r="T19" s="19"/>
      <c r="U19" s="19"/>
    </row>
    <row r="20" spans="1:21" x14ac:dyDescent="0.25">
      <c r="A20" s="19"/>
      <c r="B20" s="19"/>
      <c r="C20" s="19"/>
      <c r="D20" s="19"/>
      <c r="E20" s="19"/>
      <c r="F20" s="19"/>
      <c r="G20" s="19"/>
      <c r="H20" s="19"/>
      <c r="I20" s="19"/>
      <c r="J20" s="19"/>
      <c r="K20" s="19"/>
      <c r="L20" s="19"/>
      <c r="M20" s="19"/>
      <c r="N20" s="19"/>
      <c r="O20" s="19"/>
      <c r="P20" s="19"/>
      <c r="Q20" s="19"/>
      <c r="R20" s="19"/>
      <c r="S20" s="19"/>
      <c r="T20" s="19"/>
      <c r="U20" s="19"/>
    </row>
    <row r="21" spans="1:21" x14ac:dyDescent="0.25">
      <c r="A21" s="19"/>
      <c r="B21" s="19"/>
      <c r="C21" s="19"/>
      <c r="D21" s="19"/>
      <c r="E21" s="19"/>
      <c r="F21" s="19"/>
      <c r="G21" s="19"/>
      <c r="H21" s="19"/>
      <c r="I21" s="19"/>
      <c r="J21" s="19"/>
      <c r="K21" s="19"/>
      <c r="L21" s="19"/>
      <c r="M21" s="19"/>
      <c r="N21" s="19"/>
      <c r="O21" s="19"/>
      <c r="P21" s="19"/>
      <c r="Q21" s="19"/>
      <c r="R21" s="19"/>
      <c r="S21" s="19"/>
      <c r="T21" s="19"/>
      <c r="U21" s="19"/>
    </row>
    <row r="22" spans="1:21" x14ac:dyDescent="0.25">
      <c r="A22" s="19"/>
      <c r="B22" s="19"/>
      <c r="C22" s="19"/>
      <c r="D22" s="19"/>
      <c r="E22" s="19"/>
      <c r="F22" s="19"/>
      <c r="G22" s="19"/>
      <c r="H22" s="19"/>
      <c r="I22" s="19"/>
      <c r="J22" s="19"/>
      <c r="K22" s="19"/>
      <c r="L22" s="19"/>
      <c r="M22" s="19"/>
      <c r="N22" s="19"/>
      <c r="O22" s="19"/>
      <c r="P22" s="19"/>
      <c r="Q22" s="19"/>
      <c r="R22" s="19"/>
      <c r="S22" s="19"/>
      <c r="T22" s="19"/>
      <c r="U22" s="19"/>
    </row>
    <row r="23" spans="1:21" x14ac:dyDescent="0.25">
      <c r="A23" s="19"/>
      <c r="B23" s="19"/>
      <c r="C23" s="19"/>
      <c r="D23" s="19"/>
      <c r="E23" s="19"/>
      <c r="F23" s="19"/>
      <c r="G23" s="19"/>
      <c r="H23" s="19"/>
      <c r="I23" s="19"/>
      <c r="J23" s="19"/>
      <c r="K23" s="19"/>
      <c r="L23" s="19"/>
      <c r="M23" s="19"/>
      <c r="N23" s="19"/>
      <c r="O23" s="19"/>
      <c r="P23" s="19"/>
      <c r="Q23" s="19"/>
      <c r="R23" s="19"/>
      <c r="S23" s="19"/>
      <c r="T23" s="19"/>
      <c r="U23" s="19"/>
    </row>
    <row r="24" spans="1:21" x14ac:dyDescent="0.25">
      <c r="A24" s="19"/>
      <c r="B24" s="19"/>
      <c r="C24" s="19"/>
      <c r="D24" s="19"/>
      <c r="E24" s="19"/>
      <c r="F24" s="19"/>
      <c r="G24" s="19"/>
      <c r="H24" s="19"/>
      <c r="I24" s="19"/>
      <c r="J24" s="19"/>
      <c r="K24" s="19"/>
      <c r="L24" s="19"/>
      <c r="M24" s="19"/>
      <c r="N24" s="19"/>
      <c r="O24" s="19"/>
      <c r="P24" s="19"/>
      <c r="Q24" s="19"/>
      <c r="R24" s="19"/>
      <c r="S24" s="19"/>
      <c r="T24" s="19"/>
      <c r="U24" s="19"/>
    </row>
    <row r="25" spans="1:21" x14ac:dyDescent="0.25">
      <c r="A25" s="19"/>
      <c r="B25" s="19"/>
      <c r="C25" s="19"/>
      <c r="D25" s="19"/>
      <c r="E25" s="19"/>
      <c r="F25" s="19"/>
      <c r="G25" s="19"/>
      <c r="H25" s="19"/>
      <c r="I25" s="19"/>
      <c r="J25" s="19"/>
      <c r="K25" s="19"/>
      <c r="L25" s="19"/>
      <c r="M25" s="19"/>
      <c r="N25" s="19"/>
      <c r="O25" s="19"/>
      <c r="P25" s="19"/>
      <c r="Q25" s="19"/>
      <c r="R25" s="19"/>
      <c r="S25" s="19"/>
      <c r="T25" s="19"/>
      <c r="U25" s="19"/>
    </row>
    <row r="26" spans="1:21" x14ac:dyDescent="0.25">
      <c r="A26" s="19"/>
      <c r="B26" s="19"/>
      <c r="C26" s="19"/>
      <c r="D26" s="19"/>
      <c r="E26" s="19"/>
      <c r="F26" s="19"/>
      <c r="G26" s="19"/>
      <c r="H26" s="19"/>
      <c r="I26" s="19"/>
      <c r="J26" s="19"/>
      <c r="K26" s="19"/>
      <c r="L26" s="19"/>
      <c r="M26" s="19"/>
      <c r="N26" s="19"/>
      <c r="O26" s="19"/>
      <c r="P26" s="19"/>
      <c r="Q26" s="19"/>
      <c r="R26" s="19"/>
      <c r="S26" s="19"/>
      <c r="T26" s="19"/>
      <c r="U26" s="19"/>
    </row>
    <row r="27" spans="1:21" x14ac:dyDescent="0.25">
      <c r="A27" s="19"/>
      <c r="B27" s="19"/>
      <c r="C27" s="19"/>
      <c r="D27" s="19"/>
      <c r="E27" s="19"/>
      <c r="F27" s="19"/>
      <c r="G27" s="19"/>
      <c r="H27" s="19"/>
      <c r="I27" s="19"/>
      <c r="J27" s="19"/>
      <c r="K27" s="19"/>
      <c r="L27" s="19"/>
      <c r="M27" s="19"/>
      <c r="N27" s="19"/>
      <c r="O27" s="19"/>
      <c r="P27" s="19"/>
      <c r="Q27" s="19"/>
      <c r="R27" s="19"/>
      <c r="S27" s="19"/>
      <c r="T27" s="19"/>
      <c r="U27" s="19"/>
    </row>
    <row r="28" spans="1:21" x14ac:dyDescent="0.25">
      <c r="A28" s="19"/>
      <c r="B28" s="19"/>
      <c r="C28" s="19"/>
      <c r="D28" s="19"/>
      <c r="E28" s="19"/>
      <c r="F28" s="19"/>
      <c r="G28" s="19"/>
      <c r="H28" s="19"/>
      <c r="I28" s="19"/>
      <c r="J28" s="19"/>
      <c r="K28" s="19"/>
      <c r="L28" s="19"/>
      <c r="M28" s="19"/>
      <c r="N28" s="19"/>
      <c r="O28" s="19"/>
      <c r="P28" s="19"/>
      <c r="Q28" s="19"/>
      <c r="R28" s="19"/>
      <c r="S28" s="19"/>
      <c r="T28" s="19"/>
      <c r="U28" s="19"/>
    </row>
    <row r="29" spans="1:21" x14ac:dyDescent="0.25">
      <c r="A29" s="19"/>
      <c r="B29" s="19"/>
      <c r="C29" s="19"/>
      <c r="D29" s="19"/>
      <c r="E29" s="19"/>
      <c r="F29" s="19"/>
      <c r="G29" s="19"/>
      <c r="H29" s="19"/>
      <c r="I29" s="19"/>
      <c r="J29" s="19"/>
      <c r="K29" s="19"/>
      <c r="L29" s="19"/>
      <c r="M29" s="19"/>
      <c r="N29" s="19"/>
      <c r="O29" s="19"/>
      <c r="P29" s="19"/>
      <c r="Q29" s="19"/>
      <c r="R29" s="19"/>
      <c r="S29" s="19"/>
      <c r="T29" s="19"/>
      <c r="U29" s="19"/>
    </row>
    <row r="30" spans="1:21" x14ac:dyDescent="0.25">
      <c r="A30" s="19"/>
      <c r="B30" s="19"/>
      <c r="C30" s="19"/>
      <c r="D30" s="19"/>
      <c r="E30" s="19"/>
      <c r="F30" s="19"/>
      <c r="G30" s="19"/>
      <c r="H30" s="19"/>
      <c r="I30" s="19"/>
      <c r="J30" s="19"/>
      <c r="K30" s="19"/>
      <c r="L30" s="19"/>
      <c r="M30" s="19"/>
      <c r="N30" s="19"/>
      <c r="O30" s="19"/>
      <c r="P30" s="19"/>
      <c r="Q30" s="19"/>
      <c r="R30" s="19"/>
      <c r="S30" s="19"/>
      <c r="T30" s="19"/>
      <c r="U30" s="19"/>
    </row>
    <row r="31" spans="1:21" x14ac:dyDescent="0.25">
      <c r="A31" s="19"/>
      <c r="B31" s="19"/>
      <c r="C31" s="19"/>
      <c r="D31" s="19"/>
      <c r="E31" s="19"/>
      <c r="F31" s="19"/>
      <c r="G31" s="19"/>
      <c r="H31" s="19"/>
      <c r="I31" s="19"/>
      <c r="J31" s="19"/>
      <c r="K31" s="19"/>
      <c r="L31" s="19"/>
      <c r="M31" s="19"/>
      <c r="N31" s="19"/>
      <c r="O31" s="19"/>
      <c r="P31" s="19"/>
      <c r="Q31" s="19"/>
      <c r="R31" s="19"/>
      <c r="S31" s="19"/>
      <c r="T31" s="19"/>
      <c r="U31" s="19"/>
    </row>
    <row r="32" spans="1:21" x14ac:dyDescent="0.25">
      <c r="A32" s="19"/>
      <c r="B32" s="19"/>
      <c r="C32" s="19"/>
      <c r="D32" s="19"/>
      <c r="E32" s="19"/>
      <c r="F32" s="19"/>
      <c r="G32" s="19"/>
      <c r="H32" s="19"/>
      <c r="I32" s="19"/>
      <c r="J32" s="19"/>
      <c r="K32" s="19"/>
      <c r="L32" s="19"/>
      <c r="M32" s="19"/>
      <c r="N32" s="19"/>
      <c r="O32" s="19"/>
      <c r="P32" s="19"/>
      <c r="Q32" s="19"/>
      <c r="R32" s="19"/>
      <c r="S32" s="19"/>
      <c r="T32" s="19"/>
      <c r="U32" s="19"/>
    </row>
    <row r="33" spans="1:21" x14ac:dyDescent="0.25">
      <c r="A33" s="19"/>
      <c r="B33" s="19"/>
      <c r="C33" s="19"/>
      <c r="D33" s="19"/>
      <c r="E33" s="19"/>
      <c r="F33" s="19"/>
      <c r="G33" s="19"/>
      <c r="H33" s="19"/>
      <c r="I33" s="19"/>
      <c r="J33" s="19"/>
      <c r="K33" s="19"/>
      <c r="L33" s="19"/>
      <c r="M33" s="19"/>
      <c r="N33" s="19"/>
      <c r="O33" s="19"/>
      <c r="P33" s="19"/>
      <c r="Q33" s="19"/>
      <c r="R33" s="19"/>
      <c r="S33" s="19"/>
      <c r="T33" s="19"/>
      <c r="U33" s="19"/>
    </row>
    <row r="34" spans="1:21" x14ac:dyDescent="0.25">
      <c r="A34" s="19"/>
      <c r="B34" s="19"/>
      <c r="C34" s="19"/>
      <c r="D34" s="19"/>
      <c r="E34" s="19"/>
      <c r="F34" s="19"/>
      <c r="G34" s="19"/>
      <c r="H34" s="19"/>
      <c r="I34" s="19"/>
      <c r="J34" s="19"/>
      <c r="K34" s="19"/>
      <c r="L34" s="19"/>
      <c r="M34" s="19"/>
      <c r="N34" s="19"/>
      <c r="O34" s="19"/>
      <c r="P34" s="19"/>
      <c r="Q34" s="19"/>
      <c r="R34" s="19"/>
      <c r="S34" s="19"/>
      <c r="T34" s="19"/>
      <c r="U34" s="19"/>
    </row>
    <row r="35" spans="1:21" x14ac:dyDescent="0.25">
      <c r="A35" s="19"/>
      <c r="B35" s="19"/>
      <c r="C35" s="19"/>
      <c r="D35" s="19"/>
      <c r="E35" s="19"/>
      <c r="F35" s="19"/>
      <c r="G35" s="19"/>
      <c r="H35" s="19"/>
      <c r="I35" s="19"/>
      <c r="J35" s="19"/>
      <c r="K35" s="19"/>
      <c r="L35" s="19"/>
      <c r="M35" s="19"/>
      <c r="N35" s="19"/>
      <c r="O35" s="19"/>
      <c r="P35" s="19"/>
      <c r="Q35" s="19"/>
      <c r="R35" s="19"/>
      <c r="S35" s="19"/>
      <c r="T35" s="19"/>
      <c r="U35"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Raw_Sales_Data</vt:lpstr>
      <vt:lpstr>Data Dictionary</vt:lpstr>
      <vt:lpstr>Correct</vt:lpstr>
      <vt:lpstr>PV Table</vt:lpstr>
      <vt:lpstr>KPIs &amp; Charts</vt:lpstr>
      <vt:lpstr>GreenLeaf 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Oke Tolulope</cp:lastModifiedBy>
  <cp:revision>0</cp:revision>
  <dcterms:created xsi:type="dcterms:W3CDTF">2026-08-24T23:15:47Z</dcterms:created>
  <dcterms:modified xsi:type="dcterms:W3CDTF">2026-09-30T13:28:35Z</dcterms:modified>
  <dc:language>en-US</dc:language>
</cp:coreProperties>
</file>